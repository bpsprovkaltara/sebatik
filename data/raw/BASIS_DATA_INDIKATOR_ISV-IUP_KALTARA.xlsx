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3106DA8-A3C5-47AB-88EC-ECCFD2AFFCC3}" xr6:coauthVersionLast="47" xr6:coauthVersionMax="47" xr10:uidLastSave="{00000000-0000-0000-0000-000000000000}"/>
  <bookViews>
    <workbookView xWindow="-110" yWindow="-110" windowWidth="19420" windowHeight="11500" xr2:uid="{00000000-000D-0000-FFFF-FFFF00000000}"/>
  </bookViews>
  <sheets>
    <sheet name="Basis Data Indikator" sheetId="1" r:id="rId1"/>
    <sheet name="Data Target-Realisasi" sheetId="2" r:id="rId2"/>
  </sheets>
  <definedNames>
    <definedName name="_xlnm._FilterDatabase" localSheetId="0" hidden="1">'Basis Data Indikator'!$A$1:$AI$87</definedName>
    <definedName name="_xlnm._FilterDatabase" localSheetId="1" hidden="1">'Data Target-Realisasi'!$A$1:$J$661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GK7yzFiV15lt3pX1z3ICvpVOGqdjVBgpk9k9/AvXOFs="/>
    </ext>
  </extLst>
</workbook>
</file>

<file path=xl/calcChain.xml><?xml version="1.0" encoding="utf-8"?>
<calcChain xmlns="http://schemas.openxmlformats.org/spreadsheetml/2006/main">
  <c r="AF2" i="1" l="1"/>
  <c r="AD4" i="1"/>
  <c r="AC4" i="1"/>
  <c r="AC3" i="1"/>
  <c r="AD2" i="1"/>
  <c r="AF87" i="1"/>
  <c r="AC87" i="1"/>
  <c r="AE87" i="1" s="1"/>
  <c r="AF86" i="1"/>
  <c r="AC86" i="1"/>
  <c r="AE86" i="1" s="1"/>
  <c r="AF85" i="1"/>
  <c r="AC85" i="1"/>
  <c r="AE85" i="1" s="1"/>
  <c r="AF84" i="1"/>
  <c r="AC84" i="1"/>
  <c r="AE84" i="1" s="1"/>
  <c r="AF83" i="1"/>
  <c r="AC83" i="1"/>
  <c r="AE83" i="1" s="1"/>
  <c r="AF82" i="1"/>
  <c r="AC82" i="1"/>
  <c r="AE82" i="1" s="1"/>
  <c r="AF81" i="1"/>
  <c r="AC81" i="1"/>
  <c r="AE81" i="1" s="1"/>
  <c r="AF80" i="1"/>
  <c r="AC80" i="1"/>
  <c r="AE80" i="1" s="1"/>
  <c r="AF79" i="1"/>
  <c r="AC79" i="1"/>
  <c r="AD79" i="1" s="1"/>
  <c r="AF78" i="1"/>
  <c r="AC78" i="1"/>
  <c r="AE78" i="1" s="1"/>
  <c r="AF77" i="1"/>
  <c r="AC77" i="1"/>
  <c r="AE77" i="1" s="1"/>
  <c r="AF76" i="1"/>
  <c r="AC76" i="1"/>
  <c r="AD76" i="1" s="1"/>
  <c r="AF75" i="1"/>
  <c r="AC75" i="1"/>
  <c r="AE75" i="1" s="1"/>
  <c r="AF74" i="1"/>
  <c r="AC74" i="1"/>
  <c r="AD74" i="1" s="1"/>
  <c r="AF73" i="1"/>
  <c r="AC73" i="1"/>
  <c r="AD73" i="1" s="1"/>
  <c r="AF72" i="1"/>
  <c r="AC72" i="1"/>
  <c r="AE72" i="1" s="1"/>
  <c r="AF71" i="1"/>
  <c r="AC71" i="1"/>
  <c r="AE71" i="1" s="1"/>
  <c r="AF70" i="1"/>
  <c r="AC70" i="1"/>
  <c r="AD70" i="1" s="1"/>
  <c r="AF69" i="1"/>
  <c r="AC69" i="1"/>
  <c r="AE69" i="1" s="1"/>
  <c r="AF68" i="1"/>
  <c r="AC68" i="1"/>
  <c r="AE68" i="1" s="1"/>
  <c r="AF67" i="1"/>
  <c r="AC67" i="1"/>
  <c r="AD67" i="1" s="1"/>
  <c r="AF66" i="1"/>
  <c r="AC66" i="1"/>
  <c r="AE66" i="1" s="1"/>
  <c r="AF65" i="1"/>
  <c r="AC65" i="1"/>
  <c r="AE65" i="1" s="1"/>
  <c r="AF64" i="1"/>
  <c r="AC64" i="1"/>
  <c r="AD64" i="1" s="1"/>
  <c r="AF63" i="1"/>
  <c r="AC63" i="1"/>
  <c r="AE63" i="1" s="1"/>
  <c r="AF62" i="1"/>
  <c r="AC62" i="1"/>
  <c r="AE62" i="1" s="1"/>
  <c r="AF61" i="1"/>
  <c r="AC61" i="1"/>
  <c r="AD61" i="1" s="1"/>
  <c r="AF60" i="1"/>
  <c r="AC60" i="1"/>
  <c r="AE60" i="1" s="1"/>
  <c r="AF59" i="1"/>
  <c r="AC59" i="1"/>
  <c r="AE59" i="1" s="1"/>
  <c r="AF58" i="1"/>
  <c r="AC58" i="1"/>
  <c r="AD58" i="1" s="1"/>
  <c r="AF57" i="1"/>
  <c r="AC57" i="1"/>
  <c r="AE57" i="1" s="1"/>
  <c r="AF56" i="1"/>
  <c r="AC56" i="1"/>
  <c r="AE56" i="1" s="1"/>
  <c r="AF55" i="1"/>
  <c r="AC55" i="1"/>
  <c r="AD55" i="1" s="1"/>
  <c r="AF54" i="1"/>
  <c r="AC54" i="1"/>
  <c r="AE54" i="1" s="1"/>
  <c r="AF53" i="1"/>
  <c r="AC53" i="1"/>
  <c r="AE53" i="1" s="1"/>
  <c r="AF52" i="1"/>
  <c r="AC52" i="1"/>
  <c r="AD52" i="1" s="1"/>
  <c r="AF51" i="1"/>
  <c r="AC51" i="1"/>
  <c r="AE51" i="1" s="1"/>
  <c r="AF50" i="1"/>
  <c r="AC50" i="1"/>
  <c r="AE50" i="1" s="1"/>
  <c r="AF49" i="1"/>
  <c r="AC49" i="1"/>
  <c r="AD49" i="1" s="1"/>
  <c r="AF48" i="1"/>
  <c r="AC48" i="1"/>
  <c r="AE48" i="1" s="1"/>
  <c r="AF47" i="1"/>
  <c r="AC47" i="1"/>
  <c r="AE47" i="1" s="1"/>
  <c r="AF46" i="1"/>
  <c r="AC46" i="1"/>
  <c r="AD46" i="1" s="1"/>
  <c r="AF45" i="1"/>
  <c r="AC45" i="1"/>
  <c r="AE45" i="1" s="1"/>
  <c r="AF44" i="1"/>
  <c r="AC44" i="1"/>
  <c r="AE44" i="1" s="1"/>
  <c r="AF43" i="1"/>
  <c r="AC43" i="1"/>
  <c r="AD43" i="1" s="1"/>
  <c r="AF42" i="1"/>
  <c r="AC42" i="1"/>
  <c r="AE42" i="1" s="1"/>
  <c r="AF41" i="1"/>
  <c r="AC41" i="1"/>
  <c r="AE41" i="1" s="1"/>
  <c r="AF40" i="1"/>
  <c r="AC40" i="1"/>
  <c r="AD40" i="1" s="1"/>
  <c r="AF39" i="1"/>
  <c r="AC39" i="1"/>
  <c r="AE39" i="1" s="1"/>
  <c r="AF38" i="1"/>
  <c r="AC38" i="1"/>
  <c r="AE38" i="1" s="1"/>
  <c r="AF37" i="1"/>
  <c r="AC37" i="1"/>
  <c r="AD37" i="1" s="1"/>
  <c r="AF36" i="1"/>
  <c r="AC36" i="1"/>
  <c r="AE36" i="1" s="1"/>
  <c r="AF35" i="1"/>
  <c r="AC35" i="1"/>
  <c r="AE35" i="1" s="1"/>
  <c r="AF34" i="1"/>
  <c r="AC34" i="1"/>
  <c r="AD34" i="1" s="1"/>
  <c r="AF33" i="1"/>
  <c r="AC33" i="1"/>
  <c r="AE33" i="1" s="1"/>
  <c r="AF32" i="1"/>
  <c r="AC32" i="1"/>
  <c r="AE32" i="1" s="1"/>
  <c r="AF31" i="1"/>
  <c r="AC31" i="1"/>
  <c r="AD31" i="1" s="1"/>
  <c r="AF30" i="1"/>
  <c r="AC30" i="1"/>
  <c r="AE30" i="1" s="1"/>
  <c r="AF29" i="1"/>
  <c r="AC29" i="1"/>
  <c r="AE29" i="1" s="1"/>
  <c r="AF28" i="1"/>
  <c r="AC28" i="1"/>
  <c r="AD28" i="1" s="1"/>
  <c r="AF27" i="1"/>
  <c r="AC27" i="1"/>
  <c r="AE27" i="1" s="1"/>
  <c r="AF26" i="1"/>
  <c r="AC26" i="1"/>
  <c r="AE26" i="1" s="1"/>
  <c r="AF25" i="1"/>
  <c r="AC25" i="1"/>
  <c r="AD25" i="1" s="1"/>
  <c r="AF24" i="1"/>
  <c r="AC24" i="1"/>
  <c r="AE24" i="1" s="1"/>
  <c r="AF23" i="1"/>
  <c r="AC23" i="1"/>
  <c r="AE23" i="1" s="1"/>
  <c r="AF22" i="1"/>
  <c r="AC22" i="1"/>
  <c r="AD22" i="1" s="1"/>
  <c r="AF21" i="1"/>
  <c r="AC21" i="1"/>
  <c r="AE21" i="1" s="1"/>
  <c r="AF20" i="1"/>
  <c r="AC20" i="1"/>
  <c r="AE20" i="1" s="1"/>
  <c r="AF19" i="1"/>
  <c r="AC19" i="1"/>
  <c r="AD19" i="1" s="1"/>
  <c r="AF18" i="1"/>
  <c r="AC18" i="1"/>
  <c r="AE18" i="1" s="1"/>
  <c r="AF17" i="1"/>
  <c r="AC17" i="1"/>
  <c r="AE17" i="1" s="1"/>
  <c r="AF16" i="1"/>
  <c r="AC16" i="1"/>
  <c r="AD16" i="1" s="1"/>
  <c r="AF15" i="1"/>
  <c r="AC15" i="1"/>
  <c r="AE15" i="1" s="1"/>
  <c r="AF14" i="1"/>
  <c r="AC14" i="1"/>
  <c r="AD14" i="1" s="1"/>
  <c r="AF13" i="1"/>
  <c r="AC13" i="1"/>
  <c r="AE13" i="1" s="1"/>
  <c r="AF12" i="1"/>
  <c r="AC12" i="1"/>
  <c r="AE12" i="1" s="1"/>
  <c r="AF11" i="1"/>
  <c r="AC11" i="1"/>
  <c r="AD11" i="1" s="1"/>
  <c r="AF10" i="1"/>
  <c r="AC10" i="1"/>
  <c r="AE10" i="1" s="1"/>
  <c r="AF9" i="1"/>
  <c r="AC9" i="1"/>
  <c r="AE9" i="1" s="1"/>
  <c r="AF8" i="1"/>
  <c r="AC8" i="1"/>
  <c r="AD8" i="1" s="1"/>
  <c r="AF7" i="1"/>
  <c r="AC7" i="1"/>
  <c r="AE7" i="1" s="1"/>
  <c r="AF6" i="1"/>
  <c r="AC6" i="1"/>
  <c r="AE6" i="1" s="1"/>
  <c r="AF5" i="1"/>
  <c r="AC5" i="1"/>
  <c r="AD5" i="1" s="1"/>
  <c r="AF4" i="1"/>
  <c r="AE4" i="1"/>
  <c r="AF3" i="1"/>
  <c r="AE3" i="1"/>
  <c r="AC2" i="1"/>
  <c r="AE8" i="1" l="1"/>
  <c r="AE46" i="1"/>
  <c r="AE5" i="1"/>
  <c r="AE31" i="1"/>
  <c r="AE67" i="1"/>
  <c r="AE11" i="1"/>
  <c r="AE16" i="1"/>
  <c r="AE52" i="1"/>
  <c r="AE37" i="1"/>
  <c r="AE73" i="1"/>
  <c r="AE22" i="1"/>
  <c r="AE58" i="1"/>
  <c r="AE2" i="1"/>
  <c r="AE43" i="1"/>
  <c r="AE28" i="1"/>
  <c r="AE64" i="1"/>
  <c r="AE74" i="1"/>
  <c r="AE79" i="1"/>
  <c r="AE49" i="1"/>
  <c r="AE34" i="1"/>
  <c r="AE70" i="1"/>
  <c r="AE14" i="1"/>
  <c r="AE19" i="1"/>
  <c r="AE55" i="1"/>
  <c r="AE40" i="1"/>
  <c r="AE25" i="1"/>
  <c r="AE61" i="1"/>
  <c r="AE76" i="1"/>
  <c r="AD83" i="1"/>
  <c r="AD3" i="1"/>
  <c r="AD6" i="1"/>
  <c r="AD9" i="1"/>
  <c r="AD12" i="1"/>
  <c r="AD15" i="1"/>
  <c r="AD17" i="1"/>
  <c r="AD20" i="1"/>
  <c r="AD23" i="1"/>
  <c r="AD26" i="1"/>
  <c r="AD29" i="1"/>
  <c r="AD32" i="1"/>
  <c r="AD35" i="1"/>
  <c r="AD38" i="1"/>
  <c r="AD41" i="1"/>
  <c r="AD44" i="1"/>
  <c r="AD47" i="1"/>
  <c r="AD50" i="1"/>
  <c r="AD53" i="1"/>
  <c r="AD56" i="1"/>
  <c r="AD59" i="1"/>
  <c r="AD62" i="1"/>
  <c r="AD65" i="1"/>
  <c r="AD68" i="1"/>
  <c r="AD71" i="1"/>
  <c r="AD77" i="1"/>
  <c r="AD80" i="1"/>
  <c r="AD84" i="1"/>
  <c r="AD7" i="1"/>
  <c r="AD10" i="1"/>
  <c r="AD13" i="1"/>
  <c r="AD18" i="1"/>
  <c r="AD21" i="1"/>
  <c r="AD24" i="1"/>
  <c r="AD27" i="1"/>
  <c r="AD30" i="1"/>
  <c r="AD33" i="1"/>
  <c r="AD36" i="1"/>
  <c r="AD39" i="1"/>
  <c r="AD42" i="1"/>
  <c r="AD45" i="1"/>
  <c r="AD48" i="1"/>
  <c r="AD51" i="1"/>
  <c r="AD54" i="1"/>
  <c r="AD57" i="1"/>
  <c r="AD60" i="1"/>
  <c r="AD63" i="1"/>
  <c r="AD66" i="1"/>
  <c r="AD69" i="1"/>
  <c r="AD72" i="1"/>
  <c r="AD75" i="1"/>
  <c r="AD78" i="1"/>
  <c r="AD81" i="1"/>
  <c r="AD82" i="1"/>
  <c r="AD85" i="1"/>
  <c r="AD86" i="1"/>
  <c r="AD87" i="1"/>
</calcChain>
</file>

<file path=xl/sharedStrings.xml><?xml version="1.0" encoding="utf-8"?>
<sst xmlns="http://schemas.openxmlformats.org/spreadsheetml/2006/main" count="5624" uniqueCount="724">
  <si>
    <t>ID Indikator</t>
  </si>
  <si>
    <t>Kategori</t>
  </si>
  <si>
    <t>Kelompok / Pilar</t>
  </si>
  <si>
    <t>Kode Indikator</t>
  </si>
  <si>
    <t>Nama Indikator (Kaltara)</t>
  </si>
  <si>
    <t>Arah Pembangunan</t>
  </si>
  <si>
    <t>Jenis Nilai</t>
  </si>
  <si>
    <t>Tahun</t>
  </si>
  <si>
    <t>Nilai (Angka)</t>
  </si>
  <si>
    <t>Nama Indikator (RPJPD Provinsi / dipakai Kaltara)</t>
  </si>
  <si>
    <t>Nilai (Teks Asli)</t>
  </si>
  <si>
    <t>Satuan/Catatan</t>
  </si>
  <si>
    <t>Indikator Proxy?</t>
  </si>
  <si>
    <t>ISV-001</t>
  </si>
  <si>
    <t>ISV</t>
  </si>
  <si>
    <t>Definisi (RPJPD Provinsi)</t>
  </si>
  <si>
    <t>Sasaran Visi Indonesia Emas 2045</t>
  </si>
  <si>
    <t>1</t>
  </si>
  <si>
    <t>Rumus Perhitungan (RPJPD Provinsi)</t>
  </si>
  <si>
    <t>PDRB per Kapita (Rp Juta)</t>
  </si>
  <si>
    <t>Interpretasi (RPJPD Provinsi)</t>
  </si>
  <si>
    <t>Realisasi</t>
  </si>
  <si>
    <t>Sumber Data (RPJPD Provinsi)</t>
  </si>
  <si>
    <t>Frekuensi (RPJPD Provinsi)</t>
  </si>
  <si>
    <t>Status Metadata</t>
  </si>
  <si>
    <t>Perangkat Daerah Pengampu (Kaltara)</t>
  </si>
  <si>
    <t>Ketersediaan Data</t>
  </si>
  <si>
    <t>Periode Data</t>
  </si>
  <si>
    <t>Tahun Data Terakhir</t>
  </si>
  <si>
    <t>Realisasi 2021</t>
  </si>
  <si>
    <t>Realisasi 2022</t>
  </si>
  <si>
    <t>Realisasi 2023</t>
  </si>
  <si>
    <t>Realisasi 2024</t>
  </si>
  <si>
    <t>Realisasi 2025</t>
  </si>
  <si>
    <t>Target 2025</t>
  </si>
  <si>
    <t>Target 2026</t>
  </si>
  <si>
    <t>Target 2027</t>
  </si>
  <si>
    <t>Target 2028</t>
  </si>
  <si>
    <t>Target 2029</t>
  </si>
  <si>
    <t>Target 2045</t>
  </si>
  <si>
    <t>Jumlah Tahun Realisasi Terisi</t>
  </si>
  <si>
    <t>Kelengkapan Realisasi (%)</t>
  </si>
  <si>
    <t>Status Ketersediaan Realisasi</t>
  </si>
  <si>
    <t>Selisih Realisasi 2025 – Target 2025</t>
  </si>
  <si>
    <t>Catatan Kualitas Data</t>
  </si>
  <si>
    <t>Keterangan (Rakor Kaltara)</t>
  </si>
  <si>
    <t>Keterangan RPJMD / Catatan Kaltara</t>
  </si>
  <si>
    <t>Target</t>
  </si>
  <si>
    <t>Peningkatan Pendapatan per Kapita</t>
  </si>
  <si>
    <t>Ya</t>
  </si>
  <si>
    <t>PDRB per kapita menunjukkan nilai PDRB per kepala atau per satu orang penduduk. PDRB per kapita dihitung dengan cara membagi total PDRB atas dasar harga berlaku dengan jumlah penduduk pertengahan tahun.</t>
  </si>
  <si>
    <t>𝑃𝐷𝑅𝐵!"#$ 𝑃𝐷𝑅𝐵 𝑝𝑒𝑟 𝑘𝑎𝑝𝑖𝑡𝑎 = 𝑝𝑜𝑝𝑢𝑙𝑎𝑠𝑖 Keterangan: PDRBADHB = PDRB Atas Dasar Harga Berlaku populasi = jumlah penduduk regional t = periode</t>
  </si>
  <si>
    <t>Peningkatan PDRB per kapita biasanya dianggap sebagai tanda pertumbuhan ekonomi yang positif dan dapat meningkatkan standar hidup penduduk. Namun, penting untuk diingat bahwa PDRB per kapita tidak mencerminkan distribusi pendapatan yang merata di dalam wilayah tersebut, sehingga tidak memberikan gambaran lengkap tentang ketidaksetaraan ekonomi.</t>
  </si>
  <si>
    <t>Badan Pusat Statistik</t>
  </si>
  <si>
    <t>Tahunan</t>
  </si>
  <si>
    <t>Lengkap</t>
  </si>
  <si>
    <t>BPS</t>
  </si>
  <si>
    <t>Tersedia Nasional</t>
  </si>
  <si>
    <t>2025</t>
  </si>
  <si>
    <t>ISV-002</t>
  </si>
  <si>
    <t>2</t>
  </si>
  <si>
    <t>Indeks Ekonomi Biru Indonesia (IBEI)</t>
  </si>
  <si>
    <t>BPS PDRB per Kapita ADHB</t>
  </si>
  <si>
    <t>Menggunakan indikator proxy</t>
  </si>
  <si>
    <t>ISV-003</t>
  </si>
  <si>
    <t>Indeks Ekonomi Biru Indonesia menghitung kontribusi sektor ekonomi, sosial, dan lingkungan terhadap kemajuan ekonomi biru. Skor indeks akhir berkisar dari nol hingga seratus dan mengukur kondisi terkini ekonomi biru secara holistik. IBEI disusun dari beberapa indikator perekonomian makro, yang dapat mencerminkan perkembangan aspek ekonomi, sosial dan lingkungan yang terkait dengan sektor Ekonomi Biru. IBEI juga dapat digunakan untuk memprediksi kondisi ekonomi biru di masa depan, sesuai dengan asumsi-asumsi yang ditentukan. Indeks ekonomi biru diukur melalui beberapa komponen</t>
  </si>
  <si>
    <t>3</t>
  </si>
  <si>
    <t>Kontribusi PDRB Industri Pengolahan (%)</t>
  </si>
  <si>
    <t>utama: 1. Pilar Ekonomi: Terdiri dari tiga subsektor yaitu: (1) Perikanan tangkap dan budidaya, (2) Manufaktur berbasis kelautan, (3) Pariwisata berbasis kelautan. 2. Pilar Sosial: Dibangun dari tiga subsektor yaitu: (1) Ketenagakerjaan, (2) Kesehatan, (3) R&amp;D dan Pendidikan 3. Pilar Lingkungan: Mencakup dua subsektor yaitu: (1) Kualitas sumber daya dan konservasi laut dan (2) Energi terbarukan Komponen-komponen ini diolah menggunakan multi- stages PCA untuk menghasilkan skor Indeks Ekonomi Biru Indonesia, yang berkisar dari 0 hingga 100. Perhitungan IBEI dilakukan di dua tingkat wilayah, yaitu ditingkat nasional dan di tingkat provinsi. Hasil perhitungan PCA terbagi menjadi dua bagian penting, sebagai berikut: 1. Bobot – Menentukan peran dari masing-masing pilar dalam pembentukan indeks. Semakin tinggi bobot, semakin besar pula peran pilar tersebut dalam nilai index. 2. Skor – Merupakan hasil perkalian antara bobot dengan kinerja masing-masing indikator. Skor pada tingkat provinsi menentukan posisi masing-masing provinsi dalam kuadran IBEI.</t>
  </si>
  <si>
    <t>Secara umum, IBEI yang tinggi menunjukkan bahwa suatu wilayah telah berhasil dalam mengelola sumber daya lautnya dengan baik sehingga menghasilkan keuntungan ekonomi dan pemberdayaan manusia tanpa mengesampingkan kelestarian lingkungan hidup.</t>
  </si>
  <si>
    <t>Kementerian PPN/Bappenas</t>
  </si>
  <si>
    <t>Setiap tahun</t>
  </si>
  <si>
    <t>Dinas Perikanan dan Kelautan</t>
  </si>
  <si>
    <t>Tidak Tersedia</t>
  </si>
  <si>
    <t>2023</t>
  </si>
  <si>
    <t>Sumber data Bapennas</t>
  </si>
  <si>
    <t>Kontribusi Produk Domestik Regional Bruto (PDRB) yang bersumber dari sektor Industri Pengolahan yang mencerminkan proporsi nilai tambah sektor industri pengolahan terhadap PDB. Metode 𝑃𝑟𝑜𝑝𝑜𝑟𝑠𝑖 𝑃𝐷𝑅𝐵 𝑆𝑒𝑘𝑡𝑜𝑟 𝐼𝑛𝑑𝑢𝑠𝑡𝑟𝑖 𝑃𝑒𝑛𝑔𝑜𝑙𝑎h𝑎𝑛 "#$%# &amp;%'(%) *+,&amp;-. /012*&amp;.# 3+04-$%)%0 = "#$%# 5678 5.-9#0*# x 100%</t>
  </si>
  <si>
    <t>Kontribusi sektor industri pengolahan terhadap PDRB yang mencerminkan rasio hasil nilai tambah sektor industri pengolahan dengan total nilai PDRB . Semakin besar nilai PDRB yang dihasilkan oleh sektor industri pengolahan, semakin tinggi proporsinya terhadap Produk Domestik Regional Bruto per daerah, ceteris paribus.</t>
  </si>
  <si>
    <t>Triwulanan, Tahunan</t>
  </si>
  <si>
    <t>Tersedia s.d Kabupaten/Kota</t>
  </si>
  <si>
    <t>ISV-004</t>
  </si>
  <si>
    <t>BPS: Distribusi Industri Pengolahan</t>
  </si>
  <si>
    <t>dobel dengan IUP</t>
  </si>
  <si>
    <t>4</t>
  </si>
  <si>
    <t>Tingkat kemiskinan</t>
  </si>
  <si>
    <t>Pengentasan Kemiskinan dan Ketimpangan</t>
  </si>
  <si>
    <t>Tidak</t>
  </si>
  <si>
    <t>Kemiskinan adalah kondisi seseorang yang tidak mampu memenuhi kebutuhan dasar makanan maupun bukan makanan yang diukur dari sisi pengeluaran. Penduduk dikategorikan miskin jika memiliki rata-rata pengeluaran per kapita per bulan di bawah garis kemiskinan. Sedangkan Garis Kemiskinan (GK) merupakan akumulasi dari Garis Kemiskinan Makanan (GKM) dan Garis Kemiskinan Non Makanan (GKNM).</t>
  </si>
  <si>
    <t>Persentase penduduk miskin merupakan banyaknya penduduk yang memiliki rata-rata pengeluaran di bawah garis kemiskinan dibandingkan dengan total populasi penduduk Indonesia. Tingkat kemiskinan yang tinggi mengindikasikan masalah serius dalam mencapai kesejahteraan dasar masyarakat.</t>
  </si>
  <si>
    <t>Survei Sosial Ekonomi Nasional (Susenas)</t>
  </si>
  <si>
    <t>Dua kali per tahun (Maret dan September)</t>
  </si>
  <si>
    <t>Semesteran</t>
  </si>
  <si>
    <t>Periodisitas semesteran (2 nilai per tahun)</t>
  </si>
  <si>
    <t>ISV-005</t>
  </si>
  <si>
    <t>5</t>
  </si>
  <si>
    <t>Rasio gini</t>
  </si>
  <si>
    <t>Rasio gini merupakan salah satu teknik statistik untuk mengukur ketimpangan pendapatan. Keistimewaan dari alat ukur ini adalah dapat ditampilkan secara geometris, sehingga mempunyai dua aspek sekaligus yaitu aspek visual melalui kurva yang disebut kurva Lorenz dan aspek matematis.</t>
  </si>
  <si>
    <t>Rasio Gini = 1 − ∑&amp;%'((𝑝% − 𝑝%)( )(𝑌% − 𝑌%)( ) dimana: 𝑝% = Proporsi kumulatif dari penerima pendapatan i 𝑌% = Proporsi kumulatif pengeluaran perkapita i 𝑛 = jumlah observasi</t>
  </si>
  <si>
    <t>Angka rasio gini sebagai ukuran pemerataan mempunyai selang nilai antara 0 dan 1. Rasio Gini bernilai 0 menunjukan ketimpangan sebaran yang rendah (pemerataan sempurna). Sedangkan, nilai 1 menunjukan tingkat ketimpangan sebaran yang tinggi (ketimpangan sempurna). Menurut Todaro (2006), klasifikasi nilai dari rasio gini adalah sebagai berikut: 1. Nilai rasio gini terletak antara 0,50 – 0,70 menandakan pemerataan sangat timpang. 2. Nilai rasio gini terletak antara 0,36 – 0,49 menunjukan ketimpangan sedang. 3. Nilai rasio gini berada pada selang 0,20 – 0,35 menunjukan pemerataan relatif baik. Secara visual, rasio gini dapat dijelaskan dengan menggunakan kurva Lorenz, yaitu kurva pengeluaran kumulatif yang membandingkan distribusi dari suatu variabel tertentu (misalnya pengeluaran) dengan distribusi seragam yang mewakili persentase kumulatif penduduk. Grafik persentase kumulatif penduduk yang diurut dari termiskin ke terkaya digambar pada sumbu horizontal dan persentase kumulatif pengeluaran digambar pada sumbu vertikal. Rasio gini merupakan formula yang menghitung rasio luas bidang antara garis diagonal (perfect equality) dan kurva Lorenz. Semakin jauh jarak kurva Lorenz dengan garis diagonal, maka tingkat ketimpangan semakin tinggi.</t>
  </si>
  <si>
    <t>Badan Pusat Statistik, Survei Sosial Ekonomi Nasional</t>
  </si>
  <si>
    <t>Dua kali setahun, bulan Maret dan September setiap tahunnya.</t>
  </si>
  <si>
    <t>ISV-006</t>
  </si>
  <si>
    <t>6</t>
  </si>
  <si>
    <t>Kontribusi PDRB Provinsi</t>
  </si>
  <si>
    <t>Kontribusi PDRB Provinsi adalah share PDRB Provinsi terhadap PDB Nasional.</t>
  </si>
  <si>
    <t>𝑃𝐷𝑅𝐵*+,-%&amp;.% 𝐾𝑜𝑛𝑡𝑟𝑖𝑏𝑢𝑠𝑖 𝑃𝐷𝑅𝐵*+,-%&amp;.% = × 100% 𝑃𝐷𝐵/0.%,&amp;01</t>
  </si>
  <si>
    <t>Sebagai upaya mengukur tingkat pemerataan dan pengurangan ketimpangan ekonomi antarwilayah yang saat ini masih didominasi KBI.</t>
  </si>
  <si>
    <t>Triwulanan</t>
  </si>
  <si>
    <t>ISV-007</t>
  </si>
  <si>
    <t>Kepemimpinan dan Pengaruh di Dunia Internasional Meningkat</t>
  </si>
  <si>
    <t>7</t>
  </si>
  <si>
    <t>Indeks Daya Saing Daerah</t>
  </si>
  <si>
    <t>BAPPEDA</t>
  </si>
  <si>
    <t>data dari luar BPS. butuh pejelasan metadata</t>
  </si>
  <si>
    <t>ISV-008</t>
  </si>
  <si>
    <t>Peningkatan Daya Saing Sumber Daya Manusia</t>
  </si>
  <si>
    <t>8</t>
  </si>
  <si>
    <t>Indeks Modal Manusia</t>
  </si>
  <si>
    <t>Indeks Modal Manusia menghitung kontribusi kesehatan dan pendidikan terhadap produktivitas pekerja. Skor indeks akhir berkisar dari 0 hingga 1 dan mengukur produktivitas sebagai pekerja masa depan dari anak yang lahir hari ini relatif terhadap patokan kesehatan penuh dan pendidikan lengkap. Indeks Modal Manusia adalah pendekatan yang dilakukan oleh World Bank (Human Capital Index).</t>
  </si>
  <si>
    <t>Indeks modal manusia diukur melalui beberapa komponen utama: 1. Probabilitas bertahan hidup (survival) hingga usia 5 tahun: Probabilitas bahwa seorang anak yang baru lahir akan bertahan hingga usia 5 tahun. Data dihitung dari angka kematian balita. 2. Pendidikan: Akses pendidikan diukur melalui harapan lama sekolah. Kualitas pendidikan diukur melalui harmonized test scores. Data akses dan kualitas pendidikan ditransformasikan menjadi pengukuran Learning-Adjusted Years of Schooling menggunakan metrik konversi. 3. Kesehatan: Mencakup berbagai indikator kesehatan, termasuk stunting, yang merupakan kondisi di mana pertumbuhan anak terhambat karena malnutrisi kronis. 2 proksi yang digunakan adalah (1) adult survival rate yang didefinisikan sebagai proporsi penduduk usia 15 tahun yang hidup hingga 60 tahun; dan (2) prevalensi stunting. Komponen-komponen ini digabungkan untuk menghasilkan skor Indeks Modal Manusia, yang berkisar dari 0 hingga 1. Skor ini mengukur produktivitas tenaga kerja di masa depan dari anak yang dilahirkan saat ini, relatif terhadap patokan kesehatan penuh dan pendidikan lengkap. Komponen-komponen tersebut dapat dihitung dengan pendekatan sebagai berikut: 1. Survival dihitung dari angka kematian balita (SUPAS dan LF SP) 2. Pendidikan: Akses pendidikan tetap diukur melalui harapan lama sekolah, namun untuk kualitas pendidikan, harmonized test scores diukur melalui proksi hasil asesmen pendidikan yang dilaksanakan di tingkat nasional dan daerah. Data akses dan kualitas pendidikan ditransformasikan menjadi pengukuran Learning-Adjusted Years of Schooling menggunakan metrik konversi. 3. Kesehatan dihitung dari data adult survival rate (SUPAS dan LF SP) yang diagregasi pada usia 15-60 dan prevalensi stunting (SSGI dan SKI) 4. Konversi ketiga komponen menjadi Indeks Modal Manusia dilakukan menggunakan pendekatan yang dilakukan World Bank. Catatan: Perlu penjajakan dengan Worldbank, Badan Pusat Statistik, Kementerian Kesehatan, Kementerian Pendidikan, Kebudayaan, Riset, dan Teknologi, dan pakar statistik membahas metode perhitungan Indeks Modal Manusia di tingkat nasional dan daerah.</t>
  </si>
  <si>
    <t>Secara umum, IMM yang tinggi menunjukkan bahwa suatu wilayah telah berhasil dalam memberikan akses pendidikan dan kesehatan yang baik kepada penduduknya, yang pada gilirannya akan mendukung produktivitas tenaga kerja di masa depan.</t>
  </si>
  <si>
    <t>SUPAS, SP, SSGI, SKI, BPS, AN Kementerian Pendidikan, Kebudayaan, Riset, dan Teknologi</t>
  </si>
  <si>
    <t>SSGI: tahunan SKI: 5 tahunan SUPAS dan SP: 10 tahunan Badan Pusat Statistik: tahunan AN Kementerian Pendidikan, Kebudayaan, Riset, dan Teknologi: tahunan</t>
  </si>
  <si>
    <t>Belum ada realisasi 2021-2025</t>
  </si>
  <si>
    <t>data tidak tersedia</t>
  </si>
  <si>
    <t>masuk dalam RPJMD namun data belum ada</t>
  </si>
  <si>
    <t>ISV-009</t>
  </si>
  <si>
    <t>Penurunan Emisi GRK menuju Net Zero Emission</t>
  </si>
  <si>
    <t>9</t>
  </si>
  <si>
    <t>Penurunan intensitas emisi GRK</t>
  </si>
  <si>
    <t>Intensitas emisi gas rumah kaca (GRK) adalah perbandingan antara emisi gas rumah kaca yang terlepas ke atmosfer terhadap produk domestik regional bruto yang dihasilkan pada tahun tersebut. Penurunan intensitas emisi GRK untuk memperlihatkan sinergitas antara upaya penurunan emisi dengan pertumbuhan ekonomi.</t>
  </si>
  <si>
    <t>Intensitas emisi GRK (ton CO2e/2010 IDR) IEt = TEt / PDRBt IEt = Intensitas emisi GRK pada tahun t (ton CO2e/2010 IDR miliar) TEt = Total tingkat emisi GRK pada tahun t (ton CO2e) PDRBt = Produk Domestik Regional Bruto tahun t (2010 IDR miliar) t = titik tahun perhitungan Penurunan intensitas emisi GRK (%) %IEt = (IEt - IEBt) / IEBt %IEt = Persentase intensitas emisi GRK pada tahun t IEt = Intensitas emisi GRK pada tahun t (ton CO2e/2010 IDR miliar) IEBt = Intensitas emisi GRK baseline tahun t (ton CO2e/2010 IDR miliar) t = titik tahun perhitungan</t>
  </si>
  <si>
    <t>Persentase penurunan intensitas emisi gas rumah kaca (GRK)</t>
  </si>
  <si>
    <t>1. Penurunan Emisi Gas Rumah Kaca (GRK): Laporan AKSARA, Kementerian PPN/Bappenas; 2. Produk Domestik Regional Bruto (Harga Konstan 2010): BPS.</t>
  </si>
  <si>
    <t>Dinas Lingkungan Hidup</t>
  </si>
  <si>
    <t>Tersedia s.d Provinsi</t>
  </si>
  <si>
    <t>Masuk RPJMD Kaltara</t>
  </si>
  <si>
    <t>ISV-010</t>
  </si>
  <si>
    <t>10</t>
  </si>
  <si>
    <t>Indeks Kualitas Lingkungan Hidup</t>
  </si>
  <si>
    <t>Nilai yang menggambarkan kualitas Lingkungan Hidup dalam suatu wilayah pada waktu tertentu, yang merupakan nilai komposit dari Indeks Kualitas Air (IKA), Indeks Kualitas Udara (IKU), Indeks Kualitas Tutupan Lahan (IKTL), Indeks Kualitas Ekosistem Gambut (IKEG), dan Indeks Kualitas Air Laut (IKAL).</t>
  </si>
  <si>
    <t>IKLH Provinsi IKLH IKLH = (0.3400 x IKA) + (0.4280 x IKU) + Provinsi (0.1040 x IKTL) + (0.0209 x IKEG) + (0.099 dengan x IKAL) Ekosistem Gambut IKLH IKLH = (0.340 x IKA) + (0.428 x IKU) + Provinsi (0.133 x IKTL) + (0.099 x IKAL) tanpa Ekosistem Gambut IKLH IKLH = (0.3760 x IKA) + (0.4050 x IKU) + Provinsi (0.1712 x IKTL) + (0.0478 x IKEG) tanpa Laut dengan Ekosistem Gambut</t>
  </si>
  <si>
    <t>Kategori Indeks Kualitas Lingkungan Hidup Nomor Kategori Angka Rentang 1 Sangat Baik 90 ≤ x ≤ 100 2 Baik 70 ≤ x &lt; 90 3 Sedang 50 ≤ x &lt; 70 4 Kurang 25 ≤ x &lt; 50 5 Sangat Kurang 0 ≤ x &lt; 25</t>
  </si>
  <si>
    <t>Data yang dipergunakan dalam perhitungan IKLH berasal dari data pemantauan kualitas lingkungan pada media air, udara, tutupan lahan, tutupan ekosistem gambut, dan air laut yang dilakukan oleh Pemerintah Daerah Provinsi</t>
  </si>
  <si>
    <t>Data pemantauan yang dipergunakan dalam perhitungan IKLH adalah data pemantauan tahun berjalan dengan durasi pemantauan 1 tahun</t>
  </si>
  <si>
    <t>Tidak Masuk RPJMD Kaltara</t>
  </si>
  <si>
    <t>IUP-011</t>
  </si>
  <si>
    <t>IUP</t>
  </si>
  <si>
    <t>Transformasi Sosial</t>
  </si>
  <si>
    <t>IE1 - Kesehatan untuk Semua</t>
  </si>
  <si>
    <t>Usia Harapan Hidup</t>
  </si>
  <si>
    <t>Rata-rata jumlah tahun hidup yang akan dijalani oleh bayi yang baru lahir pada suatu tahun tertentu.</t>
  </si>
  <si>
    <t>Idealnya dihitung berdasarkan Angka Kematian Menurut Umur (Age Specific Death Rate/ASDR) yang datanya diperoleh dari catatan registrasi kematian secara bertahun-tahun sehingga dimungkinkan dibuat tabel kematian. Namun, karena catatan registrasi tidak tersedia dengan baik, maka dihitung dengan cara tidak langsung dengan paket program Micro Computer Program for Demographic Analysis (MCPDA) atau Mortpack</t>
  </si>
  <si>
    <t>Semakin tinggi usia harapan hidup di suatu daerah, menandakan semakin baik pula derajat kesehatan dan kesejahteraan masyarakat di daerah tersebut. Ini menunjukkan adanya perbaikan status kesehatan masyarakat, termasuk peningkatan akses dan kualitas pelayanan kesehatan.</t>
  </si>
  <si>
    <t>Proyeksi dari SUPAS dan SP sebagai proksi/pendekatan</t>
  </si>
  <si>
    <t>SP: 10 tahunan SUPAS: 10 tahunan</t>
  </si>
  <si>
    <t>IUP-012</t>
  </si>
  <si>
    <t>2.a</t>
  </si>
  <si>
    <t>Kesehatan Ibu dan Anak: Angka Kematian Ibu</t>
  </si>
  <si>
    <t>Angka Kematian Ibu (AKI) adalah banyaknya perempuan yang meninggal dari suatu penyebab kematian terkait dengan gangguan kehamilan atau penanganannya (tidak termasuk kecelakaan, bunuh diri atau kasus insidentil) selama kehamilan, melahirkan, dan dalam masa nifas (42 hari setelah melahirkan) tanpa memperhitungkan lama kehamilan per 100.000 kelahiran hidup.</t>
  </si>
  <si>
    <t>Jumlah kematian ibu yang berkaitan dengan kehamilan, persalinan, dan masa nifas yang tercatat atau hasil estimasi pada tahun tertentu dibagi jumlah kelahiran hidup pada periode yang sama dan dikali 100.000. AKI = (JKI/JLH) x 100.000 Keterangan: AKI : Angka kematian ibu JKI : Jumlah kematian ibu yang berkaitan dengan kehamilan, persalinan, dan masa nifas atau estimasi pada waktu tertentu JLH : Jumlah kelahiran hidup</t>
  </si>
  <si>
    <t>Indikator Angka Kematian Ibu (AKI) adalah ukuran yang digunakan untuk memantau jumlah kematian ibu yang terjadi sebagai akibat langsung dari komplikasi kehamilan, persalinan, dan masa nifas. AKI sangat penting karena memberikan gambaran tentang kualitas pelayanan kesehatan ibu dan anak di suatu negara atau wilayah. Angka Kematian Ibu (AKI) yang rendah di suatu wilayah mencerminkan beberapa hal penting: 1. Kualitas Pelayanan Kesehatan: AKI yang rendah biasanya mencerminkan kualitas pelayanan kesehatan yang baik, termasuk pelayanan kesehatan ibu dan anak, pelayanan antenatal, persalinan, dan pascapersalinan. 2. Akses Pelayanan Kesehatan: AKI yang rendah juga bisa mencerminkan akses yang baik ke pelayanan kesehatan. Ini bisa berarti bahwa fasilitas kesehatan mudah dijangkau dan terjangkau oleh masyarakat. 3. Pendidikan Kesehatan: AKI yang rendah bisa mencerminkan tingkat pengetahuan dan kesadaran masyarakat tentang kesehatan reproduksi dan pentingnya pelayanan kesehatan selama kehamilan dan persalinan. 4. Status Gizi: AKI yang rendah juga bisa mencerminkan status gizi ibu yang baik. Gizi yang baik selama kehamilan sangat penting untuk mencegah komplikasi yang bisa mengancam nyawa ibu. 5. Kesadaran Masyarakat: AKI yang rendah juga bisa mencerminkan tingkat kesadaran masyarakat tentang pentingnya perawatan kesehatan selama kehamilan dan persalinan.</t>
  </si>
  <si>
    <t>Sensus Penduduk (SP) dan Survei Penduduk Antar Sensus (SUPAS)</t>
  </si>
  <si>
    <t>Sensus Penduduk (SP): 10 tahunan Survei Penduduk Antar Sensus (SUPAS): 10 tahunan</t>
  </si>
  <si>
    <t>Dinas Kesehatan</t>
  </si>
  <si>
    <t>IUP-013</t>
  </si>
  <si>
    <t>2.b</t>
  </si>
  <si>
    <t>Kesehatan Ibu dan Anak: Prevalensi stunting (pendek dan sangat pendek) pada balita</t>
  </si>
  <si>
    <t>Stunting (pendek/sangat pendek) adalah kondisi kurang gizi kronis yang diukur berdasarkan indeks tinggi badan menurut umur (TB/U) dibandingkan dengan menggunakan standar WHO tahun 2005. Data tinggi badan pada menjadi analisis untuk status gizi dan tinggi badan setiap anak balita dikonversikan ke dalam nilai terstandar (Z-score) menggunakan baku antropometri anak balita WHO 2005. Klasifikasi berdasarkan indikator TB/U adalah sebagai berikut standar dari WHO dan Keputusan Menteri Kesehatan RI Nomor : 1995/MENKES/SK/XII/2010. a. Sangat pendek: Zscore &lt; -3,0 b. Pendek: Zscore ≥ -3,0 s/d Zscore &lt; -2,0</t>
  </si>
  <si>
    <t>Cara perhitungan (1) (1) Jumlah anak balita pendek pada waktu tertentu dibagi dengan jumlah anak balita pada waktu yang sama dan dinyatakan dalam satuan persen (%). Keterangan PAB(5) P : Prevalensi anak balita yang stunting menderita pendek (stunting) JAB(5 )P stunting : Jumlah anak balita pendek (stunting) pada waktu tertentu JAB(5) : Jumlah anak balita pada waktu yang sama Cara perhitungan (2) (2) Jumlah anak balita sangat pendek pada waktu tertentu dibagi dengan jumlah anak balita pada periode yang sama dan dinyatakan dalam satuan persen (%). Keterangan PAB(5) : Prevalensi anak balita yang SP stunting menderita sangat pendek (stunting) JAB(5) SP stunting : Jumlah anak balita sangat pendek (stunting) pada waktu tertentu JAB(5) : Jumlah anak balita pada waktu yang sama Cara perhitungan (3) Prevalensi stunting = PAB(5) P + PAB(5) SP</t>
  </si>
  <si>
    <t>Prevalensi stunting yang tinggi di suatu wilayah menggambarkan beberapa masalah serius, termasuk: 1. Kekurangan Gizi: Stunting adalah indikator kekurangan gizi kronis. Prevalensi stunting yang tinggi menunjukkan bahwa banyak anak di wilayah tersebut menderita kekurangan gizi dalam jangka waktu yang lama. 2. Akses Pelayanan Kesehatan: Prevalensi stunting yang tinggi dapat mencerminkan akses yang terbatas ke pelayanan kesehatan berkualitas, termasuk pelayanan gizi dan kesehatan ibu dan anak. 3. Kemiskinan: Stunting sering kali terkait dengan kemiskinan. Keluarga yang miskin mungkin tidak mampu menyediakan makanan bergizi untuk anak-anak mereka, yang pada gilirannya dapat menyebabkan stunting. 4. Pendidikan: Tingkat pendidikan orang tua, khususnya ibu, juga berpengaruh terhadap prevalensi stunting. Orang tua yang berpendidikan cenderung lebih memahami pentingnya gizi dan kesehatan bagi pertumbuhan dan perkembangan anak. 5. Faktor Lingkungan: Faktor lingkungan seperti sanitasi yang buruk dan akses terbatas ke air bersih juga dapat berkontribusi terhadap prevalensi stunting.</t>
  </si>
  <si>
    <t>SSGI Survei Kesehatan Indonesia perlu dieksplor penggunaan data program Kementerian Kesehatan (E-PPGBM) untuk penyediaan data tahunan</t>
  </si>
  <si>
    <t>SSGI: tahunan Survei Kesehatan Indonesia : 5 tahunan</t>
  </si>
  <si>
    <t>SSGI Kemenkes</t>
  </si>
  <si>
    <t>IUP-014</t>
  </si>
  <si>
    <t>Insidensi Tuberkulosis (per 100.000 penduduk): Cakupan penemuan kasus Tuberkulosis (treatment coverage)</t>
  </si>
  <si>
    <t>Persentase kasus tuberkulosis yang berhasil ditemukan dan mendapatkan pengobatan di suatu wilayah dalam periode tertentu</t>
  </si>
  <si>
    <t>Cakupan penemuan dan pengobatan kasus tuberkulosis dihitung berdasarkan jumlah seluruh kasus tuberkulosis yang berhasil ditemukan dan mendapatkan pengobatan dibandingkan dengan perkiraan jumlah kasus tuberkulosis yang ada di suatu wilayah dalam periode tertentu.</t>
  </si>
  <si>
    <t>Indikator ini adalah ukuran penting dalam penanggulangan tuberkulosis, karena menunjukkan sejauh mana upaya penemuan dan pengobatan kasus tuberkulosis berhasil dilakukan. Indikator ini mencakup dua aspek penting: 1. Penemuan Kasus: Ini merujuk pada kemampuan sistem kesehatan untuk mengidentifikasi dan mendiagnosis individu yang menderita tuberkulosis. 2. Pengobatan Kasus: Ini merujuk pada kemampuan sistem kesehatan untuk memberikan pengobatan yang tepat dan efektif kepada individu yang didiagnosis dengan tuberkulosis.</t>
  </si>
  <si>
    <t>Data Program Kementerian Kesehatan</t>
  </si>
  <si>
    <t>2024</t>
  </si>
  <si>
    <t>data tidak tersedia, dari Dinkes/Kemenkes</t>
  </si>
  <si>
    <t>IUP-015</t>
  </si>
  <si>
    <t>Belum ada realisasi 2021-2025; Belum ada target</t>
  </si>
  <si>
    <t>Terdapat pada Pedoman RPJPD Provinsi, belum masuk daftar pemantauan Kaltara</t>
  </si>
  <si>
    <t>IUP-016</t>
  </si>
  <si>
    <t>Cakupan kepesertaan jaminan kesehatan nasional</t>
  </si>
  <si>
    <t>Indikator ini menyatakan jumlah penduduk yang terdaftar sebagai kepesertaan jaminan kesehatan nasional (JKN) atau BPJS Kesehatan di mana bagi fakir miskin dan orang tidak mampu dibayarkan oleh pemerintah.</t>
  </si>
  <si>
    <t>Metode perhitungan yang digunakan adalah jumlah peserta jaminan kesehatan nasional dibagi dengan jumlah penduduk Indonesia dikali 100%.</t>
  </si>
  <si>
    <t>Cakupan kepesertaan jaminan kesehatan nasional yang tinggi di suatu wilayah mencerminkan beberapa hal penting: 1. Akses Pelayanan Kesehatan: Cakupan kepesertaan yang tinggi menunjukkan bahwa sebagian besar penduduk di wilayah tersebut memiliki akses ke pelayanan kesehatan. 2. Kesadaran Masyarakat: Cakupan yang tinggi juga bisa mencerminkan tingkat kesadaran masyarakat tentang pentingnya asuransi kesehatan dalam mendapatkan pelayanan kesehatan yang berkualitas. 3. Komitmen Pemerintah Daerah: Cakupan yang tinggi juga bisa mencerminkan komitmen pemerintah daerah dalam mendaftarkan penduduknya ke dalam program jaminan kesehatan nasional. 4. Pencapaian Universal Health Coverage (UHC): Cakupan yang tinggi adalah langkah positif menuju pencapaian Universal Health Coverage (UHC), yaitu kondisi di mana semua orang dapat memperoleh layanan kesehatan yang mereka butuhkan tanpa mengalami kesulitan keuangan.</t>
  </si>
  <si>
    <t>BPJS DJSN</t>
  </si>
  <si>
    <t>BPJS</t>
  </si>
  <si>
    <t>sumber data BPJS dan DJSN menurut bukped</t>
  </si>
  <si>
    <t>IUP-017</t>
  </si>
  <si>
    <t>IE2 - Pendidikan Berkualitas yang Merata</t>
  </si>
  <si>
    <t>5.a.1</t>
  </si>
  <si>
    <t>Persentase kabupaten/kota yang mencapai standar kompetensi minimum pada asesmen tingkat nasional untuk: i) Literasi Membaca</t>
  </si>
  <si>
    <t>Jumlah kabupaten/kota di provinsi X yang memiliki capaian asesmen tingkat nasional mencapai standar kompetensi minimum dibagi jumlah kabupaten/kota di provinsi X. Asesmen Nasional adalah ukuran hasil asesmen peserta didik secara nasinal untuk aspek literasi membaca dan numerasi yang diselenggarakan oleh Kementerian Pendidikan, Kebudayaan, Riset, dan Teknologi. Asesmen Nasional diikuti oleh seluruh satuan pendidikan tingkat dasar dan menengah di bawah Kementerian Pendidikan, Kebudayaan, Riset, dan Teknologi dan Kementerian Agama, termasuk satuan pendidikan kesetaraan. Pada tiap satuan pendidikan, Asesmen Nasional akan diikuti oleh sebagian peserta didik kelas V, VIII, dan XI yang dipilih secara acak oleh Kementerian Pendidikan, Kebudayaan, Riset, dan Teknologi. Hasil capaian Asesmen Nasional dibagi menjadi empat kategori, yaitu: 1. Perlu intervensi khusus 2. Dasar 3. Cakap 4. Mahir Dikategorikan sudah “mencapai kompetensi minimum” jika paling sedikit 75% peserta didik pada kabupaten/kota tersebut memiliki level hasil belajar minimal “cakap”.</t>
  </si>
  <si>
    <t>∑0#:; 𝑘𝑎𝑏𝑘𝑜𝑡 𝑚𝑖𝑛. 𝑆𝐾𝑀 %𝑘𝑎𝑏𝑘𝑜𝑡 𝑚𝑖𝑛. 𝑆𝐾𝑀 = 𝑛 Keterangan: 𝑘𝑎𝑏𝑘𝑜𝑡 𝑚𝑖𝑛. 𝑆𝐾𝑀 = Kabupaten/kota yang mencapai standar kompetensi minimum pada asesmen tingkat nasional untuk literasi membaca atau numerasi 𝑛 = Jumlah kabupaten/kota</t>
  </si>
  <si>
    <t>Misal: Persentase kabupaten/kota yang mencapai standar kompetensi minimum pada asesmen tingkat nasional untuk literasi membaca tahun 2022 sebesar 11,67%. Artinya, ada 11,67% kabupaten/kota di Indonesia atau sebanyak 60 kabupaten/kota yang telah mencapai standar kompetensi minimum pada asesmen tingkat nasional untuk literasi membaca (paling sedikit 75% peserta didik pada kabupaten/kota tersebut memiliki level hasil belajar minimal “cakap”).</t>
  </si>
  <si>
    <t>Asesmen Nasional, Kementerian Pendidikan, Kebudayaan, Riset, dan Teknologi</t>
  </si>
  <si>
    <t>Dinas Pendidikan</t>
  </si>
  <si>
    <t>indikator tidak ada di kaltara, digantikan oleh indikator proxy</t>
  </si>
  <si>
    <t>IUP-018</t>
  </si>
  <si>
    <t>5.a.2</t>
  </si>
  <si>
    <t>Persentase satuan pendidikan yang mencapai standar kompetensi minimum pada asesmen tingkat nasional untuk: ii) Numerasi</t>
  </si>
  <si>
    <t>Jumlah satuan pendidikan di provinsi X yang memiliki capaian asesmen tingkat nasional mencapai standar kompetensi minimum dibagi jumlah satuan pendidikan di provinsi X. Asesmen Nasional adalah ukuran hasil asesmen peserta didik secara nasional untuk aspek literasi membaca dan numerasi yang diselenggarakan oleh Kementerian Pendidikan, Kebudayaan, Riset, dan Teknologi (Kemendikbudristek). Asesmen Nasional diikuti oleh seluruh satuan pendidikan tingkat dasar dan menengah, termasuk satuan pendidikan kesetaraan. Pada tiap satuan pendidikan, Asesmen Nasional akan diikuti oleh sebagian peserta didik kelas V, VIII, dan XI yang dipilih secara acak oleh Kemendikbudristek. Hasil capaian Asesmen Nasional dibagi menjadi empat kategori, yaitu: 1. Perlu intervensi khusus 2. Dasar 3. Cakap 4. Mahir Dikategorikan sudah “mencapai kompetensi minimum” jika paling sedikit 75% peserta didik pada satuan pendidikan tersebut memiliki level hasil belajar minimal “cakap”.</t>
  </si>
  <si>
    <t>∑0#:; 𝑠𝑎𝑡𝑑𝑖𝑘 𝑚𝑖𝑛. 𝑆𝐾𝑀 %𝑠𝑎𝑡𝑑𝑖𝑘 𝑚𝑖𝑛. 𝑆𝐾𝑀 = 𝑛 Keterangan: 𝑠𝑎𝑡𝑑𝑖𝑘 𝑚𝑖𝑛. 𝑆𝐾𝑀 = Satuan pendidikan yang mencapai standar kompetensi minimum pada asesmen tingkat nasional untuk literasi membaca atau numerasi 𝑛 = Jumlah satuan pendidikan</t>
  </si>
  <si>
    <t>Misal: Persentase satuan pendidikan yang mencapai standar kompetensi minimum pada asesmen tingkat nasional untuk literasi membaca tahun 2022 sebesar 29,16%. Artinya, ada 29,16% satuan pendidikan di Indonesia atau sebanyak 83.808 satuan pendidikan yang telah mencapai standar kompetensi minimum pada asesmen tingkat nasional untuk literasi membaca (paling sedikit 75% peserta didik pada satuan pendidikan tersebut memiliki level hasil belajar minimal “cakap”).</t>
  </si>
  <si>
    <t>IUP-020</t>
  </si>
  <si>
    <t>5.b.1</t>
  </si>
  <si>
    <t>IUP-021</t>
  </si>
  <si>
    <t>5.b.2</t>
  </si>
  <si>
    <t>Persentase satuan pendidikan yang mencapai standar</t>
  </si>
  <si>
    <t>IUP-022</t>
  </si>
  <si>
    <t>5.c</t>
  </si>
  <si>
    <t>Hasil Pembelajaran: Rata-rata lama sekolah penduduk usia di atas 15 tahun (tahun)</t>
  </si>
  <si>
    <t>Rerata waktu (dalam satuan tahun) yang ditempuh oleh penduduk usia 15 tahun ke atas dalam menyelesaikan semua jenjang pendidikan formal yang pernah dijalani. Rata-rata Lama Sekolah penduduk usia 15 tahun ke atas (RLS 15+) dihitung dengan cara mengkonversikan ijazah terakhir dan tingkat pendidikan yang sedang dijalani ke dalam satuan tahun dengan tidak memperhitungkan adanya kejadian pengulangan kelas. Ijazah yang dimiliki akan dikonversi ke dalam lama waktu bersekolah (satuan tahun) berdasarkan ketentuan berikut: a. Tidak punya ijazah = 0 tahun; b. SD = 6 tahun; c. SMP = 9 tahun; d. SMA = 12 tahun; e. D1/D2 = 14 tahun; f. D3 = 15 tahun; g. D4 = 16 tahun; h. S1 = 17 tahun; i. S2 = 19 tahun; j. S3 = 22 tahun. Konversi ijazah ke menjadi lamanya waktu bersekolah memenuhi perhitungan berikut ini: a. Tidak pernah sekolah = 0 tahun; 2. Masih sekolah di SD sampai dengan S1= konversi ijazah terakhir + kelas terakhir – 1; 3. Masih sekolah di S2/S3 = konversi ijazah terakhir + 1; 4. Tidak bersekolah lagi dan tamat kelas terakhir = konversi ijazah terakhir; 5. Tidak bersekolah lagi dan tidak tamat di kelas terakhir = konversi ijazah terakhir + kelas terakhir –1</t>
  </si>
  <si>
    <t>%!"# 1 𝑅𝑎𝑡𝑎 − 𝑟𝑎𝑡𝑎 𝐿𝑎𝑚𝑎 𝑆𝑒𝑘𝑜𝑙𝑎ℎ 15+ = 4 𝑥$ 𝑃!"# $&amp;! Keterangan: 𝑃(23 = Jumlah penduduk yang berusia 15 tahun ke atas 𝑥% = Lama sekolah penduduk ke- 𝑖</t>
  </si>
  <si>
    <t>Misal: RLS 15+ Indonesia tahun 2022 = 9,08 tahun, artinya secara rata-rata, penduduk Indonesia yang berusia 15 tahun ke atas telah menempuh pendidikan selama 9,08 tahun atau telah menamatkan kelas IX.</t>
  </si>
  <si>
    <t>Susenas, Badan Pusat Statistik</t>
  </si>
  <si>
    <t>Tahunan (hasil survei bulan Maret di setiap tahunnya)</t>
  </si>
  <si>
    <t>IUP-023</t>
  </si>
  <si>
    <t>5.d</t>
  </si>
  <si>
    <t>Hasil Pembelajaran: Harapan lama sekolah</t>
  </si>
  <si>
    <t>Lamanya waktu bersekolah yang diharapkan dapat dirasakan oleh anak-anak usia tertentu pada jenjang pendidikan usia tersebut di masa mendatang.</t>
  </si>
  <si>
    <t>0 𝐸#&amp; 𝐻𝑎𝑟𝑎𝑝𝑎𝑛 𝐿𝑎𝑚𝑎 𝑆𝑒𝑘𝑜𝑙𝑎ℎ = 𝐹𝐾 ; &amp; 𝑃# #:&lt; Keterangan: 𝐹𝐾 = Faktor koreksi pesantren 𝐸%4 = Jumlah penduduk usia 𝑖 yang berkolah pada tahun 𝑡 𝑃%4 = Jumlah penduduk usia 𝑖 pada tahun 𝑡 𝑖 = Usia (7, 8, ..., 𝑛)</t>
  </si>
  <si>
    <t>Angka HLS menunjukkan peluang anak usia 7 tahun ke atas untuk menempuh pendidikan formal pada waktu tertentu. Misal: HLS Indonesia pada tahun 2022 sebesar 13,10 tahun. Artinya, secara rata-rata anak usia 7 tahun yang masuk jenjang pendidikan formal pada tahun 2022 memiliki peluang untuk bersekolah selama 13,10 tahun atau setara dengan Diploma I.</t>
  </si>
  <si>
    <t>IUP-024</t>
  </si>
  <si>
    <t>Proporsi Penduduk Berusia 15 Tahun ke atas yang Berkualifikasi Pendidikan Tinggi (%)</t>
  </si>
  <si>
    <t>• Proporsi penduduk berusia 15 Tahun ke atas yang berkualifikasi pendidikan tinggi adalah untuk memantau jumlah penduduk berusia 15 tahun ke atas yang berhasil menyelesaikan pendidikan hingga ke jenjang perguruan tinggi. • Nilai tertinggi dari indikator ini mencapai 100% (seluruh penduduk berusia 15 tahun ke atas di provinsi tersebut sudah menyelesaikan pendidikan tinggi). • Jenjang pendidikan tinggi mencakup: o Diploma I-IV o S1 o S2 o S2 Terapan o S3</t>
  </si>
  <si>
    <t>Proporsi penduduk Jumlah penduduk 15 tahun ke atas, yang berusia 15 Tahun ke lulus/berijazah pendidikan tinggi di atas yang = Provinsi X X 100% berkualifikasi Jumlah penduduk 15 tahun ke atas di pendidikan tinggi Provinsi X</t>
  </si>
  <si>
    <t>• Positif • Tingginya proporsi penduduk Berusia 15 Tahun ke atas yang berkualifikasi pendidikan tinggi menggambarkan kualitas penduduk dari segi pendidikan semakin baik.</t>
  </si>
  <si>
    <t>Survei Sosial Ekonomi Nasional (Susenas) oleh Badan Pusat Statistik (BPS)</t>
  </si>
  <si>
    <t>11,92 - 12,67</t>
  </si>
  <si>
    <t>Target 2045 bukan angka tunggal ("11,92 - 12,67")</t>
  </si>
  <si>
    <t>BPS: Susenas</t>
  </si>
  <si>
    <t>Tidak Masuk RPJMD Kaltara, digantikan oleh proxy</t>
  </si>
  <si>
    <t>IUP-025</t>
  </si>
  <si>
    <t>Persentase pekerja lulusan pendidikan menengah dan tinggi yang bekerja di bidang keahlian menengah tinggi</t>
  </si>
  <si>
    <t>• Pekerja lulusan pendidikan menengah dan tinggi merupakan penduduk usia 15 tahun ke atas lulusan pendidikan menengah atau pendidikan tinggi. Tingkat Pendidikan Tingkat Pendidikan Tingkat Pendidikan Rendah Menengah Tinggi • Tidak/belum • SMA/MA/SMLB/ • Diploma I/II/III tamat SD Paket C • Diploma IV • SD/MI/SDLB/ • SMK • S1 Paket A • MAK • S2 • SMP/MTs/ • S2 Terapan SMPLB/Paket B • S3 • Bidang keahlian menengah (semi-skilled) adalah bidang kerja yang membutuhkan pekerja yang memiliki pengetahuan dan keterampilan dengan tingkat kompleksitas sedang untuk menyelesaikan tugas yang umumnya bersifat rutin dan tidak membutuhkan kemampuan mental tinggi. • Bidang keahlian tinggi (skilled) adalah bidang kerja yang membutuhkan pekerja dengan pengetahuan dan keterampilan komprehensif atas pekerjaan yang dilakukannya sehingga mampu menyelesaikan tugas yang sifatnya kompleks dan membutuhkan kemampuan mental tinggi. • Indikator ini diperoleh dengan membagi jumlah penduduk 15 tahun ke atas yang lulus pendidikan menengah atau pendidikan tinggi, dan sedang bekerja pada bidang keahlian menengah atau tinggi dengan jumlah penduduk 15 tahun ke atas yang lulus pendidikan menengah atau pendidikan tinggi, dan sedang bekerja pada bidang keahlian rendah atau menengah atau tinggi.</t>
  </si>
  <si>
    <t>Jumlah penduduk 15 tahun ke atas, yang lulus pendidikan menengah atau pendidikan tinggi, dan sedang bekerja pada bidang Persentase pekerja lulusan pendidikan keahlian menengah atau tinggi, pada tahun menengah dan tinggi T di Provinsi X = X 100% yang bekerja di bidang keahlian menengah Jumlah penduduk 15 tahun ke atas, yang tinggi (Provinsi X) lulus pendidikan menengah atau pendidikan tinggi, dan sedang bekerja pada tahun T di Provinsi X</t>
  </si>
  <si>
    <t>• Positif • Meningkatnya persentase pekerja lulusan pendidikan menengah dan tinggi yang bekerja di bidang keahlian menengah dan tinggi menggambarkan peningkatan link and match tenaga kerja antara dunia pendidikan (supply) dan lapangan kerja (demand) dengan klasifikasi keahlian yang sesuai dengan tingkat pendidikan.</t>
  </si>
  <si>
    <t>Survei Angkatan Kerja Nasional (Sakernas) oleh Badan Pusat Statistik (BPS)</t>
  </si>
  <si>
    <t>Dua kali per tahun (Februari dan Agustus), namun yang digunakan adalah publikasi Agustus.</t>
  </si>
  <si>
    <t>Dinas Sosial</t>
  </si>
  <si>
    <t>(Sakernas) definisi bidang keahlian menengah tinggi tidak ada ukuran jelasnya</t>
  </si>
  <si>
    <t>IUP-026</t>
  </si>
  <si>
    <t>IE3 - Perlindungan Sosial yang Adaptif</t>
  </si>
  <si>
    <t>Persentase penduduk miskin merupakan banyaknya penduduk yang memiliki rata-rata pengeluaran di bawah garis kemiskinan dibandingkan dengan total populasi penduduk regional.</t>
  </si>
  <si>
    <t>Bingung, Apa bedanya dengan tingkat kemiskinan yang di ISV</t>
  </si>
  <si>
    <t>IUP-027</t>
  </si>
  <si>
    <t>Cakupan kepesertaan jaminan sosial ketenagakerjaan</t>
  </si>
  <si>
    <t>Cakupan kepesertaan jaminan sosial ketenagakerjaan adalah proksi yang digunakan untuk mengukur perlindungan jaminan sosial nasional bagi pekerja di Indonesia. Definisinya adalah jumlah pekerja yang memiliki Program Jaminan Kecelakaan Kerja (JKK) dan Program Jaminan Kematian (JKM) BPJS Ketenagakerjaan terhadap semesta penduduk bekerja.</t>
  </si>
  <si>
    <t>𝐶𝑎𝑘𝑢𝑝𝑎𝑛 𝐽𝑎𝑚𝑠𝑜𝑠 𝑁𝑎𝑘𝑒𝑟 𝐽𝑢𝑚𝑙𝑎ℎ 𝑝𝑒𝑠𝑒𝑟𝑡𝑎 𝐵𝑃𝐽𝑆 𝐾𝑒𝑡𝑒𝑛𝑎𝑔𝑎𝑘𝑒𝑟𝑗𝑎𝑎𝑛 = × 100% 𝐽𝑢𝑚𝑙𝑎ℎ 𝑠𝑒𝑚𝑒𝑠𝑡𝑎 𝑝𝑒𝑛𝑑𝑢𝑑𝑢𝑘 𝑏𝑒𝑘𝑒𝑟𝑗𝑎 Dimana: 𝑃𝑒𝑠𝑒𝑟𝑡𝑎= Pekerja Penerima Upah (PPU), Jasa Konstruksi, dan Pekerja Bukan Penerima Upah 𝑆𝑒𝑚𝑒𝑠𝑡𝑎 𝑝𝑒𝑛𝑑𝑢𝑑𝑢𝑘 𝑏𝑒𝑘𝑒𝑟𝑗𝑎 = Penduduk Bekerja yang berusia 15-65 tahun</t>
  </si>
  <si>
    <t>Semakin tinggi Cakupan Kepesertaan Jaminan Sosial Ketenagakerjaan menunjukkan tingkat perlindungan jaminan sosial ketenagakerjaan yang semakin tinggi. Jaminan sosial ini mencakup perlindungan terhadap risiko- risiko seperti kecelakaan kerja, penyakit akibat kerja, dan kematian. Manfaat yang diperoleh peserta maupun keluarga meliputi santunan tunai, fasilitasi pengembalian ke pasar kerja, dan beasiswa bagi anak.</t>
  </si>
  <si>
    <t>BPJS Ketenagakerjaan dan BPS, Susenas.</t>
  </si>
  <si>
    <t>Setiap bulan dan survei dua kali setahun, bulan Maret dan September setiap tahunnya.</t>
  </si>
  <si>
    <t>BPS: Sakernas (di Susenas tidak bisa mengolah data jaminan sosial ketenagakerjaan)</t>
  </si>
  <si>
    <t>IUP-028</t>
  </si>
  <si>
    <t>Persentase penyandang disabilitas bekerja di sektor formal (%)</t>
  </si>
  <si>
    <t>Pekerja penyandang disabilitas adalah penduduk penyandang disabilitas berusia 15 tahun ke atas yang bekerja dan mengalami satu atau lebih hambatan diantaranya: gangguan dalam penglihatan, pendengaran, mobilitas, menggunakan atau menggerakan jari atau tangan, gangguan berbicara atau memahami atau berkomunikasi dengan orang lain, gangguan mengingat, berkonsentrasi, dan gangguan emosional dengan tingkat keparahan rendah, sedang, sampai parah. Penyandang disabilitas yang bekerja di sektor formal adalah penyandang disabilitas yang bekerja pada status pekerjaan berusaha dibantu buruh tetap atau buruh dibayar (status pekerjaan 3) dan buruh/karyawan/pegawai (status pekerjaan 4). Persentase penyandang disabilitas bekerja di sektor formal adalah proporsi penyandang disabilitas yang bekerja di sektor formal (status pekerjaan 3 dan 4) terhadap total penyandang disabilitas pada angkatan kerja. Penyandang disabilitas yang dihitung dalam indikator ini adalah penyandang disabilitas kategori sedang dan berat.</t>
  </si>
  <si>
    <t>Persentase penyandang disabilitas bekerja di sektor formal merupakan proporsi penyandang disabilitas yang bekerja pada status pekerjaan berusaha dibantu buruh tetap atau buruh dibayar dan bekerja sebagai buruh/karyawan/pegawai terhadap total angkatan kerja penyandang disabilitas. Penyandang disabilitas yang bekerja di sektor formal mendapatkan jobs security, penghasilan yang stabil, serta cakupan perlindungan sosial yang lebih baik untuk mendapatkan kehidupan yang layak dibandingkan mereka yang bekerja di sektor informal.</t>
  </si>
  <si>
    <t>Survei Angkatan Kerja Nasional (Sakernas)</t>
  </si>
  <si>
    <t>Sebagian</t>
  </si>
  <si>
    <t>Dinas Ketenagakerjaan dan Migrasi</t>
  </si>
  <si>
    <t>BPS: Sakernas</t>
  </si>
  <si>
    <t>IUP-029</t>
  </si>
  <si>
    <t>Transformasi Ekonomi</t>
  </si>
  <si>
    <t>IE4 - Iptek, Inovasi, dan Produktivitas Ekonomi</t>
  </si>
  <si>
    <t>11.a</t>
  </si>
  <si>
    <t>Produktivitas Industri dan Pertanian: Rasio PDRB Industri Pengolahan (%)</t>
  </si>
  <si>
    <t>Bingung, Apa bedanya dengan Kontirubsi industri manufaktur yang di ISV</t>
  </si>
  <si>
    <t>IUP-030</t>
  </si>
  <si>
    <t>11.b</t>
  </si>
  <si>
    <t>Produktivitas Industri dan Pertanian: Pertumbuhan PDRB Pertanian, Kehutanan dan Perikanan (%)</t>
  </si>
  <si>
    <t>Belum tersedia dalam buku metadata</t>
  </si>
  <si>
    <t>Metadata belum tersedia di buku</t>
  </si>
  <si>
    <t>BPS: Laju Perumbuhan PDRB Pertanian, Kehutanan, dan Perikanan</t>
  </si>
  <si>
    <t>IUP-031</t>
  </si>
  <si>
    <t>11.c</t>
  </si>
  <si>
    <t>Produktivitas Industri dan Pertanian: Pertumbuhan PDRB Sektor Industri Pengolahan Nonmigas Provinsi</t>
  </si>
  <si>
    <t>Belum ada target; Metadata belum tersedia di buku</t>
  </si>
  <si>
    <t>BPS: Laju Perumbuhan PDRB Industri Pengolahan Nonmigas</t>
  </si>
  <si>
    <t>IUP-032</t>
  </si>
  <si>
    <t>Nilai tidak tunggal / bukan angka</t>
  </si>
  <si>
    <t>12.a</t>
  </si>
  <si>
    <t>Rasio PDRB Penyediaan Akomodasi Makan dan Minum (%)</t>
  </si>
  <si>
    <t>Proporsi PDRB Penyediaan Akomodasi Makan dan Minum adalah persen bagian PDB regional yang dikontribusikan oleh aktivitas terkait pariwisata meliputi: 1. Penyediaan Akomodasi bagi Wisatawan, dan 2. Penyediaan Jasa Makan dan Minum. "#$%# &amp;%'(%) *+,-+.#%%, /0'%'#, Metode 𝑅𝑎𝑠𝑖𝑜 𝑃𝐷𝑅B Penyediaan Akmamin = "#$%# *123 *456#,7# x 100%</t>
  </si>
  <si>
    <t>Semakin besar nilai PDB yang dihasilkan oleh aktivitas terkait pariwisata, semakin tinggi proporsinya terhadap PDB regional, ceteris paribus. Ke depan, perlu ada pemutakhiran dari aktivitas-aktivitas yang terkait pariwisata.</t>
  </si>
  <si>
    <t>Badan Pusat Statistik Daerah, Kementerian Pariwisata dan Ekonomi Kreatif</t>
  </si>
  <si>
    <t>IUP-033</t>
  </si>
  <si>
    <t>12.b</t>
  </si>
  <si>
    <t>Jumlah Tamu Wisatawan Mancanegara (Ribu Orang)</t>
  </si>
  <si>
    <t>Jumlah tamu wisatawan mancanegara yang menginap di hotel berbintang di daerah (Provinsi) tertentu. Metode 𝐷𝑎𝑡𝑎 𝐽𝑢𝑚𝑙𝑎h 𝑇𝑎𝑚𝑢 𝑊𝑖𝑠𝑎𝑡𝑎𝑤𝑎𝑛 𝑀𝑎𝑛𝑐𝑎𝑛𝑒𝑔𝑎𝑟𝑎 Perhitungan (𝑑𝑖 𝑠𝑒𝑡𝑖𝑎𝑝 h𝑜𝑡𝑒𝑙 𝑏𝑒𝑟𝑏𝑖𝑛𝑡𝑎𝑛𝑔 𝑑𝑖 𝑑𝑎𝑒𝑟𝑎h (𝑃𝑟𝑜𝑣𝑖𝑛𝑠𝑖) 𝑡𝑒𝑟𝑡𝑒𝑛𝑡𝑢)</t>
  </si>
  <si>
    <t>Semakin tinggi jumlah tamu wisatawan mancanegara yang menginap di hotel berbintang di daerah (Provinsi) tertentu maka akan meningkatkan devisa dari sektor pariwisata secara nasional.</t>
  </si>
  <si>
    <t>Badan Pusat Statistik, Kementerian Pariwisata dan Ekonomi Kreatif</t>
  </si>
  <si>
    <t>Dinas Pariwisata</t>
  </si>
  <si>
    <t>Satuan target 2045 tidak konsisten dengan target 2025-2029</t>
  </si>
  <si>
    <t>IUP-034</t>
  </si>
  <si>
    <t>13</t>
  </si>
  <si>
    <t>Nilai Tambah Ekonomi Kreatif (Rupiah)</t>
  </si>
  <si>
    <t>PDRB pada definisi BPS merupakan jumlah nilai tambah yang dihasilkan oleh seluruh unit usaha dalam suatu negara tertentu, atau merupakan jumlah nilai barang dan jasa akhir yang dihasilkan oleh seluruh unit ekonomi pada satu daerah. Dengan demikian, Proporsi PDRB Ekonomi Kreatif adalah persen bagian PDB regional yang dikontribusikan oleh aktivitas ekonomi kreatif dari 17 subsektor yang termasuk: 1. Fesyen 2. Kuliner 3. Kriya 4. Film, Animasi dan Video 5. Pengembang Permainan 6. Aplikasi 7. Musik 8. Seni Pertunjukan 9. Fotografi 10. Desain Komunikasi Visual 11. Televisi dan Radio 12. Seni Rupa 13. Desain Produk 14. Periklanan 15. Penerbitan 16. Arsitektur 17. Desain Interior Metode 𝑃𝑟𝑜𝑝𝑜𝑟𝑠𝑖 𝑃𝐷𝑅𝐵 𝐸𝑘𝑜𝑛𝑜𝑚𝑖 𝐾𝑟𝑒𝑎𝑡𝑖𝑓 = 5678 ;&lt; &gt;2(*+,&amp;-. ?,-0-'# @.+%&amp;#A 7+4#-0%$ = 5678 x 100%</t>
  </si>
  <si>
    <t>Semakin besar nilai PDRB yang dihasilkan oleh subsektor ekonomi kreatif, semakin tinggi proporsinya terhadap PDB nasional, ceteris paribus. Namun dalam penerjemahannya ke depan, perlu diperhatikan nilai rupiah dari PDRB subsektor ekonomi kreatif untuk menghindari misinterpretasi.</t>
  </si>
  <si>
    <t>Badan Pusat Statistik daerah, Kementerian Pariwisata dan Ekonomi Kreatif</t>
  </si>
  <si>
    <t>Data tidak tersedia, subsektor yang digunakan berbeda.</t>
  </si>
  <si>
    <t>Masuk RPJMD Kaltara, tapi bingung dengan metadatanya</t>
  </si>
  <si>
    <t>IUP-035</t>
  </si>
  <si>
    <t>14.a</t>
  </si>
  <si>
    <t>Proporsi Jumlah Usaha Kecil dan Menengah Non Pertanian pada Level Provinsi</t>
  </si>
  <si>
    <t>Proporsi jumlah usaha kecil dan menengah non pertanian merupakan perbandingan jumlah unit usaha kecil dan menengah non pertanian terhadap seluruh unit usaha non pertanian pada tahun yang sama. Metode Perhitungan 𝐽𝑢𝑚𝑙𝑎ℎ 𝑈𝑛𝑖𝑡 𝑈𝑠𝑎ℎ𝑎 𝐾𝑒𝑐𝑖𝑙 𝑑𝑎𝑛 𝑀𝑒𝑛𝑒𝑛𝑔𝑎ℎ 𝑁𝑜𝑛 𝑃𝑒𝑟𝑡𝑎𝑛𝑖𝑎𝑛 𝑃𝑟𝑜𝑝𝑜𝑟𝑠𝑖 𝑈𝐾𝑀 = × 100 (𝑝𝑒𝑟𝑠𝑒𝑛) 𝑇𝑜𝑡𝑎𝑙 𝐽𝑢𝑚𝑙𝑎ℎ 𝑈𝑛𝑖𝑡 𝑈𝑠𝑎ℎ𝑎</t>
  </si>
  <si>
    <t>Usaha kecil dan menengah (UKM) merepresentasikan bagian dari UMKM yang cenderung sudah formal dan berorientasi untuk tumbuh. Meningkatnya proporsi UKM yang diiringi dengan menurunnya proporsi usaha mikro dapat mengindikasikan adanya kenaikan skala usaha dan peningkatan penyerapan tenaga kerja.</t>
  </si>
  <si>
    <t>• Sensus Ekonomi (10 tahun sekali). • Data Pendataan Lengkap UMKM, Kementerian Koperasi dan UKM (masih dalam tahap pengumpulan dan pengembangan) • Data UMKM yang dikumpulkan oleh daerah</t>
  </si>
  <si>
    <t>Dinas Koperasi, UKM</t>
  </si>
  <si>
    <t>Data tidak tersedia</t>
  </si>
  <si>
    <t>Masuk RPJMD Kaltara, menggunakan indikator proxy</t>
  </si>
  <si>
    <t>IUP-036</t>
  </si>
  <si>
    <t>14.a-ii</t>
  </si>
  <si>
    <t>Proporsi Jumlah Industri Kecil dan Menengah (IKM) (%)</t>
  </si>
  <si>
    <t>Proporsi jumlah industri kecil dan menengah merupakan perbandingan jumlah unit industri kecil dan menengah terhadap seluruh unit industri pada tahun yang sama. Metode Perhitungan 𝐽𝑢𝑚𝑙𝑎ℎ 𝑈𝑛𝑖𝑡 𝐼𝑛𝑑𝑢𝑠𝑡𝑟𝑖 𝐾𝑒𝑐𝑖𝑙 𝑑𝑎𝑛 𝑀𝑒𝑛𝑒𝑛𝑔𝑎ℎ 𝑃𝑟𝑜𝑝𝑜𝑟𝑠𝑖 𝐼𝐾𝑀 = 𝑇𝑜𝑡𝑎𝑙 𝐽𝑢𝑚𝑙𝑎ℎ 𝑈𝑛𝑖𝑡 𝐼𝑛𝑑𝑢𝑠𝑡𝑟𝑖</t>
  </si>
  <si>
    <t>Industri kecil dan menengah (UKM) merepresentasikan bagian dari industri mikro, kecil dan menengah yang cenderung sudah formal dan berorientasi untuk tumbuh. Meningkatnya proporsi IKM yang diiringi dengan menurunnnya proporsi industri mikro dapat mengindikasikan adanya kenaikan skala usaha dan peningkatan penyerapan tenaga kerja.</t>
  </si>
  <si>
    <t>• Survei Industri Kecil dan Menengah, Badan Pusat Statistik • Survei Industri Menengah dan Besar, Badan Pusat Statistik</t>
  </si>
  <si>
    <t>IUP-037</t>
  </si>
  <si>
    <t>14.b</t>
  </si>
  <si>
    <t>Produktivitas UMKM, Koperasi, BUMN: Rasio Kewirausahaan</t>
  </si>
  <si>
    <t>Rasio kewirausahaan daerah merupakan perbandingan jumlah orang yang berusaha dibantu buruh tetap di masing-masing daerah dengan total angkatan kerja daerah pada tahun yang sama. Berusaha dibantu buruh tetap atau buruh dibayar adalah berusaha atas resiko sendiri dan mempekerjakan paling sedikit satu orang buruh atau pekerja tetap yang dibayar. Penduduk yang termasuk angkatan kerja adalah penduduk usia kerja (15 tahun dan lebih) yang bekerja atau punya pekerjaan namun sementara tidak bekerja dan pengangguran. Metode 𝑅𝑢𝑚𝑢𝑠 𝑅𝑎𝑠𝑖𝑜 𝐾𝑒𝑤𝑖𝑟𝑎𝑢𝑠𝑎ℎ𝑎𝑎𝑛 𝐷𝑎𝑒𝑟𝑎ℎ = !"#$%&amp;'&amp; )*+&amp;,-$ +$#$' -"-&amp;. /&amp;"#&amp;' × 100 (𝑝𝑒𝑟𝑠𝑒𝑛) 01-&amp;2 &amp;,34&amp;-&amp;, 4"#5&amp; /&amp;"#&amp;'</t>
  </si>
  <si>
    <t>Pengusaha yang berusaha dibantu buruh tetap mengindikasikan adanya orientasi untuk tumbuh dengan merekrut tenaga kerja tetap. Semakin besar pengusaha yang berusaha dibantu buruh tetap, semakin banyak penyerapan tenaga kerja tetap oleh para pengusaha.</t>
  </si>
  <si>
    <t>Survei Angkatan Kerja Nasional (Sakernas). Badan Pusat Statistik</t>
  </si>
  <si>
    <t>Sakernas dilaksanakan dua kali dalam setahun (Februari dan Agustus). Perhitungan untuk indikator merujuk pada Sakernas bulan Agustus.</t>
  </si>
  <si>
    <t>IUP-038</t>
  </si>
  <si>
    <t>14.c</t>
  </si>
  <si>
    <t>Rasio Volume Usaha Koperasi terhadap PDRB</t>
  </si>
  <si>
    <t>Rasio volume usaha koperasi terhadap PDRB merupakan perbandingan antara volume usaha koperasi terhadap PDRB masing-masing daerah 1 . Volume usaha koperasi merupakan nilai penjualan atau penerimaan barang dan jasa serta penyaluran pinjaman dan pembiayaan dalam satu periode atau tahun buku tertentu. PDRB merupakan jumlah nilai tambah yang dihasilkan oleh seluruh unit usaha dalam suatu daerah tertentu atau merupakan jumlah nilai barang dan jasa akhir yang dihasilkan oleh seluruh unit ekonomi. PDRB atas dasar harga berlaku menggambarkan nilai tambah barang dan jasa yang dihitung menggunakan harga yang berlaku pada setiap tahun. Metode Perhitungan 𝑉𝑜𝑙𝑢𝑚𝑒 𝑈𝑠𝑎ℎ𝑎 𝐾𝑜𝑝𝑒𝑟𝑎𝑠𝑖 𝐷𝑎𝑒𝑟𝑎ℎ 𝑅𝑎𝑠𝑖𝑜 𝑉𝑜𝑙𝑢𝑚𝑒 𝑈𝑠𝑎ℎ𝑎 𝐾𝑜𝑝𝑒𝑟𝑎𝑠𝑖 𝑡𝑒𝑟ℎ𝑎𝑑𝑎𝑝 𝑃𝐷𝑅𝐵 = × 100 (𝑝𝑒𝑟𝑠𝑒𝑛) 𝑃𝐷𝑅𝐵 𝐴𝐷𝐻𝐵</t>
  </si>
  <si>
    <t>Semakin besar rasio volume usaha koperasi daerah terhadap PDRB, merepresentasikan semakin besar kontribusi koperasi terhadap perekonomian daerah tersebut.</t>
  </si>
  <si>
    <t>• Volume usaha koperasi daerah: ODS Koperasi. Kementerian Koperasi dan UKM. • PDRB: PDRB Seri 2010. Badan Pusat Statistik.</t>
  </si>
  <si>
    <t>PDRB ADHB Kaltara (Juta Rupiah) 2021: 111.530.221,6 2022: 138.674.956,6 2023: 147.278.623,3 2024: 146.976.698,9 2025: 156.025.744,7 Sumber data volume usaha koperasi daerah dari ODS Koperasi. Kementerian Koperasi dan UKM</t>
  </si>
  <si>
    <t>IUP-039</t>
  </si>
  <si>
    <t>14.d</t>
  </si>
  <si>
    <t>Return on Asset (ROA) BUMD</t>
  </si>
  <si>
    <t>Return On Asset (ROA) adalah indikator untuk mengukur kemampuan aset perusahaan dalam menghasilkan laba bersih. Return On Asset (ROA) dihitung dengan membandingkan laba bersih dengan total aset yang dimiliki perusahaan. Metode Perhitungan 𝐿𝑎𝑏𝑎 𝐵𝑒𝑟𝑠𝑖ℎ 𝑅𝑒𝑡𝑢𝑟𝑛 𝑜𝑛 𝐴𝑠𝑠𝑒𝑡 ( 𝑅𝑂𝐴 ) = × 100 % 𝑇𝑜𝑡𝑎𝑙 𝐴𝑠𝑒𝑡</t>
  </si>
  <si>
    <t>Return On Asset (ROA) merupakan salah satu indikator yang dapat digunakan untuk mengukur produktivitas perusahaan melalui pemanfaatan asset yang dimiliki. Dengan mengetahui tingkat ROA perusahaan, maka dapat diketahui tingkat produktivitas perusahaan jika dibandingkan dengan perusahaan lain dalam sektor atau industri yang sama. Dengan demikian, data ROA dapat dimanfaatkan untuk perencanaan strategis dalam mencapai sasaran pembangunan daerah, yang pada akhirnya akan berdampak pada pencapaian sasaran pembangunan nasional secara keseluruhan.</t>
  </si>
  <si>
    <t>LKPD, BPS, Laporan keuangan BUMD. (*) *menyesuaikan ketersediaan data di daerah dan akan dikonfirmasi lebih lanjut</t>
  </si>
  <si>
    <t>IUP-040</t>
  </si>
  <si>
    <t>15.a</t>
  </si>
  <si>
    <t>Penciptaan Lapangan Kerja yang Baik: Tingkat Pengangguran Terbuka (Semester 1;Semester 2)</t>
  </si>
  <si>
    <t>Tingkat pengangguran terbuka adalah persentase jumlah pengangguran terhadap jumlah angkatan kerja. Angkatan Kerja adalah penduduk usia kerja (15 tahun ke atas) yang bekerja atau punya pekerjaan namun sementara tidak bekerja, dan penggangguran. Pengangguran yaitu: (1) penduduk yang aktif mencari pekerjaan, (2) penduduk yang sedang mempersiapkan usaha/pekerjaan baru, (3) penduduk yang tidak mencari pekerjaan karena merasa tidak mungkin mendapat pekerjaan, serta (4) kelompok penduduk yang tidak aktif mencari pekerjaan dengan alasan sudah mempunyai pekerjaan tetapi belum mulai bekerja.</t>
  </si>
  <si>
    <t>** 𝑇𝑃𝑇 = *!V 𝑥 100% Keterangan: TPT = Tingkat pengangguran terbuka (%) PP = Jumlah pengangguran (orang) PAK = Jumlah angkatan kerja (orang)</t>
  </si>
  <si>
    <t>Tingkat pengangguran terbuka 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dan perubahan siklus bisnis dan teknologi. Pembedaan menurut jenis kelamin, kelompok umur, dan tingkat pendidikan dapat menggambarkan kesenjangan keterserapan di lapangan kerja antarkelompok tersebut.</t>
  </si>
  <si>
    <t>Badan Pusat Statistik: Survei Angkatan Kerja Nasional (Sakernas)</t>
  </si>
  <si>
    <t>Dua kali per tahun (Februari dan Agustus)</t>
  </si>
  <si>
    <t>4.67;4.58</t>
  </si>
  <si>
    <t>4.62;4.33</t>
  </si>
  <si>
    <t>4.10;4.01</t>
  </si>
  <si>
    <t>4.01;3.9</t>
  </si>
  <si>
    <t>3.9;3.85</t>
  </si>
  <si>
    <t>Realisasi 2021 bukan angka tunggal ("4.67;4.58"); Periodisitas semesteran (2 nilai per tahun)</t>
  </si>
  <si>
    <t>IUP-041</t>
  </si>
  <si>
    <t>15.b</t>
  </si>
  <si>
    <t>Penciptaan Lapangan Kerja yang Baik: Proporsi Penciptaan Lapangan Kerja Formal (%)</t>
  </si>
  <si>
    <t>Dinas Tenaga Kerja dan Transmigrasi</t>
  </si>
  <si>
    <t>Belum ada realisasi 2021-2025; Metadata belum tersedia di buku</t>
  </si>
  <si>
    <t>tidak ada kondef didalam buku pedomannya</t>
  </si>
  <si>
    <t>IUP-042</t>
  </si>
  <si>
    <t>16</t>
  </si>
  <si>
    <t>Tingkat Partisipasi Angkatan Kerja Perempuan</t>
  </si>
  <si>
    <t>Tingkat Partisipasi Angkatan Kerja (TPAK) Perempuan adalah persentase jumlah angkatan kerja perempuan terhadap jumlah penduduk usia kerja perempuan. Angkatan kerja perempuan adalah penduduk usia kerja perempuan yang bekerja atau punya pekerjaan namun sementara tidak bekerja, dan penggangguran. Penduduk usia kerja perempuan adalah penduduk berjenis kelamin perempuan yang berusia 15 tahun ke atas.</t>
  </si>
  <si>
    <t>𝑃𝐴𝐾W 𝑇𝑃𝐴𝐾W = × 100% 𝑃((23,W) Keterangan: TPAKp = Tingkat Partisipasi Angkatan Kerja Perempuan (%) PAKp = Jumlah angkatan kerja perempuan (orang) P(15+,p) = Jumlah penduduk perempuan usia 15 tahun ke atas (orang)</t>
  </si>
  <si>
    <t>TPAK menunjukkan indikasi besarnya pasokan tenaga kerja (labor supply) yang tersedia untuk memproduksi barang dan jasa relatif terhadap penduduk usia kerja. Pembagian berdasarkan jenis kelamin (perempuan) menunjukkan ukuran dan komposisi penduduk perempuan yang aktif dalam pasar kerja. Kegunaan indikator ini antara lain untuk memproyeksikan pasokan tenaga kerja, menetapkan kebijakan tenaga kerja, merancang kebijakan perawatan, menentukan kebutuhan pelatihan, dan merencanakan pembiayaan sistem perlindungan sosial.</t>
  </si>
  <si>
    <t>IUP-044</t>
  </si>
  <si>
    <t>17.b</t>
  </si>
  <si>
    <t>Indeks Inovasi Daerah</t>
  </si>
  <si>
    <t>Data dari eksternal BPS, butuh penjelasan meta data</t>
  </si>
  <si>
    <t>IUP-045</t>
  </si>
  <si>
    <t>IE5 - Penerapan Ekonomi Hijau</t>
  </si>
  <si>
    <t>18.a</t>
  </si>
  <si>
    <t>Tingkat Penerapan Ekonomi Hijau: Indeks Ekonomi Hijau</t>
  </si>
  <si>
    <t>Ekonomi Hijau adalah model pembangunan ekonomi untuk menunjang pembangunan berkelanjutan dengan fokus pada investasi, kapital dan infrastruktur, lapangan kerja dan keterampilan untuk mewujudkan kesejahteraan sosial dan kelestarian lingkungan. Indeks Ekonomi Hijau ditujukan sebagai alat untuk mengukur progres dan capaian transformasi ekonomi menuju Ekonomi Hijau secara tangible, representatif, dan akurat. Indeks Ekonomi Hijau Daerah terdiri dari 16 indikator terpilih yang mewakili 3 (tiga) pilar Sustainable Development: ekonomi (6 indikator), sosial (4 indikator), dan lingkungan (6 indikator). Indikator ekonomi terdiri dari 6 (enam) indikator: intensitas emisi, intensitas energi, GNI per kapita, produktivitas pertanian, produktivitas tenaga kerja industri dan jasa. Indikator sosial terdiri dari 4 (empat) indikator: rata-rata lama sekolah, angka harapan hidup, tingkat kemiskinan, dan tingkat pengangguran. Indikator lingkungan terdiri dari 6 (enam) indikator: tutupan hutan, energi baru terbarukan, kualitas air permukaan, kualitas udara, penurunan emisi, dan lahan gambut terdegradasi.</t>
  </si>
  <si>
    <t>Skor Indeks Ekonomi Hijau diklasifikasikan menjadi 6 kategori: 0,00 - 25,00 : Kurang 25,01 - 37,50 : Sedang Tier 1 37,51 - 50,00 : Sedang Tier 2 50,01 - 62,50 : Baik Tier 1 65,51 - 75,00 : Baik Tier 2 75,01 - 100,00 : Sangat Baik</t>
  </si>
  <si>
    <t>1. Persentase luas tutupan hutan dari luas daratan (%): Buku Rekalkulasi Penutupan Lahan Indonesia, KLHK 2. Bauran Energi Baru Terbarukan (EBT) dari pasokan energi primer (%): Handbook of Energy and Economy Statistics, Kementerian ESDM 3. Kualitas air permukaan - konsentrasi BOD (mg/L): Statistik Lingkungan Hidup, BPS 4. Kualitas udara - konsentrasi NO2 (µg/m3): Laporan Kualitas Udara, KLHK 5. Persentase penurunan emisi kumulatif dari baseline (%): Laporan Perhitungan AKSARA, Bappenas 6. Penurunan tutupan lahan gambut (%): Balai Besar Sumberdaya Lahan dan Pertanian (Diolah) 7. Intensitas Emisi: Laporan Perhitungan AKSARA, Bappenas 8. Intensitas Energi Final (BOE/2010 IDR miliar): Handbook of Energy and Economy Statistics dan Statistik Ketenagalistrikan, ESDM (Diolah) 9. Produk Domestik Regional Bruto (PDRB) Harga Konstan 2010 (2010 IDR miliar): BPS 10. Produktivitas pertanian (ton/hektar/tahun): Kementerian Pertanian, Kementerian Kelautan dan Perikanan, dan BPS 11. Produktivitas Tenaga Kerja Sektor Industri Manufaktur (IDR juta/orang): BPS 12. Produktivitas Tenaga Kerja Sektor Jasa (IDR juta/orang): BPS 13. Rata-rata Lama Sekolah (tahun): BPS 14. Angka Harapan Hidup (tahun): BPS 15. Tingkat Kemiskinan (%): BPS 16. Tingkat Pengangguran Terbuka (%): BPS</t>
  </si>
  <si>
    <t>Dinas ESDM</t>
  </si>
  <si>
    <t>Data belum tersedia. sumber data dari Bappenas</t>
  </si>
  <si>
    <t>IUP-046</t>
  </si>
  <si>
    <t>18.b</t>
  </si>
  <si>
    <t>Tingkat Penerapan Ekonomi Hijau: Porsi EBT dalam Bauran Energi Primer (%)</t>
  </si>
  <si>
    <t>● Energi Baru dan Terbarukan (EBT) adalah energi yang berasal dari sumber energi terbarukan antara lain berasal dari panas bumi, angin, bioenergi, sinar matahari, aliran dan terjunan air, serta gerakan dan perbedaan suhu lapisan laut, serta berasal dari sumber energi yang dapat dihasilkan oleh teknologi baru (PP No 79 tahun 2014). ● Porsi EBT dalam bauran energi primer (%) provinsi adalah persentase antara total konsumsi EBT terhadap total konsumsi energi primer (terbarukan dan tidak terbarukan) di suatu provinsi dalam satu tahun.</t>
  </si>
  <si>
    <t>Besar proporsi penggunaan energi terbarukan terhadap energi total primer (tingkat provinsi)</t>
  </si>
  <si>
    <t>Kementerian Energi dan Sumber Daya Mineral.</t>
  </si>
  <si>
    <t>BRIDA</t>
  </si>
  <si>
    <t>Data belum tersedia. sumber data dari ESDM</t>
  </si>
  <si>
    <t>IUP-047</t>
  </si>
  <si>
    <t>IE6 - Transformasi Digital</t>
  </si>
  <si>
    <t>19</t>
  </si>
  <si>
    <t>Indeks Pembangunan Teknologi Informasi dan Komunikasi</t>
  </si>
  <si>
    <t>Indeks pembangunan TIK merupakan Indeks komposit yang mengkombinasikan 11 indikator dan dikelompokan kedalam tiga subindeks (Akses dan infrastruktur TIK, Penggunaan TIK dan Keahlian TIK) menjadi suatu tolok ukur yang dapat digunakan untuk: • Memantau dan memperbandingkan perkembangan TIK antarwilayah dan antarwaktu; • Mengukur kesenjangan digital antarwilayah; • Mengukur potensi pembangunan TIK untuk mendorong pertumbuhan dan pembangunan berdasarkan kemampuan dan keahlian yang tersedia. Metode/Rumus Metodologi yang digunakan mengacu pada metodologi ITU Perhitungan melalui publikasi Measuring the Information Society 2016. 𝐼𝑛𝑑𝑒𝑘𝑠 𝑃𝑒𝑚𝑏𝑎𝑛𝑔𝑢𝑛𝑎𝑛 𝑇𝐼𝐾 = 0,4 𝐴𝑐𝑐𝑒𝑠𝑠 + 0,4 𝑈𝑠𝑒 + 0,2 𝑆𝑘𝑖𝑙𝑙 Keterangan: Access : Subindeks akses dan infrastruktur TIK Use : Subindeks penggunaan TIK Skill : Subindeks keahlian TIK</t>
  </si>
  <si>
    <t>Skala pengukuran indeks pembangunan TIK berada pada rentang 0 – 10. Semakin tinggi nilai indeks menunjukan bahwa pembangunan TIK pada suatu wilayah semakin pesat, sebaliknya semakin rendah nilai indeks menunjukan pembangunan TIK di suatu wilayah relatif masih lambat.</t>
  </si>
  <si>
    <t>Badan Pusat Statistik (BPS) dan Kementerian Komunikasi dan Informatika</t>
  </si>
  <si>
    <t>Dinas Perindustrian dan Perdagangan</t>
  </si>
  <si>
    <t>Data belum tersedia. sumber data BPS dan Komdigi</t>
  </si>
  <si>
    <t>IUP-048</t>
  </si>
  <si>
    <t>IE7 - Integrasi Ekonomi Domestik dan Global</t>
  </si>
  <si>
    <t>20</t>
  </si>
  <si>
    <t>Koefisien Variasi Harga Antar Wilayah Tingkat Provinsi</t>
  </si>
  <si>
    <t>Disparitas Harga pada Barang Kebutuhan Pokok dan Barang Penting di antara Kabupaten/Kota di dalam Satu Provinsi</t>
  </si>
  <si>
    <t>KVH (bapokting1) = (simpangan baku / rata-rata) antarkab/kota pada bapokting1 KVH antarwilayah = rata-rata KVH seluruh bapokting Formulasi Akhir : KVH antarwilayah = (KVH(barang 1) + KVH (barang2) + KVH (barang_n)) / jumlah bapokting</t>
  </si>
  <si>
    <t>Korelasi terhadap Biaya Logistik Nasional (%) Semakin rendah KVH antarwilayah di Tingkat Provinsi menunjukan bahwa tingkat harga barang kebutuhan pokok dan barang penting di antara Kabupaten/Kota pada satu Provinsi semakin konvergen. Hal ini menjadi salah satu dampak langsung dari perbaikan kinerja logistik di masing-masing provinsi.</t>
  </si>
  <si>
    <t>Harga Barang Kebutuhan Pokok dan Barang Penting Tahunan di tingkat Kabupaten/Kota Kementerian Perdagangan, melalui Sistem Pemantauan Pasar dan Kebutuhan Pokok (SP2KP)</t>
  </si>
  <si>
    <t>Dinas Penanaman Modal dan Pelayanan Terpatu Satu Pintu</t>
  </si>
  <si>
    <t>data belum tersedia; sumber data: kementerian perdagangan</t>
  </si>
  <si>
    <t>IUP-049</t>
  </si>
  <si>
    <t>21</t>
  </si>
  <si>
    <t>Pembentukan Modal Tetap Bruto (% PDRB)</t>
  </si>
  <si>
    <t>Pembentukan Modal Tetap Bruto (PMTB) adalah pengeluaran untuk barang modal yang mempunyai umur pemakaian lebih dari satu tahun dan tidak merupakan barang konsumsi. PMTB mencakup bangunan tempat tinggal dan bukan tempat tinggal, bangunan lain seperti jalan dan bandara, serta mesin dan peralatan. Pengeluaran barang modal untuk keperluan militer tidak dicakup dalam rincian ini tetapi digolongkan sebagai konsumsi pemerintah. PMTB juga merupakan salah satu unsur yang dipakai dalam metode penghitungan PDRB. Pembentukan Modal Tetap Bruto (% PDRB) merupakan share PMTB terhadap PRDB Provinsi</t>
  </si>
  <si>
    <t>𝑃𝑀𝑇𝐵 𝑃𝑒𝑚𝑏𝑒𝑛𝑡𝑢𝑘𝑎𝑛 𝑃𝑀𝑇𝐵 (%𝑃𝐷𝑅𝐵) = × 100% 𝑃𝐷𝑅𝐵 𝐴𝐷𝐻𝐾 Keterangan: Pembentukan Modal Tetap Bruto = Total PMTB berdasarkan PDB Sisi Pengeluaran (Miliar Rupiah) 𝑃𝐷R𝐵 𝐴𝐷𝐻𝐾 = Produk Domestik Regional Bruto Atas Dasar Harga Konstan (Miliar Rupiah)</t>
  </si>
  <si>
    <t>PMTB didefinisikan sebagai penambahan dan pengurangan aset tetap pada suatu unit produksi. Penambahan barang modal mencakup pengadaan, pembuatan, pembelian (barang modal baru dari dalam negeri serta barang modal baru dan bekas dari luar negeri), termasuk perbaikan besar, transfer atau barter barang modal, sewa beli (financial leasing), serta pertumbuhan aset sumber daya hayati yang dibudidaya. Sedangkan pengurangan barang modal mencakup penjualan, transfer atau barter barang modal pada pihak lain, serta sewa beli (financial leasing). Pengecualian kehilangan yang disebabkan oleh bencana alam tidak dicatat sebagai pengurangan.</t>
  </si>
  <si>
    <t>Triwulanan dan Tahunan</t>
  </si>
  <si>
    <t>data berbeda dengan yang di input bapperida. perlu konfirmasi metode penghitungan</t>
  </si>
  <si>
    <t>IUP-050</t>
  </si>
  <si>
    <t>22</t>
  </si>
  <si>
    <t>Ekspor Barang dan Jasa (% PDRB)</t>
  </si>
  <si>
    <t>Ekspor didefiniskan sebagai transaksi alih kepemilikan (ekonomi) atas barang dan jasa antara residen suatu perekonomian dengan nonresiden. Suatu unit institusi didefinisikan sebagai residen dari wilayah ekonomi sebuah negara, jika unit institusi tersebut memiliki pusat kepentingan ekonomi yang utama di dalam wilayah ekonomi dan unit institusi ini terlibat dalam aktivitas atau transaksi ekonomi untuk periode waktu yang lama, umumnya ditetapkan minimal satu tahun. Ekspor barang menggunakan prinsip pencatatan dengan basis akrual di mana untuk barang dicatat saat terjadi alih kepemilikan yang pendekatannya menggunakan waktu pencatatan pada dokumen kepabeanan, sedangkan untuk ekspor jasa dicatat saat jasa tersebut disediakan atau diberikan. Ekspor barang dan jasa (% PDRB) merupakan share ekspor barang dan jasa terhadap PDRB Provinsi.</t>
  </si>
  <si>
    <t>𝐸𝑘𝑠𝑝𝑜𝑟 𝐵𝑎𝑟𝑎𝑛𝑔 𝑑𝑎𝑛 𝐽𝑎𝑠𝑎 𝐸𝑘𝑠𝑝𝑜𝑟 𝐵𝑎𝑟𝑎𝑛𝑔 𝑑𝑎𝑛 𝐽𝑎𝑠𝑎 (%𝑃𝐷𝑅𝐵) = × 100% 𝑃𝐷𝑅𝐵 𝐴𝐷𝐻𝐾 Keterangan: Ekspor Barang dan Jasa = Total Ekspor Barang dan Jasa berdasarkan PDB Sisi Pengeluaran (Miliar Rupiah) PDRB ADHK = Produk Domestik Regional Bruto Atas Dasar Harga Konstan (Miliar Rupiah)</t>
  </si>
  <si>
    <t>Ekspor barang dan jasa memiliki dampak signifikan terhadap Produk Domestik Bruto (PDB) suatu negara. PDB adalah ukuran nilai total produksi dalam suatu negara dalam satu periode waktu. Ekspor barang dan jasa dapat memperluas pasar untuk produk- produk domestik di pasar internasional, meningkatkan penjualan, dan membuka peluang bagi pertumbuhan ekonomi. Ketika ekspor barang dan jasa mengalami peningkatan, maka pendapatan negara juga juga meningkat karena peningkatan penjualan dan penerimaan deviden. Peningkatan pendapatan ini mendorong investasi, inovasi, dan pertumbuhan sektor-sektor ekonomi yang terkait dengan produksi barang dan jasa yang diekspor. Selain itu, ekspor juga meningkatkan efisiensi dan daya saing industri dalam negeri untuk dapat bersaing di pasar global.</t>
  </si>
  <si>
    <t>Bulanan</t>
  </si>
  <si>
    <t>IE8 - Perkotaan dan Perdesaan sebagai Pusat Pertumbuhan Ekonomi</t>
  </si>
  <si>
    <t>IUP-052</t>
  </si>
  <si>
    <t>23.b</t>
  </si>
  <si>
    <t>Kota Maju, Inklusif, dan Berkelanjutan: Rumah tangga dengan akses hunian layak, terjangkau, dan berkelanjutan (%)</t>
  </si>
  <si>
    <t>Maka rumah tangga dengan akses rumah layak huni, terjangkau, dan berkelanjutan adalah rumah tangga yang menempati rumah layak huni, terjangkau, dan berkelanjutan. Mengacu pada Undang-Undang No. 1 Tahun 2011 tentang Perumahan dan Kawasan Permukiman, rumah yang layak huni, terjangkau, dan berkelanjutan memenuhi: a. Persyaratan keselamatan bangunan dan kecukupan minimum luas bangunan serta kesehatan penghuninya, yang mampu dijangkau oleh seluruh lapisan masyarakat b. Prasyarat tata ruang, kesesuaian hak atas tanah dan rumah, dan tersedianya prasarana, sarana, dan utilitas umum yang memenuhi persyaratan baku mutu lingkungan. Pengukuran indikator tersebut menggunakan PBG (Persetujuan Bangunan Gedung) dan SLF (Sertifikat Laik Fungsi). Mempertimbangkan variasi penerapan PBG dan SLF di tingkat pemerintah daerah (kabupaten/kota) maka pengukuran indikator ini dapat menggunakan proksi yaitu memenuhi empat kriteria sebagai berikut: 1. Ketahanan bangunan (durable housing) yaitu bahan bangunan atap, dinding dan lantai rumah memenuhi syarat, 2. Kecukupan luas tempat tinggal (sufficient living space) yaitu luas lantai perkapita ≥ 7,2 m2 3. Memiliki akses air minum layak 4. Memiliki akses sanitasi layak</t>
  </si>
  <si>
    <t>1. Bagi kabupaten/kota yang telah menerapkan PBG dan SLF secara menyeluruh menggunakan rumus sebagai berikut: Persentase Rumah Tangga yang mengakses hunian layak, terjangkau, dan bekelanjutan 𝐽𝑅𝑇𝐻𝐿𝑇𝐵 𝑃𝐻𝐿𝑇𝐵 = 𝐽𝑅𝑇𝑥100 • PHLTB: Persentase rumah tangga hunian layak, terjangkau, berkelanjutan; • JRTHLTB: jumlah rumah tangga hunian layak, terjangkau, berkelanjutan; • JRT: Jumlah rumah tangga 2. Bagi kabupaten/kota yang belum menerapkan PBG dan SLF secara menyeluruh maka dapat menggunakan indikator proksi yaitu 4 kriteria (ketahanan bangunan, kecukupan luas tempat tinggal, memiliki akses air minum layak, dan memiliki akses sanitasi layak). 𝐽𝑅𝑇𝐻𝐿𝑇𝐵(𝑝𝑟𝑜𝑘𝑠𝑖) 𝑃𝐻𝐿𝑇𝐵 (𝑝𝑟𝑜𝑘𝑠𝑖) = 𝐽𝑅𝑇𝑥100 • PHLTB (proksi): Persentase rumah tangga hunian layak, terjangkau, berkelanjutan; • JRTHLTB (proksi): jumlah rumah tangga hunian layak, terjangkau, berkelanjutan; • JRT: Jumlah rumah tangga Segregasi pengolahan data ini dapat digunakan untuk tingkat nasional, provinsi, kabupaten/kota, perkotaan-perdesaan, dan desil pengeluaran.</t>
  </si>
  <si>
    <t>Indikator ini untuk mengukur kesejahteraan rumah tangga di Indonesia dari sektor perumahan. Semakin tinggi persentase rumah tangga yang menghuni hunian layak, terjangkau, dan berkelanjutan maka semakin baik kesejahteraan rumah tangga di Indonesia dari sektor perumahan</t>
  </si>
  <si>
    <t>• Survei Sosial Ekonomi Nasional (Susenas) KOR BPS • Data Kementerian PUPR (untuk mengetahui status pelaksanaan PBG dan SLF di Kabupaten/Kota)</t>
  </si>
  <si>
    <t>BPS: persentase rumah tangga yang memiliki akses terhadap hunian yang layak dan terjangkau</t>
  </si>
  <si>
    <t>IUP-053</t>
  </si>
  <si>
    <t>23.c</t>
  </si>
  <si>
    <t>Kota Maju, Inklusif, dan Berkelanjutan: Persentase Desa Mandiri (%)</t>
  </si>
  <si>
    <t>Indeks pengukuran terhadap tingkat kemajuan/pembangunan desa di Indonesia. Basis data pengukuran Indeks Desa berasal dari hasil pendataan yang dilakukan oleh Desa yang dikelola oleh Kementerian Desa PDTT.</t>
  </si>
  <si>
    <t>Perhitungan Indeks Desa 𝐼𝐷 = 8]𝐷( × 𝐷b × 𝐷c × 𝐷d × 𝐷2 × 𝐷e Keterangan: ID : Indeks Desa D : Dimensi</t>
  </si>
  <si>
    <t>Klasifikasi Status Desa • Mandiri: Merupakan desa yang mempunyai ketersediaan dan akses terhadap layanan dasar, kegiatan sosial, kegiatan ekonomi, lingkungan, aksesibilitas dan administrasi pemerintahan yang sudah sangat baik. • Maju: Merupakan desa yang mempunyai ketersediaan dan akses terhadap layanan dasar, kegiatan sosial, kegiatan ekonomi, lingkungan, aksesibilitas dan administrasi pemerintahan yang sudah baik. • Berkembang: Merupakan desa yang mempunyai ketersediaan dan akses terhadap layanan dasar, kegiatan sosial, kegiatan ekonomi, lingkungan, aksesibilitas dan administrasi pemerintahan yang sudah cukup baik. • Tertinggal: Merupakan desa yang mempunyai ketersediaan dan akses terhadap layanan dasar, kegiatan sosial, kegiatan ekonomi, lingkungan, aksesibilitas dan administrasi pemerintahan yang masih terbatas. • Sangat Tertinggal: Merupakan desa yang mempunyai ketersediaan dan akses terhadap layanan dasar, kegiatan sosial, kegiatan ekonomi, lingkungan, aksesibilitas dan administrasi pemerintahan yang masih sangat terbatas.</t>
  </si>
  <si>
    <t>Desa yang dikelola oleh Kementerian Desa PDTT</t>
  </si>
  <si>
    <t>Setda-Biro Organisasi</t>
  </si>
  <si>
    <t>DPMD: Data Indeks Desa Membangun untuk wilayah Kalimantan Utara https://dpmd.kaltaraprov.go.id/rekap/idm.php?tahun=&amp;kecamatan=&amp;status=</t>
  </si>
  <si>
    <t>IUP-054</t>
  </si>
  <si>
    <t>Transformasi Tata Kelola</t>
  </si>
  <si>
    <t>IE9 - Regulasi dan Tata Kelola yang Berintegritas dan Adaptif</t>
  </si>
  <si>
    <t>24</t>
  </si>
  <si>
    <t>Indeks Reformasi Hukum</t>
  </si>
  <si>
    <t>Reformasi Hukum adalah perubahan secara drastis untuk perbaikan di bidang hukum dalam upaya penataan regulasi yang berkualitas bersih dan akuntabel pada Kementerian/Lembaga dan Pemerintah Daerah. Indeks Reformasi Hukum (IRH) adalah instrumen untuk mengukur reformasi hukum dengan melakukan identifikasi dan pemetaan regulasi, reregulasi dan deregulasi aturan, dan penguatan sistem regulasi nasional.</t>
  </si>
  <si>
    <t>Penghitungan IRH didasarkan pada 4 (empat) variabel sebagai berikut: a. Tingkat koordinasi Kementerian Hukum dan HAM untuk melakukan harmonisasi regulasi, dengan bobot 25%. b. Penguatan Kompetensi ASN sebagai perancang PUU yang berkualitas, dengan bobot 25%. c. Kualitas re-regulasi atau de-regulasi PUU berdasarkan hasil reviu, dengan bobot 35%. d. Penataan database PUU, dengan bobot 15%. Dalam hal ini, sumber data yang digunakan oleh IRH adalah data administratif Kementerian/Lembaga/Pemerintah Daerah. Kategori penilaian IRH: No. Kategori Nilai/Angka Predikat 1 AA &gt;90 - 100 Istimewa 2 A &gt;80 - 90 Sangat Baik 3 BB &gt;70 - 80 Baik 4 B &gt;60 - 70 Cukup Baik 5 CC &gt;50 - 60 Cukup 6 C &gt;30 - 50 Buruk 7 D 0 - 30 Sangat Buruk Pada penghitungan IRH, Pemerintah Daerah melakukan penilaian mandiri (self-assesment) yang menghasilkan Berita Acara Hasil Penilaian Mandiri. Kemudian, Kementerian Hukum dan HAM akan melakukan verifikasi terhadap self-assesment tersebut dan mengeluarkan Berita Acara Hasil Penilaian.</t>
  </si>
  <si>
    <t>Semakin tinggi nilai IRH, maka semakin berhasil pelaksanaan komponen-komponen reformasi hukum oleh lembaga yang bersangkutan.</t>
  </si>
  <si>
    <t>Kementerian Hukum dan HAM</t>
  </si>
  <si>
    <t>Diskominfosantik</t>
  </si>
  <si>
    <t>IUP-055</t>
  </si>
  <si>
    <t>25</t>
  </si>
  <si>
    <t>Indeks Sistem Pemerintahan Berbasis Elektronik</t>
  </si>
  <si>
    <t>SPBE adalah penyelenggaraan pemerintahan dengan memanfaatkan teknologi informasi dan komunikasi untuk memberikan layanan kepada Instansi Pusat, Pemerintah Daerah, pegawai Aparatur Sipil Negara, perorangan, masyarakat, pelaku usaha, dan pihak lain yang memanfaatkan layanan SPBE. Nilai indeks SPBE merupakan nilai indeks yang merepresentasikan tingkat kematangan penerapan SPBE secara keseluruhan.</t>
  </si>
  <si>
    <t>Nilai indeks SPBE dihitung berdasarkan penjumlahan dari penghitungan perkalian antara nilai indeks domain dan bobot domain. Rumus penghitungan nilai indeks SPBE dijabarkan sebagai berikut: dimana: • NDj adalah nilai indeks domain ke-j; • BDj adalah nilai bobot domain ke-j.</t>
  </si>
  <si>
    <t>Semakin tinggi nilai indeks domain dan bobot domain maka akan semakin besar pula nilai indeks SPBE yang dihasilkan.</t>
  </si>
  <si>
    <t>Kementerian Pendayagunaan Aparatur Negara dan Reformasi Birokrasi.</t>
  </si>
  <si>
    <t>Sumber data KemenPANRB</t>
  </si>
  <si>
    <t>IUP-056</t>
  </si>
  <si>
    <t>26</t>
  </si>
  <si>
    <t>Indeks Pelayanan Publik</t>
  </si>
  <si>
    <t>Indeks Pelayanan Publik (IPP) adalah Indeks yang digunakan untuk mengukur kinerja pelayanan publik di lingkungan kementerian, lembaga, dan pemerintah daerah di Indonesia berdasarkan Aspek Kebijakan Pelayanan, Aspek Profesionalisme SDM, Aspek Sarana Prasarana, Aspek Sistem Informasi Pelayanan Publik, Aspek Konsultasi dan Pengaduan serta Aspek Inovasi. Hasil pengukuran yang diperoleh dari Pemantauan dan Evaluasi Kinerja Penyelenggaraan Pelayanan Publik sebagai upaya pengukuran sistematis pada suatu unit kerja dalam jangka waktu tertentu guna memperoleh nilai indeks.</t>
  </si>
  <si>
    <t>Penentuan nilai indeks dilakukan dengan menentukan nilai setiap indikator, menentukan nilai setiap aspek, menentukan nilai indeks formulir dan menentukan nilai indeks pelayanan publik.</t>
  </si>
  <si>
    <t>Angka indeks yang dihasilkan merupakan komposit dari berbagai data, baik data primer dan sekunder serta data obyektif maupun persepsi. Prinsip yang digunakan dalam menyusun indikator IPP berdasarkan kepada Undang- Undang Nomor 25 Tahun 2009 tentang pelayanan publik. Prinsip-prinsip tersebut adalah: 1. Keadilan (Fairness); 2. Partisipasi (Participation); 3. Akuntabilitas (Accountability); 4. Transparansi (transparency); 5. Berdayaguna (useful); 6. Aksesibilitas (accessibility) Aspek yang harus dipenuhi oleh unit penyelenggara pelayanan publik sesuai ketentuan peraturan perundang- undangan, meliputi: Kebijakan Pelayanan, Profesionalisme SDM, Sarana Prasarana, Sistem Informasi Pelayanan Publik, Konsultasi dan Pengaduan serta Inovasi. Indikator dihasilkan melalui persilangan antara prinsip dan aspek yang dijadikan dasar penilaian. Berdasarkan persilangan tersebut diperoleh 37 indikator penilaian yang diisi melalui Formulir F01 (Unit Penyelenggara Pelayanan Publik), Formulir F02 (Evaluator) dan Formulir F03 (Pengguna Layanan). Perhitungan Indeks Pelayanan Publik dikategorikan menjadi:</t>
  </si>
  <si>
    <t>Data bersumber dari Bappeda</t>
  </si>
  <si>
    <t>IUP-057</t>
  </si>
  <si>
    <t>27.a</t>
  </si>
  <si>
    <t>Anti Korupsi: Indeks Integritas Nasional -</t>
  </si>
  <si>
    <t>Indeks Integritas Nasional (IIN) adalah indeks yang diukur dengan survei masyarakat yang dibangun untuk memetakan risiko korupsi dan kemajuan upaya pencegahan korupsi yang dilakukan kementerian/lembaga/ pemerintah daerah (K/L/PD).</t>
  </si>
  <si>
    <t>Penilaian Internal (0,305) + Penilaian Eksternal (0,328) + Penilaian Eksper (0,367) – Faktor Koreksi (0,2)</t>
  </si>
  <si>
    <t>Hasil dari IIN dijadikan dasar untuk menyusun rekomendasi peningkatan upaya pencegahan korupsi di masing-masing K/L/PD sesuai karakteristik dan temuan pemetaan empiris.</t>
  </si>
  <si>
    <t>Komisi Pemberantasan Korupsi</t>
  </si>
  <si>
    <t>IUP-059</t>
  </si>
  <si>
    <t>Supremasi Hukum, Stabilitas, dan Kepemimpinan Indonesia</t>
  </si>
  <si>
    <t>IE10 - Hukum Berkeadilan, Keamanan Nasional Tangguh, dan Demokrasi Substansial</t>
  </si>
  <si>
    <t>28</t>
  </si>
  <si>
    <t>a. Persentase Penegakan Hukum Peraturan Daerah</t>
  </si>
  <si>
    <t>Dinas P3A</t>
  </si>
  <si>
    <t>IUP-060</t>
  </si>
  <si>
    <t>28.b</t>
  </si>
  <si>
    <t>b. Persentase Capaian Pelaksanaan Aksi HAM</t>
  </si>
  <si>
    <t>Badan Kesatuan Bangsa dan Politik Daerah</t>
  </si>
  <si>
    <t>IUP-061</t>
  </si>
  <si>
    <t>29</t>
  </si>
  <si>
    <t>Proporsi Penduduk yang Merasa Aman Berjalan Sendirian di Area Tempat Tinggalnya (%)</t>
  </si>
  <si>
    <t>Seberapa banyak penduduk yang merasa aman berjalan sendirian di area tempat tinggalnya. Indikator ini mencakup beberapa aspek yang meliputi penduduk yang merasa aman berjalan sendirian di area tempat tinggal pada siang dan malam hari. Indikator ini biasanya digunakan sebagai dasar dalam penyusunan perencanaan pembangunan sektoral di bidang keamanan dan ketertiban masyarakat serta perencanaan pembangunan nasional dalam rangka meningkatkan kesejahteraan masyarakat secara menyeluruh. Metode</t>
  </si>
  <si>
    <t>Semakain tinggi persentase yang dihasilkan dari perhitungan yang ada akan menunjukkan semakin besar jumlah penduduk yang merasa aman berjalan sendirian di area tempat tinggalnya, begitu pun sebaliknya.</t>
  </si>
  <si>
    <t>Badan Pusat Statistik (Modul Susenas Hansos)</t>
  </si>
  <si>
    <t>Per 3 tahun</t>
  </si>
  <si>
    <t>BAPENDA</t>
  </si>
  <si>
    <t>- 2021 bersumber SPTK, nama indikatornya persentase ruta yg merasa khawatir dgn keamanan saat berjalan kaki sendirian di malam hari - 2022-2023 hasil proyeksi dr 2021 - 2024 bersumber dr Susenas MBSP 2025, nama indikatornya persentase ruta yg merasa aman saat berjalan kaki sendirian pd malam hari di lingkungan sekitar rumah - 2025 bersumber dr Susenas Maret 2025, nama indikatornya persentase ruta yg merasa aman saat berjalan kaki sendirian pd malam hari di lingkungan sekitar rumah Nama indikator yg digunakan pd 2021-2023 berbeda dgn 2024. Jd, sebenarnya tidak bisa dibandingkan. Yang ditampilkan hanya tahun 2024 dan 2025 saja,</t>
  </si>
  <si>
    <t>IUP-062</t>
  </si>
  <si>
    <t>30</t>
  </si>
  <si>
    <t>Indeks Demokrasi Indonesia</t>
  </si>
  <si>
    <t>IDI merupakan indeks komposit yang mengukur kualitas demokrasi di Indonesia. IDI diukur sejak tahun 2009 (IDI 2009). Pada tahun 2021 metode pengukuran IDI mengalami perubahan karena terdapat perluasan konsep demokrasi yang digunakan. Pada IDI 2009 s.d 2020 konsep demokrasi hanya dilihat dari ranah politik, sedangkan pada IDI metode baru, demokrasi tidak hanya mencakup ranah politik, tetapi juga mencakup ranah ekonomi dan sosial. Selain itu, metode baru juga menghitung nilai IDI pada tingkat pusat. IDI 2021 merupakan IDI pertama yang dihitung dengan menggunakan metode baru. IDI metode baru terdiri dari tiga angka indeks: 1. IDI tingkat provinsi (merupakan agregasi dari nilai 34 provinsi) 2. IDI tingkat pusat (Kementerian/Lembaga), dan 3. IDI tingkat nasional (merupakan agregasi dari nilai IDI provinsi dan pusat). IDI metode baru terdiri atas 3 aspek dan 22 indikator, yaitu: 1. Aspek Kebebasan (7 indikator); 2. Aspek Kesetaraan (7 indikator); 3. Aspek Kapasitas Lembaga Demokrasi (8 indikator). Metode • Metode penghitungan IDI menggunakan triangulasi, yakni mengkombinasikan antara metode penelusuran kuantitatif dan kualitatif, dengan rancangan tertentu sehingga data yang didapat dari metode yang satu akan memvalidasi (cross validate) data yang didapat dengan metode yang lain. • Pendekatan kuantitatif yaitu melalui penelusuran dan analisis isi surat kabar lokal dengan oplah terbesar di provinsi tersebut. Pengumpulan berita juga dilakukan melalui proses web scrapping dari berbagai portal online dan reviu dokumen resmi yang dikeluarkan oleh Pemerintah Daerah dan DPRD Provinsi (SK Gubernur, Perda, SE, SK DPRD, data pemilih, data pelanggaran pemilu, dan lainnya). Data ini kemudian dikoding. • Pendekatan kualitatif yaitu ketika hasil data kuantitatif divalidasi melalui FGD yang melibatkan para ahli dan narasumber yang relevan. Tujuannya antara lain untuk menggali dan menjaring data kualitatif, mendapatkan informasi tambahan (verifikasi, konfirmasi, atau diskonfirmasi), serta melakukan eksplorasi atas kasus-kasus yang memiliki tingkat relevansi tinggi dengan indikator- indikator IDI. • IDI dihitung secara tertimbang menggunakan skala 0-100. • Bobot pada aspek, variabel, dan indikator diperoleh dengan AHP yang melibatkan juri dari kalangan akademisi, peneliti, praktisi, pejabat pemerintah, Ormas/LSM, serta pers.</t>
  </si>
  <si>
    <t>Makin tinggi nilai IDI, makin baik kualitas demokrasi. Ada tiga kategori nilai: 1. Kategori Tinggi (&gt;80) 2. Kategori Sedang (60-80) 3. Kategori Rendah (&lt;60)</t>
  </si>
  <si>
    <t>§ Badan Pusat Statistik (BPS) RI (https://www.bps.go.id/subject/34/politik-dan- keamanan.html#subjekViewTab3) § BPS masing-masing Provinsi</t>
  </si>
  <si>
    <t>Tinggi</t>
  </si>
  <si>
    <t>Target 2045 bukan angka tunggal ("Tinggi")</t>
  </si>
  <si>
    <t>IUP-063</t>
  </si>
  <si>
    <t>IE11 - Stabilitas Ekonomi Makro</t>
  </si>
  <si>
    <t>31</t>
  </si>
  <si>
    <t>Rasio Pajak Daerah terhadap PDRB (%)</t>
  </si>
  <si>
    <t>• Pajak Daerah adalah kontribusi wajib kepada Daerah yang terutang oleh orang pribadi atau badan yang bersifat memaksa berdasarkan Undang- Undang, dengan tidak mendapatkan imbalan secara langsung dan digunakan untuk keperluan Daerah bagi sebesar-besarnya kemakmuran rakyat. • PDRB adalah Penjumlahan nilai tambah bruto seluruh barang dan jasa yang tercipta atau dihasilkan di wilayah domestik suatu regional/negara yang timbul akibat berbagai aktivitas ekonomi dalam suatu periode tertentu tanpa memperhatikan apakah faktor produksi yang dimiliki residen atau non-residen, di mana barang dan jasa dihitung menggunakan harga yang berlaku pada periode penghitungan. • Rasio Pajak Daerah terhadap PDRB (%) adalah indikator yang digunakan untuk mengukur seberapa besar kontribusi penerimaan pajak daerah terhadap PDRB suatu daerah. Persentase rasio tersebut menggambarkan sejauh mana penerimaan pajak daerah bagi pemerintah daerah.</t>
  </si>
  <si>
    <t>Penerimaan Pajak Daerah4 RPDRB4 = 𝑥 100% PDRB4 Keterangan: RPDRB4 : Kontribusi Rasio Pajak Daerah terhadap PDRB (%) pada tahun t</t>
  </si>
  <si>
    <t>Rasio Pajak Daerah terhadap PDRB (%) yang semakin besar menunjukkan bahwa Semakin tinggi penerimaan pajak daerah, maka semakin besar nilai rasio pajak daerah. Semakin tinggi nilai rasio pajak daerah maka pemerintah daerah dapat lebih mengandalkan APBD untuk membiayai pembangunan di daerah.</t>
  </si>
  <si>
    <t>BPS, Sistem Informasi Keuangan Daerah (SIKD).</t>
  </si>
  <si>
    <t>Data Triwulanan sesuai dengan rilis PDRB.</t>
  </si>
  <si>
    <t>Bappenda dan BKAD</t>
  </si>
  <si>
    <t>IUP-064</t>
  </si>
  <si>
    <t>32</t>
  </si>
  <si>
    <t>Tingkat inflasi</t>
  </si>
  <si>
    <t>Kecenderungan naiknya harga barang dan jasa yang berlangsung secara terus menerus dalam jangka waktu tertentu dalam wilayah provinsi tertentu. Kenaikan harga dari satu atau dua barang saja tidak dapat disebut inflasi kecuali bila kenaikan itu meluas atau mengakibatkan kenaikan harga pada barang lainnya. Indeks Harga Konsumen (IHK) adalah salah satu indikator yang digunakan untuk mengukur tingkat inflasi.</t>
  </si>
  <si>
    <t>f#V9 )f#V9:; Tingkat Inflasi (%) = × 100% f#V9:; Perhitungan Indeks Harga Konsumen (IHK) berdasarkan the Classification of Individual Consumption by Purpose (COICOP) 2018. Pengukuran IHK dilakukan melalui Survei Biaya Hidup (SBH) oleh BPS di 90 Kabupaten/Kota sampel IHK.</t>
  </si>
  <si>
    <t>Perubahan IHK dari waktu ke waktu menggambarkan tingkat kenaikan harga (inflasi) atau tingkat penurunan harga (deflasi) dari barang dan jasa. Setelah diketahui indeks harga konsumen (IHK) di bulan tersebut, inflasi dapat diketahui melalui perhitungan persentase perubahan IHK. Secara umum, persentase perubahan inflasi dibagi dapat menjadi tiga: 1.Inflasi m-t-m membandingkan nilai IHK pada bulan amatan dengan bulan sebelumnya (misal bulan amatan adalah bulan Januari maka bulan sebelumnya adalah Desember). 2. Inflasi y-t-d membandingkan IHK pada akhir tahun amatan dengan titik tertentu dalam tahun yang telah berjalan. 3. Inflasi y-o-y membandingkan nilai IHK pada bulan amatan tertentu dengan IHK pada bulan yang sama pada tahun sebelumnya (sebagai contoh untuk menghitung inflasi year-on-year September 2023 maka IHK September 2023 dibandingkan dengan IHK September 2022).</t>
  </si>
  <si>
    <t>Badan Pusat Statistik (catatan: Hingga saat ini BPS tidak me-release data inflasi tingkat Provinsi, melainkan inflasi tingkat Kabupaten/Kota IHK. Sehingga perlu mendorong BPS untuk dapat mempublikasi tingkat inflasi di tingkat Provinsi)</t>
  </si>
  <si>
    <t>YoY</t>
  </si>
  <si>
    <t>IUP-065</t>
  </si>
  <si>
    <t>33.a</t>
  </si>
  <si>
    <t>Total Dana Pihak Ketiga/PDRB (%)</t>
  </si>
  <si>
    <t>Dana pihak ketiga adalah dana-dana yang berasal dari masyarakat, baik perorangan maupun badan usaha yang diperoleh bank dengan menggunakan berbagai instrument produk simpanan yang dimiliki oleh bank. Bank yang dimaksud dalam pengertian ini adalah seluruh unit bank baik Bank Umum (termasuk Bank Umum Syariah dan Unit Usaha Syariah) maupun Bank Perekonomian Rakyat (BPR- BPRS) di suatu daerah provinsi. Produk Domestik Regional Bruto (PDRB) adalah jumlah nilai tambah bruto yang timbul dari seluruh sektor perekonomian di suatu daerah. PDRB atas dasar harga berlaku menggambarkan nilai tambah barang dan jasa yang dihitung menggunakan harga pada tahun berjalan. Total Dana Pihak Ketiga/PDRB (%) adalah persentase rasio total dana pihak ketiga perbankan di suatu provinsi terhadap PDRB provinsi tersebut pada suatu waktu tertentu.</t>
  </si>
  <si>
    <t>𝑇𝑜𝑡𝑎𝑙 𝐷𝑎𝑛𝑎 𝑃𝑖ℎ𝑎𝑘 𝐾𝑒𝑡𝑖𝑔𝑎/𝑃𝐷𝑅𝐵(%) 𝑇𝑜𝑡𝑎𝑙 𝐷𝑎𝑛𝑎 𝑃𝑖ℎ𝑎𝑘 𝐾𝑒𝑡𝑖𝑔𝑎 = 𝑥 100 𝑃𝐷𝑅𝐵 Keterangan: Total Dana Pihak Ketiga (DPK) = Total DPK Bank Umum + Total DPK BPR-BPRS (di suatu provinsi) PDRB = Produk Domestik Regional Bruto (atas dasar harga berlaku)</t>
  </si>
  <si>
    <t>Total Dana Pihak Ketiga/PDRB (%) menggambarkan tingkat besaran perbandingan DPK perbankan suatu daerah terhadap PDRB atau pendapatan total perekonomian daerahnya. Nilai Total DPK/PDRB menggambarkan tingkat pendalaman keuangan di suatu daerah, dimana peningkatan angka rasio Total DPK/PDRB (%), menunjukkan peningkatan tingkat simpanan masyarakat di sektor keuangan yang mengarah pada semakin dalamnya sektor keuangan di suatu daerah.</t>
  </si>
  <si>
    <t>Total Dana Pihak Ketiga = Otoritas Jasa Keuangan (OJK), PDB = Badan Pusat Statistik (BPS)</t>
  </si>
  <si>
    <t>Dana Pihak Ketiga = Bulanan PDRB = Triwulan</t>
  </si>
  <si>
    <t>Setda-Biro Ekonomi</t>
  </si>
  <si>
    <t>Data DPK bersumber dari OJK, butuh penjelasan meta data terkait konversi satuan dan nilai tahunan</t>
  </si>
  <si>
    <t>IUP-066</t>
  </si>
  <si>
    <t>33.b</t>
  </si>
  <si>
    <t>Pendalaman/Intermediasi Sektor Keuangan: Aset Dana Pensiun/PDRB (%)</t>
  </si>
  <si>
    <t>Menurut Undang-undang (UU) Nomor 4 Tahun 2023 tentang Pengembangan dan Penguatan Sektor Keuangan Pasal 167, Aset Dana Pensiun dihimpun dari: a. iuran pemberi kerja; b. iuran peserta; c. hasil pengelolaan aset; d. pengalihan aset dari Dana Pensiun lain; dan/atau e. pengalihan dana awal pemberi kerja. Yang mana jumlah aset dana pensiun dihitung berdasarkan provinsi. Dari sisi penghitungan, aset dana pensiun per provinsi Terdiri dari total aset DPPK-PPMP, DPPK-PPIP dan DPLK yang terdapat dalam suatu provinsi PDRB pada dasarnya merupakan jumlah nilai tambah yang dihasilkan oleh seluruh unit usaha dalam suatu regional/wilayah tertentu, PDRB atas dasar harga berlaku menggambarkan nilai tambah barang dan jasa yang dihitung menggunakan harga yang berlaku pada setiap tahun. Aset Dana Pensiun/PDRB (%) menunjukkan persentase rasio total aset dana pensiun terhadap PDRB (atas dasar harga berlaku) di suatu provinsi pada suatu waktu tertentu. 6%"- )&amp;,&amp; .",%*$, ."# .#17*,%*</t>
  </si>
  <si>
    <t>𝐴𝑠𝑒𝑡 𝑑𝑎𝑛𝑎 𝑝𝑒𝑛𝑠𝑖𝑢𝑛 𝑝𝑒𝑟 𝑝𝑟𝑜𝑣𝑖𝑛𝑠𝑖/ 𝑃𝐷𝑅𝐵(%) = 8/9! x 100 Keterangan : Aset Dana Pensiun = Terdiri dari total aset DPPK-PPMP, DPPK-PPIP dan DPLK yang tersedia dalam provinsi tersebut PDRB = Produk Domestik Regional Bruto (atas dasar harga berlaku)</t>
  </si>
  <si>
    <t>Aset Dana Pensiun per Provinsi/PDRB (%) menggambarkan rasio besaran total aset dana pensiun suatu provinsi terhadap PDRB provinsi tersebut. Peningkatan aset dana pensiun per provinsi/PDRB di suatu provinsi menunjukkan peningkatan pendalaman sektor keuangan di provinsi tersebut.</t>
  </si>
  <si>
    <t>Aset Dana Pensiun per Provinsi = Otoritas Jasa Keuangan PDRB = Badan Pusat Statistik</t>
  </si>
  <si>
    <t>Aset Dana Pensiun per Provinsi = Bulanan</t>
  </si>
  <si>
    <t>Data ADP belum tersedia. sumber data dari eksternal</t>
  </si>
  <si>
    <t>IUP-068</t>
  </si>
  <si>
    <t>33.d</t>
  </si>
  <si>
    <t>Nilai Transaksi Saham per Kapita per Provinsi (Rupiah)</t>
  </si>
  <si>
    <t>Nilai transaksi saham per provinsi adalah total nilai transaksi saham yang dilakukan oleh investor berdasarkan domisili (provinsi). Nilai transaksi saham merupakan hasil dari volume atau jumlah saham yang ditransaksikan dikali dengan harga saham.</t>
  </si>
  <si>
    <t>nilai transaksi saham per provinsi berupa nilai rata − rata tahunan = nilai transaksi investor saham per provinsi selama setahun</t>
  </si>
  <si>
    <t>Untuk mengukur size dari pasar modal dapat digunakan berbagai pendekatan. Salah satunya dengan mengukur tingkat likuiditas pasar melalui pendekatan rata-rata transaksi. Pasar modal yang aktif memberikan sinyal adanya pertumbuhan perekonomian. Sentimen pasar yang baik kemudian akan meningkatkan performa saham yang pada akhirnya akan mempengaruhi nilai kapitalisasi pasar secara keseluruhan.</t>
  </si>
  <si>
    <t>Otoritas Jasa Keuangan</t>
  </si>
  <si>
    <t>Data belum tersedia. sumber data dari OJK</t>
  </si>
  <si>
    <t>IUP-069</t>
  </si>
  <si>
    <t>33.e</t>
  </si>
  <si>
    <t>Pendalaman/Intermediasi Sektor Keuangan: Total Kredit/PDB (%)</t>
  </si>
  <si>
    <t>Total Kredit per Provinsi adalah penjumlahan dari total penyaluran kredit dan pembiayaan yang disalurkan oleh perbankan yang terdiri dari Bank Umum (termasuk Bank Umum Syariah dan Unit Usaha Syariah) dan Bank Perekonomian Rakyat (BPR-BPRS) di lingkup provinsi. PDRB pada dasarnya merupakan jumlah nilai tambah yang dihasilkan oleh seluruh unit usaha dalam suatu regional/wilayah tertentu, atau merupakan jumlah nilai barang dan jasa akhir yang dihasilkan oleh seluruh unit ekonomi. PDRB atas dasar harga berlaku menggambarkan nilai tambah barang dan jasa yang dihitung menggunakan harga yang berlaku pada setiap tahun. Total Kredit per Provinsi /PDRB (%) menunjukkan persentase rasio total kredit dan pembiayaan yang disalurkan oleh perbankan di suatu provinsi terhadap PDRB (atas dasar harga berlaku) provinsi tersebut pada suatu waktu tertentu. DEFGH IJKLMF NKJ NJEOMPQM</t>
  </si>
  <si>
    <t>𝑇𝑜𝑡𝑎𝑙 𝐾𝑟𝑒𝑑𝑖𝑡 𝑝𝑒𝑟 𝑃𝑟𝑜𝑣𝑖𝑛𝑠𝑖/𝑃𝐷𝑅𝐵(%) = x 100 RSTU Keterangan: Total Kredit per provinsi = Total Penyaluran Kredit Bank Umum + Total Penyaluran Kredit BPR-BPRS di masing-masing provinsi PDRB = Produk Domestik Regional Bruto (atas dasar harga berlaku)</t>
  </si>
  <si>
    <t>Total Kredit per provinsi/PDRB (%) menggambarkan tingkat pemanfaatan kredit dan pembiayaan perbankan di provinsi sebagai salah satu sumber pembiayaan pembangunan daerah. Semakin tinggi nilai Total Kredit per provinsi/PDRB (%) menunjukkan semakin berfungsinya perbankan sebagai lembaga intermediasi keuangan yang berperan dalam menyalurkan pendanaan pada usaha- usaha dalam perekonomian provinsi tersebut.</t>
  </si>
  <si>
    <t>Total Kredit per provinsi= Otoritas Jasa Keuangan (OJK), PDRB = Badan Pusat Statistik (BPS)</t>
  </si>
  <si>
    <t>Total Kredit per Provinsi = Bulanan, PDRB = Triwulanan</t>
  </si>
  <si>
    <t>Data Total Kedit belum tersedia. sumber data dari eksternal</t>
  </si>
  <si>
    <t>IUP-070</t>
  </si>
  <si>
    <t>34</t>
  </si>
  <si>
    <t>Inklusi Keuangan (%)</t>
  </si>
  <si>
    <t>Inklusi Keuangan (%) adalah tingkat penggunaan produk dan layanan jasa keuangan oleh masyarakat Indonesia pada suatu kurun waktu tertentu</t>
  </si>
  <si>
    <t>Tingkat indeks inklusi keuangan diukur menggunakan metode survei yang dilakukan pada responden (sample penduduk) yang tersebar di seluruh provinsi di Indonesia. Pengambilan data survei dilakukan secara langsung/wawancara tatap muka dibantu dengan sistem Computer Assisted Personal Interviewing (CAPI). Parameter yang digunakan adalah parameter penggunaan (usage), dimana masyarakat yang dikatakan inklusif secara keuangan adalah masyarakat yang menggunakan produk dan layanan jasa keuangan dalam kurun waktu 12 bulan terakhir dihitung dari waktu pelaksanaan survei. 𝐽𝑢𝑚𝑙𝑎ℎ 𝑅𝑒𝑠𝑝𝑜𝑛𝑑𝑒𝑛 𝑦𝑎𝑛𝑔 𝑀𝑒𝑛𝑔𝑔𝑢𝑛𝑎𝑘𝑎𝑛 𝑃𝑟𝑜𝑑𝑢𝑘/𝐿𝑎𝑦𝑎𝑛𝑎𝑛 𝐾𝑒𝑢𝑎𝑛𝑔𝑎𝑛 𝑥 100% 𝑇𝑜𝑡𝑎𝑙 𝑆𝑎𝑚𝑝𝑒𝑙</t>
  </si>
  <si>
    <t>Inklusi Keuangan adalah ketersediaan akses bagi masyarakat untuk memanfaatkan produk dan/atau layanan jasa keuangan di lembaga keuangan formal sesuai dengan kebutuhan dan kemampuan masyarakat dalam rangka mewujudkan kesejahteraan. Peningkatan inklusi keuangan menunjukkan adanya peningkatan penggunaan produk dan layanan jasa keuangan formal oleh masyarakat baik dengan tujuan bertransaksi, menabung, melakukan investasi dan lainnya. Tingkat inklusi keuangan yang semakin tinggi akan mendorong pendalaman sektor keuangan dan mengindikasikan semakin luasnya peran jasa keuangan sebagai enabler dalam pembangunan nasional</t>
  </si>
  <si>
    <t>Otoritas Jasa Keuangan (OJK)</t>
  </si>
  <si>
    <t>Setiap tiga tahun sekali</t>
  </si>
  <si>
    <t>OJK</t>
  </si>
  <si>
    <t>angka hingga level provinsi tidak tersedia pada tahun 2021, 2023-2025</t>
  </si>
  <si>
    <t>IUP-071</t>
  </si>
  <si>
    <t>IE12 - Ketangguhan Diplomasi dan Pertahanan Berdaya Gentar Kawasan</t>
  </si>
  <si>
    <t>35</t>
  </si>
  <si>
    <t>Jumlah Kerja Sama Provinsi</t>
  </si>
  <si>
    <t>Bapperida</t>
  </si>
  <si>
    <t>Belum tersedia metadata</t>
  </si>
  <si>
    <t>IUP-072</t>
  </si>
  <si>
    <t>36</t>
  </si>
  <si>
    <t>Indeks Ketahanan Nasional</t>
  </si>
  <si>
    <t>Belum tersedia untuk kalimantan utara, data bersumber dari Bapperida</t>
  </si>
  <si>
    <t>IUP-073</t>
  </si>
  <si>
    <t>Ketahanan Sosial Budaya dan Ekologi</t>
  </si>
  <si>
    <t>IE13 - Beragama Maslahat dan Berkebudayaan Maju</t>
  </si>
  <si>
    <t>37</t>
  </si>
  <si>
    <t>Indeks Pembangunan Kebudayaan</t>
  </si>
  <si>
    <t>Instrumen untuk mengukur capaian kinerja pembangunan kebudayaan, diharapkan dapat memberikan gambaran pembangunan kebudayaan secara lebih holistik dengan memuat 7 (tujuh) dimensi, yakni: (1) dimensi ekonomi budaya; (2) dimensi pendidikan; (3) dimensi ketahanan sosial budaya; (4) dimensi warisan budaya; (5) dimensi ekspresi budaya; (6) dimensi budaya literasi; dan (7) dimensi kesetaraan gender. 7 dimensi tersebut diukur melalui 31 indikator, yaitu: 1) Dimensi ekonomi budaya; a) Persentase penduduk yang pernah terlibat sebagai pelaku/ pendukung pertunjukkan seni yang menjadikan keterlibatan sebagai sumber penghasilan (terhadap penduduk usia 15 tahun ke atas) 2) Dimensi pendidikan; a) Rata-rata lama sekolah penduduk usia 25+ b) Harapan lama sekolah penduduk usia 7+ c) Angka Kesiapan Sekolah d) Persentase satuan pendidikan yang mempunyai guru yang mengajar mulok bahasa daerah dan ekskul kesenian e) Persentase penduduk penyandang disabilitas usia 7-18 tahun yang bersekolah f) Persentase pendidikan penduduk usia 7-18 tahun dengan kategori kelompok pengeluaran 40% terbawah 3) Dimensi ketahanan sosial budaya; a) Persentase rumah tangga yang setuju jika ada sekelompok orang dari agama lain yang melakukan kegiatan di lingkun- gan sekitar tempat tinggal b) Persentase rumah tangga yang setuju jika ada sekelompok orang dari suku lain yang melakukan kegiatan di lingkungan sekitar tempat tinggal c) Persentase rumah tangga yang setuju jika salah satu anggota rumah tangga bersahabat dengan orang lain yang beda agama d) Persentase rumah tangga yang setuju jika salah satu anggota rumah tangga bersahabat dengan orang lain yang beda suku e) Persentase penduduk berumur 10 tahun ke atas yang mengikuti kegiatan sosial kemasyarakatan di lingkungan sekitar dalam tiga bulan terakhir f) Persentase penduduk usia 10 tahun ke atas yang mengikuti gotong royong g) Persentase Rumah Tangga yang merasa khawatir dengan keamanan saat berjalan kaki sendirian di malam hari dalam setahun terakhir h) Persentase masyarakat yang merasa aman menitipkan rumah kepada tetangga</t>
  </si>
  <si>
    <t>l 𝐼𝑃𝐾 = rs𝑊k × 𝑖𝑛𝑑𝑒𝑘𝑠 𝐷k t k'( Keterangan: 𝐼𝑃𝐾 = Indeks Pembangunan Kebudayaan 𝑊k = Bobot dimensi ke-𝑗 𝐷k = Dimensi ke-𝑗 Rumus menghitung indeks dimensi (𝐷k ): ∑&amp;%'( 𝑆𝑋k% 𝐼𝑛𝑑𝑒𝑘𝑠 𝐷k = u w × 100 𝑛k Keterangan: 𝐷k = Dimensi ke-𝑗 𝑆𝑋k% = Nilai indikator 𝑖 pada dimensi ke- 𝑗 yang sudah dinormalisasi 𝑛k = Jumlah indikator dimensi ke-𝑗</t>
  </si>
  <si>
    <t>Angka IPK menggambarkan upaya pemerintah dalam mengukur upaya kemajuan pembangunan kebudayaan. Nilai IPK terdiri dari 5 kategori, yaitu: 0,00 – 20,00 sangat rendah; 20,01 – 40,00 rendah; 40,01 – 60,00 sedang; 60,01 – 80,00 tinggi; 80,01 – 100,00 sangat tinggi.</t>
  </si>
  <si>
    <t>Ditjen Kebudayaan, Kemendikbudristek</t>
  </si>
  <si>
    <t>Kementerian Kebudayaan RI. Data tahun 2025 belum tersedia.</t>
  </si>
  <si>
    <t>IUP-074</t>
  </si>
  <si>
    <t>38</t>
  </si>
  <si>
    <t>Indeks Kerukunan Umat Beragama:</t>
  </si>
  <si>
    <t>Indeks yang menggambarkan sejauh mana tingkat kerukunan umat beragama. IKUB diukur melalui tiga indikator kerukunan umat beragama, yakni toleransi, kesetaraan, dan kerja sama.</t>
  </si>
  <si>
    <t>∑ck'( 𝐼𝑛𝑑𝑒𝑘𝑠 𝐷k 𝐼𝐾𝑈𝐵 = Keterangan: 𝐼𝑃𝐾 = Indeks Kerukunan Umat Beragama 𝐷k = Dimensi ke-𝑗 Rumus menghitung indeks dimensi (𝐷k ): ∑&amp;%'( 𝑆𝑋k% 𝐼𝑛𝑑𝑒𝑘𝑠 𝐷k = 𝑛k Keterangan: 𝐷k = Dimensi ke-𝑗 𝑆𝑋k% = Nilai indikator 𝑖 pada dimensi ke-𝑗 𝑛k = Jumlah indikator dimensi ke-𝑗</t>
  </si>
  <si>
    <t>Nilai IKUB terdiri dari 5 kategori, yaitu: 0,00 – 20,00 rukun sangat rendah; 20,01 – 40,00 rukun rendah; 40,01 – 60,00 rukun sedang; 60,01 – 80,00 rukun tinggi; 80,01 – 100,00 rukun sangat tinggi.</t>
  </si>
  <si>
    <t>Balitbang, Kemenag</t>
  </si>
  <si>
    <t>Kemenag</t>
  </si>
  <si>
    <t>IUP-075</t>
  </si>
  <si>
    <t>IE14 - Keluarga Berkualitas, Kesetaraan Gender, dan Masyarakat Inklusif</t>
  </si>
  <si>
    <t>39</t>
  </si>
  <si>
    <t>Indeks Pembangunan Kualitas Keluarga</t>
  </si>
  <si>
    <t>IPKK mengukur kualitas keluarga berdasarkan 3 (tiga) dimensi, yaitu kesejahteraan, ketahanan, dan partisipasi. Ketiga dimensi tersebut merupakan elemen vital yang menunjukkan fungsi keluarga serta peranannya sebagai modal sosial dalam mendukung pembangunan sumber daya manusia.</t>
  </si>
  <si>
    <t>IPKK diperoleh dengan menghitung rata-rata nilai indeks dari setiap dimensi pembentuknya, yaitu dimensi kesejahteraan, dimensi ketahanan, dan dimensi partisipasi.</t>
  </si>
  <si>
    <t>Nilai IPKK berkisar antara 0 - 100 dan bermakna positif. Nilai IPKK yang semakin besar menunjukkan kualitas keluarga yang semakin meningkat dan sebaliknya.</t>
  </si>
  <si>
    <t>Badan Pusat Statistik, BKKBN, Kementerian PPPA</t>
  </si>
  <si>
    <t>76,58 - 76,72</t>
  </si>
  <si>
    <t>Target 2045 bukan angka tunggal ("76,58 - 76,72")</t>
  </si>
  <si>
    <t>Data Indeks Kualitas Keluarga KemenPPPA terakhir sampai tahun 2023</t>
  </si>
  <si>
    <t>IUP-076</t>
  </si>
  <si>
    <t>40</t>
  </si>
  <si>
    <t>Indeks Ketimpangan Gender (IKG)</t>
  </si>
  <si>
    <t>Indeks Ketimpangan Gender (IKG) terdiri dari 3 (tiga) dimensi dan 5 (lima) indikator, yaitu dimensi kesehatan reproduksi perempuan yang dibentuk dari indikator proporsi perempuan yang melahirkan hidup tidak di fasilitas kesehatan (MTF) dan proporsi perempuan yang saat melahirkan hidup pertama berumur kurang dari 20 tahun (MHPK20), dimensi pemberdayaan yang dibentuk dari indikator persentase penduduk usia 25 tahun ke atas dengan pendidikan SMA/sederajat ke atas dan persentase anggota legislatif, serta dimensi pasar tenaga kerja yang diwakili dengan indikator tingkat partisipasi angkatan kerja (TPAK) laki-laki dan TPAK perempuan.</t>
  </si>
  <si>
    <t>Langkah-langkah metode penghitungan IKG berikut formula yang digunakan adalah sebagai berikut: 1. Menghitung Indeks Perempuan dan Indeks Laki-laki 2. Menghitung agregasi indeks perempuan dan indeks laki- laki dengan rata-rata harmonic 3. Menghitung indeks masing – masing dimensi 4. Menghitung agregasi indeks dimensi dengan rata-rata geometrik 5. Menghitung Indeks Kesetaraan Gender 6. Menghitung Indeks Ketimpangan Gender Keterangan:</t>
  </si>
  <si>
    <t>IKG bernilai antara 0 - 1 dan bermakna positif. Nilai IKG yang semakin rendah menunjukkan ketimpangan gender yang semakin rendah atau kesetaraan gender yang semakin tinggi, dan sebaliknya.</t>
  </si>
  <si>
    <t>Survei Sosial Ekonomi Nasional (Susenas) BPS, Survei Angkatan Kerja Nasional (Sakernas) BPS, dan Sekretaris Dewan (Sekwan)</t>
  </si>
  <si>
    <t>IUP-077</t>
  </si>
  <si>
    <t>IE15 - Lingkungan Hidup Berkualitas</t>
  </si>
  <si>
    <t>41</t>
  </si>
  <si>
    <t>Indeks Pengelolaan Keanekaragaman Hayati Daerah</t>
  </si>
  <si>
    <t>Indeks Pengelolaan Keanekaragaman Hayati Daerah adalah ukuran atas capaian aksi pengelolaan keanekaragaman hayati yang dilakukan per provinsi. Pengelolaan keanekaragaman hayati adalah tindakan yang dilakukan secara sistematis dan terukur dengan tujuan akhir untuk mempertahankan keberadaan seluruh bentuk kehidupan di bumi, melalui pengurangan ancaman dan peningkatan pemanfaatan berkelanjutan keanekaragaman hayati. Pengurangan ancaman adalah upaya pengayaan keanekaragaman hayati melalui perlindungan, konservasi, dan restorasi, baik di tingkat ekosistem, spesies, maupun genetik. Pemanfaatan berkelanjutan adalah pemanfaatan komponen keanekaragaman hayati secara optimal yang sebesar-besarnya untuk masyarakat dan generasi yang akan datang.</t>
  </si>
  <si>
    <t>Indeks memiliki skala nol sampai satu. Nilai nol menunjukkan capaian pengelolaan keanekaragaman hayati yang sangat buruk, sedangkan nilai satu menunjukkan capaian pengelolaan keanekaragaman hayati yang sangat baik yang dilakukan oleh berbagai pihak, tidak terbatas oleh pemerintah daerah. Perlu diperhatikan bahwa nilai indeks pengelolaan keanekaragaman hayati mencerminkan kualitas dan kuantitas upaya yang dikerahkan untuk melestarikan keanekaragaman hayati dan tidak status kehati itu sendiri. Namun, melalui pengelolaan kehati yang baik diharapkan dapat mencerminkan kondisi keanekaragaman hayati yang baik pula.</t>
  </si>
  <si>
    <t>● Buku Statistik Lingkungan Hidup dan Kehutanan KLHK ● Buku Statistik Lingkungan Hidup BPS ● Buku Statistik Lahan Pertanian Kementerian Pertanian ● Website Sistem Informasi Statistik KLHK (https://statistik.menlhk.go.id/sisklhk/) ● Website Statistik KKP (https://statistik.kkp.go.id/home.php) ● Website Satu Data Kementerian Pertanian (https://satudata.pertanian.go.id) ● Website Statistik Kehutanan BPS (https://www.bps.go.id/subject/60/kehutanan.html) ● Website Statistik Perikanan BPS (https://www.bps.go.id/subject/56/perikanan.html)</t>
  </si>
  <si>
    <t>DInas Lingkungan Hidup</t>
  </si>
  <si>
    <t>IUP-078</t>
  </si>
  <si>
    <t>42.a.1</t>
  </si>
  <si>
    <t>Kualitas Lingkungan Hidup: Indeks Kualitas Lingkungan Hidup - Indeks Kualitas Udara (IKU)</t>
  </si>
  <si>
    <t>Belum ada target</t>
  </si>
  <si>
    <t>Tidak masuk dalam RPJMD Kaltara</t>
  </si>
  <si>
    <t>IUP-079</t>
  </si>
  <si>
    <t>42.a.2</t>
  </si>
  <si>
    <t>Kualitas Lingkungan Hidup: Indeks Kualitas Lingkungan Hidup - Indeks Kualitas Air (IKA)</t>
  </si>
  <si>
    <t>IUP-080</t>
  </si>
  <si>
    <t>42.a.3</t>
  </si>
  <si>
    <t>Kualitas Lingkungan Hidup: Indeks Kualitas Lingkungan Hidup - Indeks Kualitas Lahan (IKL)</t>
  </si>
  <si>
    <t>IUP-081</t>
  </si>
  <si>
    <t>42.a.4</t>
  </si>
  <si>
    <t>Kualitas Lingkungan Hidup: Indeks Kualitas Lingkungan Hidup - Indeks Kualitas Air Laut (IKAL)</t>
  </si>
  <si>
    <t>IUP-082</t>
  </si>
  <si>
    <t>42.b</t>
  </si>
  <si>
    <t>Kualitas Lingkungan Hidup: Rumah Tangga dengan Akses Sanitasi Aman (%)</t>
  </si>
  <si>
    <t>Akses Aman adalah apabila rumah tangga memiliki fasilitas sanitasi sendiri, dengan bangunan atas dilengkapi kloset dengan leher angsa, dan bangunan bawahnya menggunakan tangki septik yang disedot setidaknya sekali dalam 5 (lima) tahun terakhir dan diolah dalam instalasi pengolahan lumpur tinja (IPLT), atau tersambung ke sistem pengolahan air limbah domestik terpusat (SPALD-T)</t>
  </si>
  <si>
    <t>𝑱𝑹𝑻𝑺𝑻 + 𝑱𝑹𝑻𝑰𝑷𝑳𝑻 𝑷𝑺𝑨 = 𝒙 𝟏𝟎𝟎% 𝑱𝑹𝑻𝑺 PSA = Persentase Rumah Tangga yang memiliki akses sanitasi aman JRTSPAL = Jumlah rumah aangga yang memiliki akses terhadap SPALD-T JRTIPLT = Jumlah rumah tangga dengan akses terhadap tangka septik yang disedot setidaknya sekali dalam 5 (lima) tahun terakhir dan diolah dalam instalasi pengolahan lumpur tinja (IPLT) JRTS = Jumlah rumah tangga seluruhnya</t>
  </si>
  <si>
    <t>Indikator ini diperlukan untuk mendapatkan data akses sanitasi aman sebagai pemenuhan layanan dasar bagi masyarakat. Akses terhadap sanitasi yang aman serta sanitasi sangat penting bagi kesehatan, kesejahteraan dan produktivitas dan diakui sebagai hak asasi manusia. Sebagian besar penyakit menular disebabkan oleh bakteri atau virusyang ditularkan baik melalui udara, melalui permukaan atau makanan, atau melalui kotoran manusia. Untuk itu persentase rumah tangga yang menggunakan layanan sanitasi yang dikelola secara aman dinilai penting untuk melihat terpenuhinya layanan sanitasi dan kebersihan dasar dari masyarakat</t>
  </si>
  <si>
    <t>1. Survei Sosial Ekonomi Nasional (Susenas) KOR BPS 2. Data Infrastruktur Kementerian PUPR</t>
  </si>
  <si>
    <t>IUP-083</t>
  </si>
  <si>
    <t>42.c</t>
  </si>
  <si>
    <t>Kualitas Lingkungan Hidup: Timbulan Sampah Terolah di Fasilitas Pengolahan Sampah (%)</t>
  </si>
  <si>
    <t>Timbulan Sampah Timbulan sampah merupakan sampah yang berasal dari sumber sampah. Jenis sampah yang dimaksud adalah Sampah Rumah Tangga (SRT) dan Sampah Sejenis Sampah Rumah Tangga (SSSRT). Sampah rumah tangga adalah sampah yang berasal dari kegiatan sehari-hari dalam rumah tangga yang tidak termasuk tinja dan sampah spesifik. Sampah sejenis sampah rumah tangga adalah sampah rumah tangga yang berasal dari kawasan komersial, kawasan industri, kawasan khusus, fasilitas sosial, fasilitas umum, dan/atau fasilitas lainnya. Kegiatan pengolahan sampah merupakan kegiatan mengubah karakteristik, komposisi, dan/atau jumlah sampah. Pengolahan sampah yang dimaksud mempertimbangkan; karakteristik sampah, teknologi pengolahan yang ramah lingkungan, keselamatan kerja, dan kondisi sosial masyarakat. Sampah diolah berasal dari kegiatan sehari-hari dalam rumah tangga, kawasan komersial, kawasan industri, kawasan khusus, fasilitas sosial, fasilitas umum, dan/atau fasilitas lainnya yang tidak termasuk tinja dan sampah spesifik. Kegiatan pengolahan sampah yang diukur meliputi kegiatan; a. Pengolahan sampah organik seperti pengomposan, dan/atau pengolahan sampah organik lainnya seperti biokonversi maggot BSF, vermi composting, biodigester, dsb. b. Daur ulang materi (material recovery) merupakan upaya memanfaatkan sampah menjadi barang yang berguna setelah melalui suatu proses pengolahan terlebih dahulu. Jenis sampah yang diutamakan di daur ulang seperti; plastik, kardus, kertas, kaca, logam, dan sejenisnya. Rantai nilai daur ulang materi biasanya melibatkan beberapa langkah seperti industri daur ulang swasta yang membeli, memproses, dan memperdagangkan bahan mulai dari pengambilan hingga diproses ulang menjadi produk, bahan, atau zat yang memiliki nilai pasar. Pada rantai daur ulang materi ini melibatkan pemulung informal, lapak, pengepul, bandar, dan pendaur ulang rantai akhir. Kegiatan pengolahan sampah berlangsung di fasilitas pengolahan sebagai berikut; TPS3R, TPST, Pusat Olah Organik (POO), Bank Sampah, Pusat Daur Ulang (PDU), fasilitas pengolahan lainnya yang dikelola operator pemerintah dan/atau swasta. Catatan: Mengacu pada definisi global dari UN-Habitat, bahwa makna dari waste recovery sepadan dengan kegiatan pengolahan sampah. Pemulihan (recovery) itu sendiri merupakan setiap kegiatan yang secara prinsip utamanya adalah sampah memiliki fungsi untuk mengganti bahan material lain untuk memenuhi fungsi tertentu, dalam alur produksi atau ekonomi yang lebih luas. Kegiatan pengolahan sampah menjadi energi dan/atau bahan bakar lainnya tidak dihitung ke dalam indikator sampah terolah.</t>
  </si>
  <si>
    <t>Langkah ke-1: Menghitung Jumlah Sampah Terolah Terdapat dua alternatif menghitung jumah sampah terolah: Cara (1) 𝑆𝑂 = 𝑆𝑇 − 𝑀𝐹𝑃𝐴 + 𝑅𝐷𝑃 Keterangan: SO : Sampah terolah (ton/hari) ST : Sampah terkumpul (ton/hari) MFPA : Sampah yang masuk ke fasilitas pemrosesan akhir sampah (ton/hari) RPD : Residu dari fasilitas pengolahan-daur ulang sampah (ton/hari) Cara (2) 𝑆𝑂 = 𝑀𝐹𝑃𝐷 + 𝐷𝑃𝐴 − 𝑅𝑃𝐷 Keterangan: SO : Sampah terolah (ton/hari) MFPD : Sampah yang masuk ke fasilitas pengolahan- daur ulang sampah (ton/hari) DPA : Material daur ulang yang diambil dari fasilitas pemrosesan akhir oleh sektor informal (ton/hari) RPD : Residu dari fasilitas pengolahan-daur ulang sampah (ton/hari) Langkah ke-2: Menghitung Timbulan Sampah 𝑇𝑆 = 𝑇𝑃 𝑥 (𝑇𝑃𝑅𝑇 + 𝑇𝑃𝑁𝑅𝑇) Keterangan: TS : Timbulan sampah (kg/hari) TP : Total populasi (orang) TPRT : Timbulan sampah per kapita dari rumah tangga (kg/orang/hari) TPNRT : Timbulan sampah per kapita dari non-rumah tangga (kg/hari) Jika tidak terdapat informasi TPNRT, maka pendekatan dapat di estimasi menggunakan perhitungan berikut. 𝑇𝑆 = 70% 𝑑𝑎𝑟𝑖 𝑟𝑢𝑚𝑎ℎ 𝑡𝑎𝑛𝑔𝑔𝑎 + 30% 𝑑𝑎𝑟𝑖 𝑛𝑜𝑛 − 𝑟𝑢𝑚𝑎ℎ 𝑡𝑎𝑛𝑔𝑔𝑎 𝑇𝑆𝑅𝑇 𝑇𝑆 = 70% Keterangan: TS : Timbulan sampah (ton/hari) TS : Timbulan sampah rumah tangga (ton/hari) RT Langkah ke-3: Menghitung Tingkat Sampah Terolah 𝑆𝑂 %𝑆𝑂 = 𝑋 100% 𝑇𝑆 Keterangan: %SO : Tingkat sampah terolah (%) SO : Sampah terolah (ton/hari) TS : Timbulan sampah (ton/hari)</t>
  </si>
  <si>
    <t>Indikator ini diperlukan untuk mengukur kemajuan kinerja pengolahan sampah di Provinsi.</t>
  </si>
  <si>
    <t>1. Survei Sosial Ekonomi Nasional (Susenas) KOR BPS dan Podes (masih dalam proses uji coba) 2. Sistem Informasi Pengelolaan Sampah Nasional (SIPSN) Kementerian Lingkungan Hidup dan Kehutanan 3. SI INSAN Kementerian PUPR</t>
  </si>
  <si>
    <t>1. Survei Sosial Ekonomi Nasional (Susenas) KOR BPS dan Podes: Tahunan 2. Sistem Informasi Pengelolaan Sampah Nasional (SIPSN) Kementerian Lingkungan Hidup dan Kehutanan: Tahunan 3. SI INSAN Kementerian PUPR: Tahunan</t>
  </si>
  <si>
    <t>42.c-ii</t>
  </si>
  <si>
    <t>Proporsi Rumah Tangga (RT) Dengan Layanan Penuh Pengumpulan Sampah (% RT)</t>
  </si>
  <si>
    <t>Pengumpulan Sampah Pengumpulan sampah adalah kegiatan mengambil dan memindahkan sampah dari sumber sampah ke TPS atau TPS 3R. Sampah yang dikumpulkan berasal dari kegiatan sehari- hari dalam rumah tangga, kawasan komersial, kawasan industri, kawasan khusus, fasilitas sosial, fasilitas umum, dan/atau fasilitas lainnya yang tidak termasuk tinja dan sampah spesifik. Rumah Tangga dengan Layanan Penuh Pengumpulan Sampah adalah rumah tangga yang: • Menerima layanan pengumpulan sampah dari pintu ke pintu dengan frekuensi tetap danrutin (minimal 2 kali dalam seminggu), serta sampah dikumpulkan minimal dalam tiga atau lebih yang terpisah misal: fraksi basah (organik), daur ulang, dan residu; atau • Memiliki tempat pengumpulan sampah bersama (Komunal) yang disepakati di lingkungan dalam jarak 200m, dilayani dengan frekuensi tetap danrutin tanpa membuang sampah sembarangan dan sampah dikumpulkan dalam tiga fraksi atau lebih yang terpisah, misalnya fraksi basah (organik), daur ulang, dan residu. Catatan: Indikator ini diperlukan untuk mengukur kemajuan kinerja pengelolaan sampah di Kabupaten/Kota. Penting untuk diketahui bahwa (a) Sampah terkumpul, dan (b) Proporsi rumah tangga dengan layanan penuh pengumpulan sampah adalah dua konsep yang berbeda. Pada (a) Sampah Terkumpul mengacu pada jumlah sampah yang mencapai fasilitas pengelolaan sampah, sementara (b) Proporsi rumah tangga dengan layanan penuh pengumpulan sampah mempertimbangkan rumah tangga yang menerima layanan pengumpulan sampah. Praktik lapangan yang terjadi di beberapa Kabupaten/Kota, sampah yang terkumpul dibuang ke lingkungan (tidak diangkut ke fasilitas pengelolaan sampah). Dalam hal ini rumah tangga tersebut memiliki pelayanan pengumpulan sampah, namun sampah terkumpul mencemari lingkungan. Oleh karena itu, terdapat kemungkinan suatu Kabupaten/Kota memiliki nilai yang tinggi dalam “Proporsi rumah tangga dengan layanan penuh pengumpulan sampah”, namun jumlah “sampah terkumpul” dan diangkut ke fasilitas pengelolaan sampah rendah.</t>
  </si>
  <si>
    <t>Unit Satuan: Persentase Rumah tangga Cara Perhitungan: 𝐽𝑅𝑇𝐿𝐴 𝑃𝑅𝑇𝐿𝑃 = 𝑋 100% 𝐽𝑅𝑇𝑆 Keterangan: PRTLA : Proporsi rumah tangga dengan layanan penuh pengumpulan sampah JRTLA : Jumlah rumah tangga dengan akses terhadap layanan penuh pengumpulan sampah JRTS : Jumlah rumah tangga seluruhnya Sumber: § Diadaptasi dari Metadata SDGs, 2021 § Rancangan Platform Pengelolaan Persampahan Nasional, 2023</t>
  </si>
  <si>
    <t>Indikator ini diperlukan untuk mengukur kemajuan kinerja pelayanan rumah tangga untuk pengumpulan sampah di Provinsi.</t>
  </si>
  <si>
    <t>1. Survei Sosial Ekonomi Nasional (Susenas) MKP BPS 2. Survei Sosial Ekonomi Nasional (Susenas) KOR BPS (masih dalam tahap pengusulan)</t>
  </si>
  <si>
    <t>1. Survei Sosial Ekonomi Nasional (Susenas) MKP BPS: 3 Tahunan 2. Survei Sosial Ekonomi Nasional (Susenas) KOR BPS: Tahunan</t>
  </si>
  <si>
    <t>IUP-085</t>
  </si>
  <si>
    <t>IE16 - Berketahanan Energi, Air, dan Kemandirian Pangan</t>
  </si>
  <si>
    <t>43.a.1</t>
  </si>
  <si>
    <t>Konsumsi Listrik per Kapita (kWh)</t>
  </si>
  <si>
    <t>Konsumsi Listrik per kapita (kWh/Kapita) adalah pemakaian tenaga listrik dibagi jumlah penduduk pada suatu wilayah dalam periode satu tahun. Pemakaian tenaga listrik tersebut merupakan jumlah kWh (kilo Watt hours) energi listrik yang digunakan secara langsung ataupun tidak langsung.</t>
  </si>
  <si>
    <t>𝐾𝐿𝑝𝑙𝑛 + 𝐾𝐿𝑛𝑜𝑛𝑝𝑙𝑛 KLpk = 𝑃 Keterangan: KLpk: Konsumsi listrik per kapita KLPLN: Total konsumsi listrik yang disalurkan oleh PT. PLN KLNONPLN: Total konsumsi listrik yang disalurkan oleh non PT. PLN P: Jumlah penduduk Catatan: 1. Jumlah pemakaian tenaga listrik adalah total penjualan listrik PT. PLN dan non PT. PLN yang disalurkan ke pelanggan; 2. Perhitungan indikator masih difokuskan pada wilayah usaha Pt. PLN.</t>
  </si>
  <si>
    <t>Indikator ini diperlukan untuk mengetahui kualitas pemenuhan kebutuhan listrik dan rata-rata konsumsi listrik per kapita yang didukung oleh pengelolaan ketenagalistrikan guna mencapai keberhasilan pembangunan nasional.</t>
  </si>
  <si>
    <t>Kementerian ESDM, PT PLN, dan BPS</t>
  </si>
  <si>
    <t>Konsumsi Listrik per kapita (kWh/Kapita) adalah pemakaian tenaga listrik dibagi jumlah penduduk pada suatu wilayah dalam periode satu tahun. Pemakaian tenaga listrik tersebut merupakan jumlah kWh (kilo Watt hours) energi listrik yang digunakan secara langsung ataupun tidak langsung. sumber data Kementerian ESDM, PT PLN, dan BPS (sepertinya BPS Hanya jumlah penduduk saja)</t>
  </si>
  <si>
    <t>IUP-086</t>
  </si>
  <si>
    <t>43.a.2</t>
  </si>
  <si>
    <t>Intensitas Energi Primer (SBM/Rp Milyar)</t>
  </si>
  <si>
    <t>● Energi primer adalah energi yang diberikan oleh alam dan belum mengalami proses pengolahan lebih lanjut. Intensitas energi primer adalah total pasokan energi primer per unit produk domestik bruto dengan satuan Setara Barel Minyak (SBM) per miliar rupiah (Peraturan Pemerintah Nomor 79 Tahun 2014 tentang Kebijakan Energi Nasional). ● Intensitas energi primer adalah total pasokan energi primer per unit produk domestik bruto berdasarkan paritas daya beli dengan satuan Setara Barel Minyak (SBM) per miliar rupiah.</t>
  </si>
  <si>
    <t>Intensitas energi primer diperoleh dengan cara membagi total pasokan energi primer dengan produk domestik bruto berdasarkan paritas daya beli Rumus: Keterangan: IEP: Intensitas energi primer TEP: Total pasokan energi primer PDB PPP : Produk domestik bruto berdasarkan Paritas Daya Beli</t>
  </si>
  <si>
    <t>Mengidentifikasi seberapa banyak energi yang digunakan untuk menghasilkan satu unit output ekonomi. Intensitas energi primer merupakan proksi untuk mengukur seberapa efisien perekonomian dapat memanfaatkan energi untuk menghasilkan output. Hal ini merefleksikan efisiensi penggunaan energi untuk menghasilkan pertumbuhan ekonomi. Semakin rendah rasio dari intensitas energi primer maka semakin sedikit energi yang dibutuhkan untuk menghasilkan satu unit output.</t>
  </si>
  <si>
    <t>Handbook of Energy &amp; Economic Statistics of Indonesia, Kementerian ESDM</t>
  </si>
  <si>
    <t>Intensitas energi primer diperoleh dengan cara membagi total pasokan energi primer dengan produk domestik bruto berdasarkan paritas daya beli. sumbernya Handbook of Energy &amp; Economic Statistics of Indonesia, Kementerian ESDM</t>
  </si>
  <si>
    <t>IUP-087</t>
  </si>
  <si>
    <t>43.b</t>
  </si>
  <si>
    <t>Ketahanan Energi, Air, dan Pangan: Prevalensi ketidakcukupan konsumsi pangan (%)</t>
  </si>
  <si>
    <t>• Ketidakcukupan konsumsi pangan merupakan kondisi seseorang secara reguler mengkonsumsi sejumlah makanan yang tidak cukup untuk menyediakan energi yang dibutuhkan untuk hidup sehat, aktif, dan produktif. • Prevalensi ketidakcukupan konsumsi pangan (Prevalence of Undernourishment/PoU) adalah proporsi penduduk di suatu wilayah yang mengkonsumsi pangan lebih rendah dari standar kecukupan energi untuk dapat hidup sehat, aktif dan produktif, yang dinyatakan dalam bentuk persentase. Atau, probabilitas individu yang dipilih secara acak dari suatu populasi referensi, yang secara reguler mengkonsumsi makanan yang kurang dari kebutuhan energinya</t>
  </si>
  <si>
    <t>Keterangan: PoU : Proporsi populasi yang mengalami ketidakcukupan konsumsi pangan di bawah kebutuhan minimum energi (MDER) yang diukur dengan kkal. MDER : Kebutuhan Minimum Energi yang diukur dengan kkal (Minimum Dietery Energy Requirement). f(x) : Fungsi kepadatan probabilitas tingkat konsumsi kalori umumnya sehari-hari untuk rata-rata per kapita individu dalam suatu populasi tertentu</t>
  </si>
  <si>
    <t>Mengidentifikasi seberapa banyak penduduk yang mengkonsumsi pangan dibawah standar kecukupan energi yang direkomendasikan. Semakin tinggi nilai PoU mengidentifikasikan semakin banyak penduduk yang mengkonsumsi pangan tidak ideal secara kandungan nutrisinya.</t>
  </si>
  <si>
    <t>IUP-088</t>
  </si>
  <si>
    <t>43.c.1</t>
  </si>
  <si>
    <t>Kapasitas Air Baku (m3/detik)</t>
  </si>
  <si>
    <t>Debit air yang dapat diolah dan atau dimanfaatkan untuk keperluan domestik, perkotaan, industri, dan lain-lain yang bersumber dari mata air, air tanah, air permukaan, air hujan, atau sumber air lainnya</t>
  </si>
  <si>
    <t>Total kapasitas debit pengambilan air yang dapat diolah dan atau dimanfaatkan untuk keperluan domestik, perkotaan, industri dan lain-lain di setiap sumber air meliputi mata air, air tanah, air permukaan, air hujan, dan atau sumber air lainnya</t>
  </si>
  <si>
    <t>-</t>
  </si>
  <si>
    <t>1. Buku Informasi Statistik Infrastruktur PUPR (Kementerian Pekerjaan Umum dan Perumahan Rakyat)</t>
  </si>
  <si>
    <t>1. Buku Informasi Statistik Infrastruktur PUPR (Kementerian Pekerjaan Umum dan Perumahan Rakyat) – Per Tahun</t>
  </si>
  <si>
    <t>Debit air yang dapat diolah dan atau dimanfaatkan untuk keperluan domestik, perkotaan, industri, dan lain-lain yang bersumber dari mata air, air tanah, air permukaan, air hujan, atau sumber air lainnya. sumber 1. Buku Informasi Statistik Infrastruktur PUPR (Kementerian Pekerjaan Umum dan Perumahan Rakyat)</t>
  </si>
  <si>
    <t>IUP-089</t>
  </si>
  <si>
    <t>43.c.2</t>
  </si>
  <si>
    <t>Ketahanan Energi, Air, dan Pangan: Ketahanan Air - Akses Rumah Tangga Perkotaan terhadap Air Siap Minum Perpipaan (%)</t>
  </si>
  <si>
    <t>Akses Rumah Tangga Perkotaan terhadap Air Siap Minum Perpipaan adalah rumah tangga di perkotaan yang memiliki akses terhadap air siap minum melalui jaringan perpipaan yang memenuhi kriteria sebagai berikut 1) Rumah tangga menggunakan sumber air minum jaringan perpipaan; 2) Lokasi sumber air minum berada di dalam atau di halam rumah (on premises); 3) Tersedia setiap saat dibutuhkan; dan 4) Memenuhi syarat kualitas air minum sebagaimana tercantum dalam Peraturan Menteri Kesehatan RI Nomor 2 Tahun 2023.</t>
  </si>
  <si>
    <t>𝑱𝑹𝑻𝑨𝑺𝑴𝑷𝑷 𝑷𝑨𝑺𝑴𝑷𝑷 = 𝒙 𝟏𝟎𝟎% 𝑱𝑹𝑻 • PASMPP: Persentase rumah tangga perkotaan yang memiliki akses terhadap air siap minum perpipaan. • JRTASMPP: Jumlah rumah tangga perkotaan yang memiliki akses terhadap air siap minum perpipaan. • JRT: Jumlah rumah tangga seluruhnya di perkotaan.</t>
  </si>
  <si>
    <t>Indikator ini diperlukan untuk mengukur capaian target RPJMD yang merupakan kewenangan dari Pemerintah Daerah.</t>
  </si>
  <si>
    <t>1. Surveilans Kualitas Air Minum Rumah Tangga oleh Kementerian Kesehatan/Dinas Kesehatan 2. Survei Sosial Ekonomi Nasional (Susenas) KOR BPS</t>
  </si>
  <si>
    <t>SKAM RT : Tahunan Susenas KOR : Tahunan</t>
  </si>
  <si>
    <t>IUP-090</t>
  </si>
  <si>
    <t>IE17 - Resiliensi terhadap Bencana dan Perubahan Iklim</t>
  </si>
  <si>
    <t>44</t>
  </si>
  <si>
    <t>Indeks Risiko Bencana (IRB)</t>
  </si>
  <si>
    <t>IRB dihasilkan dari suatu kajian risiko bencana. Pengkajian risiko bencana merupakan sebuah pendekatan untuk memperlihatkan potensi dampak negatif yang mungkin timbul dari suatu potensi bencana yang ada di suatu wilayah. Potensi tersebut dihitung dengan mempertimbangkan tingkat bahaya, kerentanan, dan kapasitas wilayah tersebut. Maka dari itu, terdapat 3 (tiga) komponen yang membentuk risiko, yaitu bahaya, kerentanan, dan kapasitas. Interaksi antara tiga komponen tersebut digunakan untuk memperoleh potensi risiko bencana suatu wilayah dengan memperhitungkan potensi jiwa terpapar, kerugian harta benda, dan kerusakan lingkungan.</t>
  </si>
  <si>
    <t>Keterangan Hazard (bahaya) dihitung berdasarkan probabilitas spasial, frekuensi dan kekuatan (magnitude) dari suatu fenomena alam seperti gempabumi, banjir, letusan gunung api, dan lainnya. Vulnerability (kerentanan) dihitung berdasarkan parameter sosial budaya, ekonomi, fisik dan lingkungan. Kapasitas (Capacity) dinilai dengan menggunakan pendekatan tingkat ketahanan daerah berdasarkan tujuh prioritas yaitu: (1) Perkuatan kebijakan dan kelembagaan; (2) Pengkajian risiko dan perencanaan terpadu; (3) Pengembangan sistem informasi, diklat dan logistik; (4) Penanganan tematik kawasan rawan bencana; (5) Peningkatan efektivitas pencegahan dan mitigasi bencana; (6) Perkuatan kesiapsiagaan dan penanganan darurat bencana; dan (7) Pengembangan sistem pemulihan bencana</t>
  </si>
  <si>
    <t>Semakin kecil nilai Indeks Risiko Bencana (IRB), diartikan semakin baik. Semakin kecil nilai indeks yang dihasilkan, dapat diartikan bahwa tingkat kapasitas semakin baik (meningkat), dengan nilai bahaya dan kerentanan yang cenderung dianggap konstan. Pembagian kelas tingkat Indeks Risiko Bencana sebagai berikut: • lndeks &lt;13 adalah Rendah • lndeks 13 - 144 adalah Sedang • lndeks &gt;144 adalah Tinggi</t>
  </si>
  <si>
    <t>BNPB</t>
  </si>
  <si>
    <t>BPBD</t>
  </si>
  <si>
    <t>IUP-091</t>
  </si>
  <si>
    <t>45.a</t>
  </si>
  <si>
    <t>Persentase Penurunan Emisi GRK(%): Kumulatif</t>
  </si>
  <si>
    <t>Gas Rumah Kaca (GRK) adalah gas yang terkandung dalam atmosfer, baik alami maupun antropogenik, yang menyerap dan memancarkan kembali radiasi inframerah. Penurunan emisi GRK dihasilkan dari pelaksanaan berbagai kegiatan yang secara langsung dan tidak langsung menurunkan emisi gas rumah kaca sesuai dengan target pembangunan nasional maupun pembangunan daerah. Persentase penurunan emisi GRK daerah tahunan adalah perbandingan angka penurunan emisi GRK daerah di titik tahun tertentu terhadap angka baseline emisi daerah di titik tahun yang sama. Persentase penurunan emisi GRK daerah kumulatif adalah perbandingan akumulasi penurunan emisi GRK daerah selama periode base year hingga tahun tertentu terhadap akumulasi emisi GRK baseline daerah untuk periode yang sama.</t>
  </si>
  <si>
    <t>a. Persentase Penurunan Emisi GRK Daerah Tahunan %PEt = PEt / EBt %PEt = persentase penurunan emisi GRK total sektoral daerah pada tahun t PEt = penurunan emisi GRK total sektoral tahun t EBt = emisi GRK total sektoral baseline tahun t t = titik tahun perhitungan b. Persentase Penurunan Emisi GRK Daerah Kumulatif %PEK = ∑ti = base year PEt / ∑ti = base year EBt %PEK = persentase penurunan emisi GRK daerah kumulatif ∑ti = base year PEt = akumulasi penurunan emisi GRK total daerah selama periode base year hingga tahun t ∑ti = base year EBt = akumulasi emisi GRK total baseline daerah selama periode base year hingga tahun t t = titik tahun perhitungan i = base year tahun 2010</t>
  </si>
  <si>
    <t>Persentase penurunan emisi baik tahunan maupun kumulatif</t>
  </si>
  <si>
    <t>Sistem AKSARA Bappenas</t>
  </si>
  <si>
    <t>IUP-092</t>
  </si>
  <si>
    <t>45.b</t>
  </si>
  <si>
    <t>Persentase Penurunan Emisi GRK(%): Tahunan</t>
  </si>
  <si>
    <t>IUP-001</t>
  </si>
  <si>
    <t>IUP-002</t>
  </si>
  <si>
    <t>IUP-003</t>
  </si>
  <si>
    <t>IUP-004</t>
  </si>
  <si>
    <t>IUP-005</t>
  </si>
  <si>
    <t>IUP-006</t>
  </si>
  <si>
    <t>IUP-007</t>
  </si>
  <si>
    <t>IUP-008</t>
  </si>
  <si>
    <t>IUP-009</t>
  </si>
  <si>
    <t>IUP-010</t>
  </si>
  <si>
    <t>IUP-019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</si>
</sst>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x14ac:knownFonts="1">
    <font>
      <sz val="11"/>
      <color theme="1"/>
      <name val="Calibri"/>
      <scheme val="minor"/>
    </font>
    <font>
      <b/>
      <sz val="10"/>
      <color rgb="FFFFFFFF"/>
      <name val="Arial"/>
    </font>
    <font>
      <sz val="9"/>
      <color theme="1"/>
      <name val="Arial"/>
    </font>
    <font>
      <sz val="11"/>
      <color rgb="FFFF0000"/>
      <name val="Calibri"/>
      <family val="2"/>
      <scheme val="minor"/>
    </font>
    <font>
      <sz val="9"/>
      <color rgb="FFFF0000"/>
      <name val="Arial"/>
      <family val="2"/>
    </font>
    <font>
      <sz val="9"/>
      <color theme="1"/>
      <name val="Arial"/>
      <family val="2"/>
    </font>
    <font>
      <sz val="9"/>
      <color theme="2"/>
      <name val="Arial"/>
      <family val="2"/>
    </font>
  </fonts>
  <fills count="8">
    <fill>
      <patternFill patternType="none"/>
    </fill>
    <fill>
      <patternFill patternType="gray125"/>
    </fill>
    <fill>
      <patternFill patternType="solid">
        <fgColor rgb="FF1F4E5F"/>
        <bgColor rgb="FF1F4E5F"/>
      </patternFill>
    </fill>
    <fill>
      <patternFill patternType="solid">
        <fgColor rgb="FFFFF7E6"/>
        <bgColor rgb="FFFFF7E6"/>
      </patternFill>
    </fill>
    <fill>
      <patternFill patternType="solid">
        <fgColor rgb="FFEAF3E7"/>
        <bgColor rgb="FFEAF3E7"/>
      </patternFill>
    </fill>
    <fill>
      <patternFill patternType="solid">
        <fgColor rgb="FFFFFF00"/>
        <bgColor rgb="FFEAF3E7"/>
      </patternFill>
    </fill>
    <fill>
      <patternFill patternType="solid">
        <fgColor rgb="FFFFFF00"/>
        <bgColor indexed="64"/>
      </patternFill>
    </fill>
    <fill>
      <patternFill patternType="solid">
        <fgColor theme="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9" fontId="2" fillId="4" borderId="1" xfId="0" applyNumberFormat="1" applyFont="1" applyFill="1" applyBorder="1" applyAlignment="1">
      <alignment vertical="top" wrapText="1"/>
    </xf>
    <xf numFmtId="164" fontId="2" fillId="4" borderId="1" xfId="0" applyNumberFormat="1" applyFont="1" applyFill="1" applyBorder="1" applyAlignment="1">
      <alignment vertical="top" wrapText="1"/>
    </xf>
    <xf numFmtId="0" fontId="2" fillId="5" borderId="1" xfId="0" applyFont="1" applyFill="1" applyBorder="1" applyAlignment="1">
      <alignment vertical="top"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9" fontId="4" fillId="4" borderId="1" xfId="0" applyNumberFormat="1" applyFont="1" applyFill="1" applyBorder="1" applyAlignment="1">
      <alignment vertical="top" wrapText="1"/>
    </xf>
    <xf numFmtId="164" fontId="4" fillId="4" borderId="1" xfId="0" applyNumberFormat="1" applyFont="1" applyFill="1" applyBorder="1" applyAlignment="1">
      <alignment vertical="top" wrapText="1"/>
    </xf>
    <xf numFmtId="0" fontId="3" fillId="0" borderId="0" xfId="0" applyFont="1"/>
    <xf numFmtId="0" fontId="5" fillId="0" borderId="1" xfId="0" applyFont="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4" fillId="7" borderId="1" xfId="0" applyFont="1" applyFill="1" applyBorder="1" applyAlignment="1">
      <alignment vertical="top" wrapText="1"/>
    </xf>
    <xf numFmtId="0" fontId="6"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2"/>
  <sheetViews>
    <sheetView tabSelected="1" topLeftCell="I1" zoomScale="66" workbookViewId="0">
      <selection activeCell="N14" sqref="N14"/>
    </sheetView>
  </sheetViews>
  <sheetFormatPr defaultColWidth="14.453125" defaultRowHeight="15" customHeight="1" x14ac:dyDescent="0.35"/>
  <cols>
    <col min="1" max="1" width="12.54296875" customWidth="1"/>
    <col min="2" max="2" width="7.54296875" hidden="1" customWidth="1"/>
    <col min="3" max="4" width="30.7265625" hidden="1" customWidth="1"/>
    <col min="5" max="5" width="7.7265625" customWidth="1"/>
    <col min="6" max="6" width="30.7265625" customWidth="1"/>
    <col min="7" max="7" width="13" customWidth="1"/>
    <col min="8" max="8" width="60" customWidth="1"/>
    <col min="9" max="9" width="50" customWidth="1"/>
    <col min="10" max="10" width="55" customWidth="1"/>
    <col min="11" max="11" width="36" customWidth="1"/>
    <col min="12" max="12" width="26" customWidth="1"/>
    <col min="13" max="13" width="20" customWidth="1"/>
    <col min="14" max="14" width="30" customWidth="1"/>
    <col min="15" max="15" width="22" customWidth="1"/>
    <col min="16" max="17" width="14" customWidth="1"/>
    <col min="18" max="28" width="11" customWidth="1"/>
    <col min="29" max="29" width="15" hidden="1" customWidth="1"/>
    <col min="30" max="30" width="15" customWidth="1"/>
    <col min="31" max="31" width="24" customWidth="1"/>
    <col min="32" max="32" width="20" customWidth="1"/>
    <col min="33" max="34" width="44" customWidth="1"/>
    <col min="35" max="35" width="40" customWidth="1"/>
  </cols>
  <sheetData>
    <row r="1" spans="1:35" ht="42" customHeight="1" x14ac:dyDescent="0.35">
      <c r="A1" s="1" t="s">
        <v>0</v>
      </c>
      <c r="B1" s="1" t="s">
        <v>1</v>
      </c>
      <c r="C1" s="1" t="s">
        <v>2</v>
      </c>
      <c r="D1" s="1" t="s">
        <v>5</v>
      </c>
      <c r="E1" s="1" t="s">
        <v>3</v>
      </c>
      <c r="F1" s="1" t="s">
        <v>9</v>
      </c>
      <c r="G1" s="1" t="s">
        <v>12</v>
      </c>
      <c r="H1" s="1" t="s">
        <v>15</v>
      </c>
      <c r="I1" s="1" t="s">
        <v>18</v>
      </c>
      <c r="J1" s="1" t="s">
        <v>20</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46</v>
      </c>
    </row>
    <row r="2" spans="1:35" ht="30" customHeight="1" x14ac:dyDescent="0.35">
      <c r="A2" s="3" t="s">
        <v>13</v>
      </c>
      <c r="B2" s="3" t="s">
        <v>14</v>
      </c>
      <c r="C2" s="3" t="s">
        <v>16</v>
      </c>
      <c r="D2" s="3" t="s">
        <v>48</v>
      </c>
      <c r="E2" s="3" t="s">
        <v>17</v>
      </c>
      <c r="F2" s="15" t="s">
        <v>19</v>
      </c>
      <c r="G2" s="3" t="s">
        <v>49</v>
      </c>
      <c r="H2" s="3" t="s">
        <v>50</v>
      </c>
      <c r="I2" s="3" t="s">
        <v>51</v>
      </c>
      <c r="J2" s="3" t="s">
        <v>52</v>
      </c>
      <c r="K2" s="3" t="s">
        <v>53</v>
      </c>
      <c r="L2" s="3" t="s">
        <v>54</v>
      </c>
      <c r="M2" s="3" t="s">
        <v>55</v>
      </c>
      <c r="N2" s="3" t="s">
        <v>56</v>
      </c>
      <c r="O2" s="3" t="s">
        <v>57</v>
      </c>
      <c r="P2" s="3" t="s">
        <v>54</v>
      </c>
      <c r="Q2" s="3" t="s">
        <v>58</v>
      </c>
      <c r="R2" s="4">
        <v>157.09</v>
      </c>
      <c r="S2" s="4">
        <v>192.59</v>
      </c>
      <c r="T2" s="4">
        <v>201.79</v>
      </c>
      <c r="U2" s="4">
        <v>198.68</v>
      </c>
      <c r="V2" s="4">
        <v>208.21</v>
      </c>
      <c r="W2" s="4">
        <v>227.1</v>
      </c>
      <c r="X2" s="4">
        <v>251.15</v>
      </c>
      <c r="Y2" s="4">
        <v>275.2</v>
      </c>
      <c r="Z2" s="4">
        <v>299.25</v>
      </c>
      <c r="AA2" s="4">
        <v>323.3</v>
      </c>
      <c r="AB2" s="4">
        <v>1612.75</v>
      </c>
      <c r="AC2" s="5">
        <f t="shared" ref="AC2:AC87" si="0">COUNT(R2:V2)</f>
        <v>5</v>
      </c>
      <c r="AD2" s="6">
        <f>AC2/5</f>
        <v>1</v>
      </c>
      <c r="AE2" s="5" t="str">
        <f t="shared" ref="AE2:AE87" si="1">IF(AC2=0,"Tidak ada realisasi",IF(AC2&lt;3,"Realisasi parsial","Realisasi memadai"))</f>
        <v>Realisasi memadai</v>
      </c>
      <c r="AF2" s="7">
        <f>IFERROR(IF(AND(ISNUMBER(V2),ISNUMBER(W2)),V2-W2,""),"")</f>
        <v>-18.889999999999986</v>
      </c>
      <c r="AG2" s="3"/>
      <c r="AH2" s="3" t="s">
        <v>62</v>
      </c>
      <c r="AI2" s="3" t="s">
        <v>63</v>
      </c>
    </row>
    <row r="3" spans="1:35" ht="30" customHeight="1" x14ac:dyDescent="0.35">
      <c r="A3" s="3" t="s">
        <v>59</v>
      </c>
      <c r="B3" s="3" t="s">
        <v>14</v>
      </c>
      <c r="C3" s="3" t="s">
        <v>16</v>
      </c>
      <c r="D3" s="3" t="s">
        <v>48</v>
      </c>
      <c r="E3" s="3" t="s">
        <v>60</v>
      </c>
      <c r="F3" s="16" t="s">
        <v>61</v>
      </c>
      <c r="G3" s="3" t="s">
        <v>49</v>
      </c>
      <c r="H3" s="3" t="s">
        <v>65</v>
      </c>
      <c r="I3" s="3" t="s">
        <v>68</v>
      </c>
      <c r="J3" s="3" t="s">
        <v>69</v>
      </c>
      <c r="K3" s="3" t="s">
        <v>70</v>
      </c>
      <c r="L3" s="3" t="s">
        <v>71</v>
      </c>
      <c r="M3" s="3" t="s">
        <v>55</v>
      </c>
      <c r="N3" s="3" t="s">
        <v>72</v>
      </c>
      <c r="O3" s="3" t="s">
        <v>73</v>
      </c>
      <c r="P3" s="3" t="s">
        <v>54</v>
      </c>
      <c r="Q3" s="3" t="s">
        <v>74</v>
      </c>
      <c r="R3" s="4"/>
      <c r="S3" s="4"/>
      <c r="T3" s="4"/>
      <c r="U3" s="4">
        <v>33.47</v>
      </c>
      <c r="V3" s="4"/>
      <c r="W3" s="4">
        <v>36.590000000000003</v>
      </c>
      <c r="X3" s="4">
        <v>37.82</v>
      </c>
      <c r="Y3" s="4">
        <v>40.049999999999997</v>
      </c>
      <c r="Z3" s="4">
        <v>41.28</v>
      </c>
      <c r="AA3" s="4">
        <v>42.51</v>
      </c>
      <c r="AB3" s="4">
        <v>44.83</v>
      </c>
      <c r="AC3" s="5">
        <f>COUNT(R3:V3)</f>
        <v>1</v>
      </c>
      <c r="AD3" s="6">
        <f t="shared" ref="AD2:AD87" si="2">AC3/5</f>
        <v>0.2</v>
      </c>
      <c r="AE3" s="8" t="str">
        <f t="shared" si="1"/>
        <v>Realisasi parsial</v>
      </c>
      <c r="AF3" s="7" t="str">
        <f t="shared" ref="AF2:AF87" si="3">IFERROR(IF(AND(ISNUMBER(V3),ISNUMBER(W3)),V3-W3,""),"")</f>
        <v/>
      </c>
      <c r="AG3" s="3"/>
      <c r="AH3" s="3" t="s">
        <v>75</v>
      </c>
      <c r="AI3" s="3" t="s">
        <v>63</v>
      </c>
    </row>
    <row r="4" spans="1:35" ht="30" customHeight="1" x14ac:dyDescent="0.35">
      <c r="A4" s="3" t="s">
        <v>64</v>
      </c>
      <c r="B4" s="3" t="s">
        <v>14</v>
      </c>
      <c r="C4" s="3" t="s">
        <v>16</v>
      </c>
      <c r="D4" s="3" t="s">
        <v>48</v>
      </c>
      <c r="E4" s="3" t="s">
        <v>66</v>
      </c>
      <c r="F4" s="15" t="s">
        <v>67</v>
      </c>
      <c r="G4" s="3" t="s">
        <v>49</v>
      </c>
      <c r="H4" s="3" t="s">
        <v>76</v>
      </c>
      <c r="I4" s="3"/>
      <c r="J4" s="3" t="s">
        <v>77</v>
      </c>
      <c r="K4" s="3" t="s">
        <v>53</v>
      </c>
      <c r="L4" s="3" t="s">
        <v>78</v>
      </c>
      <c r="M4" s="3" t="s">
        <v>55</v>
      </c>
      <c r="N4" s="3" t="s">
        <v>56</v>
      </c>
      <c r="O4" s="3" t="s">
        <v>79</v>
      </c>
      <c r="P4" s="3" t="s">
        <v>54</v>
      </c>
      <c r="Q4" s="3" t="s">
        <v>58</v>
      </c>
      <c r="R4" s="4">
        <v>8.9</v>
      </c>
      <c r="S4" s="4">
        <v>7.77</v>
      </c>
      <c r="T4" s="4">
        <v>7.69</v>
      </c>
      <c r="U4" s="4">
        <v>8.27</v>
      </c>
      <c r="V4" s="4">
        <v>8.75</v>
      </c>
      <c r="W4" s="4">
        <v>8.6300000000000008</v>
      </c>
      <c r="X4" s="4">
        <v>9.11</v>
      </c>
      <c r="Y4" s="4">
        <v>9.83</v>
      </c>
      <c r="Z4" s="4">
        <v>10.55</v>
      </c>
      <c r="AA4" s="4">
        <v>11.91</v>
      </c>
      <c r="AB4" s="4">
        <v>25.26</v>
      </c>
      <c r="AC4" s="5">
        <f>COUNT(R4:V4)</f>
        <v>5</v>
      </c>
      <c r="AD4" s="6">
        <f>AC4/5</f>
        <v>1</v>
      </c>
      <c r="AE4" s="5" t="str">
        <f t="shared" si="1"/>
        <v>Realisasi memadai</v>
      </c>
      <c r="AF4" s="7">
        <f t="shared" si="3"/>
        <v>0.11999999999999922</v>
      </c>
      <c r="AG4" s="3"/>
      <c r="AH4" s="3" t="s">
        <v>81</v>
      </c>
      <c r="AI4" s="3" t="s">
        <v>82</v>
      </c>
    </row>
    <row r="5" spans="1:35" ht="30" customHeight="1" x14ac:dyDescent="0.35">
      <c r="A5" s="3" t="s">
        <v>80</v>
      </c>
      <c r="B5" s="3" t="s">
        <v>14</v>
      </c>
      <c r="C5" s="3" t="s">
        <v>16</v>
      </c>
      <c r="D5" s="3" t="s">
        <v>85</v>
      </c>
      <c r="E5" s="3" t="s">
        <v>83</v>
      </c>
      <c r="F5" s="3" t="s">
        <v>84</v>
      </c>
      <c r="G5" s="3" t="s">
        <v>86</v>
      </c>
      <c r="H5" s="3" t="s">
        <v>87</v>
      </c>
      <c r="I5" s="3"/>
      <c r="J5" s="3" t="s">
        <v>88</v>
      </c>
      <c r="K5" s="3" t="s">
        <v>89</v>
      </c>
      <c r="L5" s="3" t="s">
        <v>90</v>
      </c>
      <c r="M5" s="3" t="s">
        <v>55</v>
      </c>
      <c r="N5" s="3" t="s">
        <v>56</v>
      </c>
      <c r="O5" s="3" t="s">
        <v>79</v>
      </c>
      <c r="P5" s="3" t="s">
        <v>91</v>
      </c>
      <c r="Q5" s="3" t="s">
        <v>58</v>
      </c>
      <c r="R5" s="4">
        <v>7.36</v>
      </c>
      <c r="S5" s="4">
        <v>6.77</v>
      </c>
      <c r="T5" s="4">
        <v>6.45</v>
      </c>
      <c r="U5" s="4">
        <v>6.32</v>
      </c>
      <c r="V5" s="4">
        <v>5.54</v>
      </c>
      <c r="W5" s="4">
        <v>5.07</v>
      </c>
      <c r="X5" s="4">
        <v>5</v>
      </c>
      <c r="Y5" s="4">
        <v>4.2</v>
      </c>
      <c r="Z5" s="4">
        <v>3.77</v>
      </c>
      <c r="AA5" s="4">
        <v>3.33</v>
      </c>
      <c r="AB5" s="4">
        <v>0.54</v>
      </c>
      <c r="AC5" s="5">
        <f t="shared" si="0"/>
        <v>5</v>
      </c>
      <c r="AD5" s="6">
        <f t="shared" si="2"/>
        <v>1</v>
      </c>
      <c r="AE5" s="5" t="str">
        <f t="shared" si="1"/>
        <v>Realisasi memadai</v>
      </c>
      <c r="AF5" s="7">
        <f t="shared" si="3"/>
        <v>0.46999999999999975</v>
      </c>
      <c r="AG5" s="3" t="s">
        <v>92</v>
      </c>
      <c r="AH5" s="3" t="s">
        <v>56</v>
      </c>
      <c r="AI5" s="3" t="s">
        <v>82</v>
      </c>
    </row>
    <row r="6" spans="1:35" ht="30" customHeight="1" x14ac:dyDescent="0.35">
      <c r="A6" s="3" t="s">
        <v>93</v>
      </c>
      <c r="B6" s="3" t="s">
        <v>14</v>
      </c>
      <c r="C6" s="3" t="s">
        <v>16</v>
      </c>
      <c r="D6" s="3" t="s">
        <v>85</v>
      </c>
      <c r="E6" s="3" t="s">
        <v>94</v>
      </c>
      <c r="F6" s="3" t="s">
        <v>95</v>
      </c>
      <c r="G6" s="3" t="s">
        <v>86</v>
      </c>
      <c r="H6" s="3" t="s">
        <v>96</v>
      </c>
      <c r="I6" s="3" t="s">
        <v>97</v>
      </c>
      <c r="J6" s="3" t="s">
        <v>98</v>
      </c>
      <c r="K6" s="3" t="s">
        <v>99</v>
      </c>
      <c r="L6" s="3" t="s">
        <v>100</v>
      </c>
      <c r="M6" s="3" t="s">
        <v>55</v>
      </c>
      <c r="N6" s="3" t="s">
        <v>56</v>
      </c>
      <c r="O6" s="3" t="s">
        <v>79</v>
      </c>
      <c r="P6" s="3" t="s">
        <v>91</v>
      </c>
      <c r="Q6" s="3" t="s">
        <v>58</v>
      </c>
      <c r="R6" s="4">
        <v>0.28499999999999998</v>
      </c>
      <c r="S6" s="4">
        <v>0.27</v>
      </c>
      <c r="T6" s="4">
        <v>0.27700000000000002</v>
      </c>
      <c r="U6" s="4">
        <v>0.25900000000000001</v>
      </c>
      <c r="V6" s="4">
        <v>0.251</v>
      </c>
      <c r="W6" s="4">
        <v>0.25600000000000001</v>
      </c>
      <c r="X6" s="4">
        <v>0.253</v>
      </c>
      <c r="Y6" s="4">
        <v>0.251</v>
      </c>
      <c r="Z6" s="4">
        <v>0.249</v>
      </c>
      <c r="AA6" s="4">
        <v>0.246</v>
      </c>
      <c r="AB6" s="4">
        <v>0.20899999999999999</v>
      </c>
      <c r="AC6" s="5">
        <f t="shared" si="0"/>
        <v>5</v>
      </c>
      <c r="AD6" s="6">
        <f t="shared" si="2"/>
        <v>1</v>
      </c>
      <c r="AE6" s="5" t="str">
        <f t="shared" si="1"/>
        <v>Realisasi memadai</v>
      </c>
      <c r="AF6" s="7">
        <f t="shared" si="3"/>
        <v>-5.0000000000000044E-3</v>
      </c>
      <c r="AG6" s="3" t="s">
        <v>92</v>
      </c>
      <c r="AH6" s="3" t="s">
        <v>56</v>
      </c>
      <c r="AI6" s="3"/>
    </row>
    <row r="7" spans="1:35" ht="30" customHeight="1" x14ac:dyDescent="0.35">
      <c r="A7" s="3" t="s">
        <v>101</v>
      </c>
      <c r="B7" s="3" t="s">
        <v>14</v>
      </c>
      <c r="C7" s="3" t="s">
        <v>16</v>
      </c>
      <c r="D7" s="3" t="s">
        <v>85</v>
      </c>
      <c r="E7" s="3" t="s">
        <v>102</v>
      </c>
      <c r="F7" s="3" t="s">
        <v>103</v>
      </c>
      <c r="G7" s="3" t="s">
        <v>49</v>
      </c>
      <c r="H7" s="3" t="s">
        <v>104</v>
      </c>
      <c r="I7" s="3" t="s">
        <v>105</v>
      </c>
      <c r="J7" s="3" t="s">
        <v>106</v>
      </c>
      <c r="K7" s="3" t="s">
        <v>53</v>
      </c>
      <c r="L7" s="3" t="s">
        <v>107</v>
      </c>
      <c r="M7" s="3" t="s">
        <v>55</v>
      </c>
      <c r="N7" s="3" t="s">
        <v>56</v>
      </c>
      <c r="O7" s="3" t="s">
        <v>73</v>
      </c>
      <c r="P7" s="3" t="s">
        <v>54</v>
      </c>
      <c r="Q7" s="3" t="s">
        <v>58</v>
      </c>
      <c r="R7" s="4">
        <v>0.66</v>
      </c>
      <c r="S7" s="4">
        <v>0.72</v>
      </c>
      <c r="T7" s="4">
        <v>0.72</v>
      </c>
      <c r="U7" s="4">
        <v>0.67</v>
      </c>
      <c r="V7" s="4">
        <v>0.66</v>
      </c>
      <c r="W7" s="4">
        <v>0.7</v>
      </c>
      <c r="X7" s="4">
        <v>0.7</v>
      </c>
      <c r="Y7" s="4">
        <v>0.7</v>
      </c>
      <c r="Z7" s="4">
        <v>0.7</v>
      </c>
      <c r="AA7" s="4">
        <v>0.7</v>
      </c>
      <c r="AB7" s="4">
        <v>0.85</v>
      </c>
      <c r="AC7" s="5">
        <f t="shared" si="0"/>
        <v>5</v>
      </c>
      <c r="AD7" s="6">
        <f t="shared" si="2"/>
        <v>1</v>
      </c>
      <c r="AE7" s="5" t="str">
        <f t="shared" si="1"/>
        <v>Realisasi memadai</v>
      </c>
      <c r="AF7" s="7">
        <f t="shared" si="3"/>
        <v>-3.9999999999999925E-2</v>
      </c>
      <c r="AG7" s="3"/>
      <c r="AH7" s="3"/>
      <c r="AI7" s="3" t="s">
        <v>63</v>
      </c>
    </row>
    <row r="8" spans="1:35" ht="30" customHeight="1" x14ac:dyDescent="0.35">
      <c r="A8" s="3" t="s">
        <v>108</v>
      </c>
      <c r="B8" s="3" t="s">
        <v>14</v>
      </c>
      <c r="C8" s="3" t="s">
        <v>16</v>
      </c>
      <c r="D8" s="3" t="s">
        <v>109</v>
      </c>
      <c r="E8" s="3" t="s">
        <v>110</v>
      </c>
      <c r="F8" s="16" t="s">
        <v>111</v>
      </c>
      <c r="G8" s="3" t="s">
        <v>49</v>
      </c>
      <c r="H8" s="3"/>
      <c r="I8" s="3"/>
      <c r="J8" s="3"/>
      <c r="K8" s="3"/>
      <c r="L8" s="3"/>
      <c r="M8" s="3" t="s">
        <v>55</v>
      </c>
      <c r="N8" s="3" t="s">
        <v>112</v>
      </c>
      <c r="O8" s="3" t="s">
        <v>73</v>
      </c>
      <c r="P8" s="3" t="s">
        <v>54</v>
      </c>
      <c r="Q8" s="3" t="s">
        <v>58</v>
      </c>
      <c r="R8" s="4"/>
      <c r="S8" s="4"/>
      <c r="T8" s="4"/>
      <c r="U8" s="4">
        <v>3.26</v>
      </c>
      <c r="V8" s="4">
        <v>3.29</v>
      </c>
      <c r="W8" s="4">
        <v>3.34</v>
      </c>
      <c r="X8" s="4">
        <v>3.38</v>
      </c>
      <c r="Y8" s="4">
        <v>3.42</v>
      </c>
      <c r="Z8" s="4">
        <v>3.46</v>
      </c>
      <c r="AA8" s="4">
        <v>3.57</v>
      </c>
      <c r="AB8" s="4">
        <v>4.5</v>
      </c>
      <c r="AC8" s="5">
        <f t="shared" si="0"/>
        <v>2</v>
      </c>
      <c r="AD8" s="6">
        <f t="shared" si="2"/>
        <v>0.4</v>
      </c>
      <c r="AE8" s="8" t="str">
        <f t="shared" si="1"/>
        <v>Realisasi parsial</v>
      </c>
      <c r="AF8" s="7">
        <f t="shared" si="3"/>
        <v>-4.9999999999999822E-2</v>
      </c>
      <c r="AG8" s="3"/>
      <c r="AH8" s="3" t="s">
        <v>113</v>
      </c>
      <c r="AI8" s="3" t="s">
        <v>63</v>
      </c>
    </row>
    <row r="9" spans="1:35" s="14" customFormat="1" ht="30" customHeight="1" x14ac:dyDescent="0.35">
      <c r="A9" s="10" t="s">
        <v>114</v>
      </c>
      <c r="B9" s="10" t="s">
        <v>14</v>
      </c>
      <c r="C9" s="10" t="s">
        <v>16</v>
      </c>
      <c r="D9" s="10" t="s">
        <v>115</v>
      </c>
      <c r="E9" s="10" t="s">
        <v>116</v>
      </c>
      <c r="F9" s="10" t="s">
        <v>117</v>
      </c>
      <c r="G9" s="10" t="s">
        <v>86</v>
      </c>
      <c r="H9" s="10" t="s">
        <v>118</v>
      </c>
      <c r="I9" s="10" t="s">
        <v>119</v>
      </c>
      <c r="J9" s="10" t="s">
        <v>120</v>
      </c>
      <c r="K9" s="10" t="s">
        <v>121</v>
      </c>
      <c r="L9" s="10" t="s">
        <v>122</v>
      </c>
      <c r="M9" s="10" t="s">
        <v>55</v>
      </c>
      <c r="N9" s="10" t="s">
        <v>112</v>
      </c>
      <c r="O9" s="10" t="s">
        <v>57</v>
      </c>
      <c r="P9" s="10" t="s">
        <v>54</v>
      </c>
      <c r="Q9" s="10" t="s">
        <v>73</v>
      </c>
      <c r="R9" s="11"/>
      <c r="S9" s="11"/>
      <c r="T9" s="11"/>
      <c r="U9" s="11"/>
      <c r="V9" s="11"/>
      <c r="W9" s="11">
        <v>0.56000000000000005</v>
      </c>
      <c r="X9" s="11">
        <v>0.56999999999999995</v>
      </c>
      <c r="Y9" s="11">
        <v>0.57999999999999996</v>
      </c>
      <c r="Z9" s="11">
        <v>0.57999999999999996</v>
      </c>
      <c r="AA9" s="11">
        <v>0.59</v>
      </c>
      <c r="AB9" s="11">
        <v>0.71</v>
      </c>
      <c r="AC9" s="9">
        <f t="shared" si="0"/>
        <v>0</v>
      </c>
      <c r="AD9" s="12">
        <f t="shared" si="2"/>
        <v>0</v>
      </c>
      <c r="AE9" s="9" t="str">
        <f t="shared" si="1"/>
        <v>Tidak ada realisasi</v>
      </c>
      <c r="AF9" s="13" t="str">
        <f t="shared" si="3"/>
        <v/>
      </c>
      <c r="AG9" s="10" t="s">
        <v>123</v>
      </c>
      <c r="AH9" s="10" t="s">
        <v>124</v>
      </c>
      <c r="AI9" s="10" t="s">
        <v>125</v>
      </c>
    </row>
    <row r="10" spans="1:35" ht="30" customHeight="1" x14ac:dyDescent="0.35">
      <c r="A10" s="3" t="s">
        <v>126</v>
      </c>
      <c r="B10" s="3" t="s">
        <v>14</v>
      </c>
      <c r="C10" s="3" t="s">
        <v>16</v>
      </c>
      <c r="D10" s="3" t="s">
        <v>127</v>
      </c>
      <c r="E10" s="3" t="s">
        <v>128</v>
      </c>
      <c r="F10" s="3" t="s">
        <v>129</v>
      </c>
      <c r="G10" s="3" t="s">
        <v>86</v>
      </c>
      <c r="H10" s="3" t="s">
        <v>130</v>
      </c>
      <c r="I10" s="3" t="s">
        <v>131</v>
      </c>
      <c r="J10" s="3" t="s">
        <v>132</v>
      </c>
      <c r="K10" s="3" t="s">
        <v>133</v>
      </c>
      <c r="L10" s="3" t="s">
        <v>54</v>
      </c>
      <c r="M10" s="3" t="s">
        <v>55</v>
      </c>
      <c r="N10" s="3" t="s">
        <v>134</v>
      </c>
      <c r="O10" s="3" t="s">
        <v>135</v>
      </c>
      <c r="P10" s="3" t="s">
        <v>54</v>
      </c>
      <c r="Q10" s="3" t="s">
        <v>74</v>
      </c>
      <c r="R10" s="4">
        <v>81.599999999999994</v>
      </c>
      <c r="S10" s="4">
        <v>87.5</v>
      </c>
      <c r="T10" s="4">
        <v>101.1</v>
      </c>
      <c r="U10" s="4"/>
      <c r="V10" s="4"/>
      <c r="W10" s="4">
        <v>46.96</v>
      </c>
      <c r="X10" s="4">
        <v>60.27</v>
      </c>
      <c r="Y10" s="4">
        <v>63.46</v>
      </c>
      <c r="Z10" s="4">
        <v>66.66</v>
      </c>
      <c r="AA10" s="4">
        <v>69.849999999999994</v>
      </c>
      <c r="AB10" s="4">
        <v>100</v>
      </c>
      <c r="AC10" s="5">
        <f t="shared" si="0"/>
        <v>3</v>
      </c>
      <c r="AD10" s="6">
        <f t="shared" si="2"/>
        <v>0.6</v>
      </c>
      <c r="AE10" s="5" t="str">
        <f t="shared" si="1"/>
        <v>Realisasi memadai</v>
      </c>
      <c r="AF10" s="7" t="str">
        <f t="shared" si="3"/>
        <v/>
      </c>
      <c r="AG10" s="3"/>
      <c r="AH10" s="3" t="s">
        <v>133</v>
      </c>
      <c r="AI10" s="3" t="s">
        <v>136</v>
      </c>
    </row>
    <row r="11" spans="1:35" ht="30" customHeight="1" x14ac:dyDescent="0.35">
      <c r="A11" s="3" t="s">
        <v>137</v>
      </c>
      <c r="B11" s="3" t="s">
        <v>14</v>
      </c>
      <c r="C11" s="3" t="s">
        <v>16</v>
      </c>
      <c r="D11" s="3" t="s">
        <v>127</v>
      </c>
      <c r="E11" s="3" t="s">
        <v>138</v>
      </c>
      <c r="F11" s="3" t="s">
        <v>139</v>
      </c>
      <c r="G11" s="3" t="s">
        <v>86</v>
      </c>
      <c r="H11" s="3" t="s">
        <v>140</v>
      </c>
      <c r="I11" s="3" t="s">
        <v>141</v>
      </c>
      <c r="J11" s="3" t="s">
        <v>142</v>
      </c>
      <c r="K11" s="3" t="s">
        <v>143</v>
      </c>
      <c r="L11" s="3" t="s">
        <v>144</v>
      </c>
      <c r="M11" s="3" t="s">
        <v>55</v>
      </c>
      <c r="N11" s="3" t="s">
        <v>134</v>
      </c>
      <c r="O11" s="3" t="s">
        <v>79</v>
      </c>
      <c r="P11" s="3" t="s">
        <v>54</v>
      </c>
      <c r="Q11" s="3" t="s">
        <v>58</v>
      </c>
      <c r="R11" s="4">
        <v>80.95</v>
      </c>
      <c r="S11" s="4">
        <v>80.67</v>
      </c>
      <c r="T11" s="4">
        <v>80.77</v>
      </c>
      <c r="U11" s="4">
        <v>79.95</v>
      </c>
      <c r="V11" s="4">
        <v>85.99</v>
      </c>
      <c r="W11" s="4">
        <v>77.77</v>
      </c>
      <c r="X11" s="4">
        <v>77.97</v>
      </c>
      <c r="Y11" s="4">
        <v>78.17</v>
      </c>
      <c r="Z11" s="4">
        <v>78.37</v>
      </c>
      <c r="AA11" s="4">
        <v>78.569999999999993</v>
      </c>
      <c r="AB11" s="4">
        <v>84.64</v>
      </c>
      <c r="AC11" s="5">
        <f t="shared" si="0"/>
        <v>5</v>
      </c>
      <c r="AD11" s="6">
        <f t="shared" si="2"/>
        <v>1</v>
      </c>
      <c r="AE11" s="5" t="str">
        <f t="shared" si="1"/>
        <v>Realisasi memadai</v>
      </c>
      <c r="AF11" s="7">
        <f t="shared" si="3"/>
        <v>8.2199999999999989</v>
      </c>
      <c r="AG11" s="3"/>
      <c r="AH11" s="3"/>
      <c r="AI11" s="3" t="s">
        <v>145</v>
      </c>
    </row>
    <row r="12" spans="1:35" ht="30" customHeight="1" x14ac:dyDescent="0.35">
      <c r="A12" s="3" t="s">
        <v>713</v>
      </c>
      <c r="B12" s="3" t="s">
        <v>147</v>
      </c>
      <c r="C12" s="3" t="s">
        <v>148</v>
      </c>
      <c r="D12" s="3" t="s">
        <v>149</v>
      </c>
      <c r="E12" s="3" t="s">
        <v>17</v>
      </c>
      <c r="F12" s="3" t="s">
        <v>150</v>
      </c>
      <c r="G12" s="3" t="s">
        <v>86</v>
      </c>
      <c r="H12" s="3" t="s">
        <v>151</v>
      </c>
      <c r="I12" s="3" t="s">
        <v>152</v>
      </c>
      <c r="J12" s="3" t="s">
        <v>153</v>
      </c>
      <c r="K12" s="3" t="s">
        <v>154</v>
      </c>
      <c r="L12" s="3" t="s">
        <v>155</v>
      </c>
      <c r="M12" s="3" t="s">
        <v>55</v>
      </c>
      <c r="N12" s="3" t="s">
        <v>56</v>
      </c>
      <c r="O12" s="3" t="s">
        <v>79</v>
      </c>
      <c r="P12" s="3" t="s">
        <v>54</v>
      </c>
      <c r="Q12" s="3" t="s">
        <v>58</v>
      </c>
      <c r="R12" s="4">
        <v>73.489999999999995</v>
      </c>
      <c r="S12" s="4">
        <v>73.510000000000005</v>
      </c>
      <c r="T12" s="4">
        <v>73.540000000000006</v>
      </c>
      <c r="U12" s="4">
        <v>73.569999999999993</v>
      </c>
      <c r="V12" s="4">
        <v>73.680000000000007</v>
      </c>
      <c r="W12" s="4">
        <v>73.959999999999994</v>
      </c>
      <c r="X12" s="4">
        <v>74.16</v>
      </c>
      <c r="Y12" s="4">
        <v>74.37</v>
      </c>
      <c r="Z12" s="4">
        <v>74.569999999999993</v>
      </c>
      <c r="AA12" s="4">
        <v>74.77</v>
      </c>
      <c r="AB12" s="4">
        <v>79.349999999999994</v>
      </c>
      <c r="AC12" s="5">
        <f t="shared" si="0"/>
        <v>5</v>
      </c>
      <c r="AD12" s="6">
        <f t="shared" si="2"/>
        <v>1</v>
      </c>
      <c r="AE12" s="5" t="str">
        <f t="shared" si="1"/>
        <v>Realisasi memadai</v>
      </c>
      <c r="AF12" s="7">
        <f t="shared" si="3"/>
        <v>-0.27999999999998693</v>
      </c>
      <c r="AG12" s="3"/>
      <c r="AH12" s="3" t="s">
        <v>56</v>
      </c>
      <c r="AI12" s="3" t="s">
        <v>136</v>
      </c>
    </row>
    <row r="13" spans="1:35" s="14" customFormat="1" ht="30" customHeight="1" x14ac:dyDescent="0.35">
      <c r="A13" s="10" t="s">
        <v>714</v>
      </c>
      <c r="B13" s="10" t="s">
        <v>147</v>
      </c>
      <c r="C13" s="10" t="s">
        <v>148</v>
      </c>
      <c r="D13" s="10" t="s">
        <v>149</v>
      </c>
      <c r="E13" s="10" t="s">
        <v>157</v>
      </c>
      <c r="F13" s="10" t="s">
        <v>158</v>
      </c>
      <c r="G13" s="10" t="s">
        <v>86</v>
      </c>
      <c r="H13" s="10" t="s">
        <v>159</v>
      </c>
      <c r="I13" s="10" t="s">
        <v>160</v>
      </c>
      <c r="J13" s="10" t="s">
        <v>161</v>
      </c>
      <c r="K13" s="10" t="s">
        <v>162</v>
      </c>
      <c r="L13" s="10" t="s">
        <v>163</v>
      </c>
      <c r="M13" s="10" t="s">
        <v>55</v>
      </c>
      <c r="N13" s="10" t="s">
        <v>164</v>
      </c>
      <c r="O13" s="10" t="s">
        <v>79</v>
      </c>
      <c r="P13" s="10" t="s">
        <v>54</v>
      </c>
      <c r="Q13" s="10" t="s">
        <v>58</v>
      </c>
      <c r="R13" s="11"/>
      <c r="S13" s="11"/>
      <c r="T13" s="11"/>
      <c r="U13" s="11"/>
      <c r="V13" s="11"/>
      <c r="W13" s="11">
        <v>122</v>
      </c>
      <c r="X13" s="11">
        <v>109</v>
      </c>
      <c r="Y13" s="11">
        <v>97</v>
      </c>
      <c r="Z13" s="11">
        <v>86</v>
      </c>
      <c r="AA13" s="11">
        <v>77</v>
      </c>
      <c r="AB13" s="11">
        <v>16</v>
      </c>
      <c r="AC13" s="9">
        <f t="shared" si="0"/>
        <v>0</v>
      </c>
      <c r="AD13" s="12">
        <f t="shared" si="2"/>
        <v>0</v>
      </c>
      <c r="AE13" s="9" t="str">
        <f t="shared" si="1"/>
        <v>Tidak ada realisasi</v>
      </c>
      <c r="AF13" s="13" t="str">
        <f t="shared" si="3"/>
        <v/>
      </c>
      <c r="AG13" s="10" t="s">
        <v>123</v>
      </c>
      <c r="AH13" s="10" t="s">
        <v>124</v>
      </c>
      <c r="AI13" s="10" t="s">
        <v>136</v>
      </c>
    </row>
    <row r="14" spans="1:35" ht="30" customHeight="1" x14ac:dyDescent="0.35">
      <c r="A14" s="3" t="s">
        <v>715</v>
      </c>
      <c r="B14" s="3" t="s">
        <v>147</v>
      </c>
      <c r="C14" s="3" t="s">
        <v>148</v>
      </c>
      <c r="D14" s="3" t="s">
        <v>149</v>
      </c>
      <c r="E14" s="3" t="s">
        <v>166</v>
      </c>
      <c r="F14" s="3" t="s">
        <v>167</v>
      </c>
      <c r="G14" s="3" t="s">
        <v>86</v>
      </c>
      <c r="H14" s="3" t="s">
        <v>168</v>
      </c>
      <c r="I14" s="3" t="s">
        <v>169</v>
      </c>
      <c r="J14" s="3" t="s">
        <v>170</v>
      </c>
      <c r="K14" s="3" t="s">
        <v>171</v>
      </c>
      <c r="L14" s="3" t="s">
        <v>172</v>
      </c>
      <c r="M14" s="3" t="s">
        <v>55</v>
      </c>
      <c r="N14" s="3" t="s">
        <v>164</v>
      </c>
      <c r="O14" s="3" t="s">
        <v>135</v>
      </c>
      <c r="P14" s="3" t="s">
        <v>54</v>
      </c>
      <c r="Q14" s="3" t="s">
        <v>58</v>
      </c>
      <c r="R14" s="4">
        <v>27.5</v>
      </c>
      <c r="S14" s="4">
        <v>22.1</v>
      </c>
      <c r="T14" s="4">
        <v>17.399999999999999</v>
      </c>
      <c r="U14" s="4">
        <v>17.600000000000001</v>
      </c>
      <c r="V14" s="4"/>
      <c r="W14" s="4">
        <v>15.5</v>
      </c>
      <c r="X14" s="4">
        <v>14.5</v>
      </c>
      <c r="Y14" s="4">
        <v>13.5</v>
      </c>
      <c r="Z14" s="4">
        <v>12.5</v>
      </c>
      <c r="AA14" s="4">
        <v>11.4</v>
      </c>
      <c r="AB14" s="4">
        <v>3.6</v>
      </c>
      <c r="AC14" s="5">
        <f t="shared" si="0"/>
        <v>4</v>
      </c>
      <c r="AD14" s="6">
        <f t="shared" si="2"/>
        <v>0.8</v>
      </c>
      <c r="AE14" s="5" t="str">
        <f t="shared" si="1"/>
        <v>Realisasi memadai</v>
      </c>
      <c r="AF14" s="7" t="str">
        <f t="shared" si="3"/>
        <v/>
      </c>
      <c r="AG14" s="3"/>
      <c r="AH14" s="3" t="s">
        <v>173</v>
      </c>
      <c r="AI14" s="3" t="s">
        <v>136</v>
      </c>
    </row>
    <row r="15" spans="1:35" s="14" customFormat="1" ht="30" customHeight="1" x14ac:dyDescent="0.35">
      <c r="A15" s="10" t="s">
        <v>716</v>
      </c>
      <c r="B15" s="10" t="s">
        <v>147</v>
      </c>
      <c r="C15" s="10" t="s">
        <v>148</v>
      </c>
      <c r="D15" s="10" t="s">
        <v>149</v>
      </c>
      <c r="E15" s="10" t="s">
        <v>66</v>
      </c>
      <c r="F15" s="10" t="s">
        <v>175</v>
      </c>
      <c r="G15" s="10" t="s">
        <v>49</v>
      </c>
      <c r="H15" s="10" t="s">
        <v>176</v>
      </c>
      <c r="I15" s="10" t="s">
        <v>177</v>
      </c>
      <c r="J15" s="10" t="s">
        <v>178</v>
      </c>
      <c r="K15" s="10" t="s">
        <v>179</v>
      </c>
      <c r="L15" s="10" t="s">
        <v>54</v>
      </c>
      <c r="M15" s="10" t="s">
        <v>55</v>
      </c>
      <c r="N15" s="10" t="s">
        <v>164</v>
      </c>
      <c r="O15" s="10" t="s">
        <v>57</v>
      </c>
      <c r="P15" s="10" t="s">
        <v>54</v>
      </c>
      <c r="Q15" s="10" t="s">
        <v>180</v>
      </c>
      <c r="R15" s="11"/>
      <c r="S15" s="11"/>
      <c r="T15" s="11"/>
      <c r="U15" s="11"/>
      <c r="V15" s="11"/>
      <c r="W15" s="11">
        <v>90</v>
      </c>
      <c r="X15" s="11">
        <v>90</v>
      </c>
      <c r="Y15" s="11">
        <v>90</v>
      </c>
      <c r="Z15" s="11">
        <v>90</v>
      </c>
      <c r="AA15" s="11">
        <v>90</v>
      </c>
      <c r="AB15" s="11">
        <v>95</v>
      </c>
      <c r="AC15" s="9">
        <f t="shared" si="0"/>
        <v>0</v>
      </c>
      <c r="AD15" s="12">
        <f t="shared" si="2"/>
        <v>0</v>
      </c>
      <c r="AE15" s="9" t="str">
        <f t="shared" si="1"/>
        <v>Tidak ada realisasi</v>
      </c>
      <c r="AF15" s="13" t="str">
        <f t="shared" si="3"/>
        <v/>
      </c>
      <c r="AG15" s="10" t="s">
        <v>123</v>
      </c>
      <c r="AH15" s="10" t="s">
        <v>181</v>
      </c>
      <c r="AI15" s="10" t="s">
        <v>136</v>
      </c>
    </row>
    <row r="16" spans="1:35" s="14" customFormat="1" ht="30" customHeight="1" x14ac:dyDescent="0.35">
      <c r="A16" s="10" t="s">
        <v>717</v>
      </c>
      <c r="B16" s="10" t="s">
        <v>147</v>
      </c>
      <c r="C16" s="10" t="s">
        <v>148</v>
      </c>
      <c r="D16" s="10" t="s">
        <v>149</v>
      </c>
      <c r="E16" s="10" t="s">
        <v>83</v>
      </c>
      <c r="F16" s="10" t="s">
        <v>186</v>
      </c>
      <c r="G16" s="10" t="s">
        <v>86</v>
      </c>
      <c r="H16" s="10" t="s">
        <v>187</v>
      </c>
      <c r="I16" s="10" t="s">
        <v>188</v>
      </c>
      <c r="J16" s="10" t="s">
        <v>189</v>
      </c>
      <c r="K16" s="10" t="s">
        <v>190</v>
      </c>
      <c r="L16" s="10" t="s">
        <v>54</v>
      </c>
      <c r="M16" s="10" t="s">
        <v>55</v>
      </c>
      <c r="N16" s="10" t="s">
        <v>191</v>
      </c>
      <c r="O16" s="10" t="s">
        <v>57</v>
      </c>
      <c r="P16" s="10" t="s">
        <v>54</v>
      </c>
      <c r="Q16" s="10" t="s">
        <v>180</v>
      </c>
      <c r="R16" s="11"/>
      <c r="S16" s="11"/>
      <c r="T16" s="11"/>
      <c r="U16" s="11"/>
      <c r="V16" s="11"/>
      <c r="W16" s="11">
        <v>98.6</v>
      </c>
      <c r="X16" s="11">
        <v>98.7</v>
      </c>
      <c r="Y16" s="11">
        <v>98.8</v>
      </c>
      <c r="Z16" s="11">
        <v>99</v>
      </c>
      <c r="AA16" s="11">
        <v>99.1</v>
      </c>
      <c r="AB16" s="11">
        <v>99.5</v>
      </c>
      <c r="AC16" s="9">
        <f t="shared" si="0"/>
        <v>0</v>
      </c>
      <c r="AD16" s="12">
        <f t="shared" si="2"/>
        <v>0</v>
      </c>
      <c r="AE16" s="9" t="str">
        <f t="shared" si="1"/>
        <v>Tidak ada realisasi</v>
      </c>
      <c r="AF16" s="13" t="str">
        <f t="shared" si="3"/>
        <v/>
      </c>
      <c r="AG16" s="10" t="s">
        <v>123</v>
      </c>
      <c r="AH16" s="10" t="s">
        <v>192</v>
      </c>
      <c r="AI16" s="10" t="s">
        <v>136</v>
      </c>
    </row>
    <row r="17" spans="1:35" s="14" customFormat="1" ht="30" customHeight="1" x14ac:dyDescent="0.35">
      <c r="A17" s="10" t="s">
        <v>718</v>
      </c>
      <c r="B17" s="10" t="s">
        <v>147</v>
      </c>
      <c r="C17" s="10" t="s">
        <v>148</v>
      </c>
      <c r="D17" s="10" t="s">
        <v>194</v>
      </c>
      <c r="E17" s="10" t="s">
        <v>195</v>
      </c>
      <c r="F17" s="10" t="s">
        <v>196</v>
      </c>
      <c r="G17" s="10" t="s">
        <v>49</v>
      </c>
      <c r="H17" s="10" t="s">
        <v>197</v>
      </c>
      <c r="I17" s="10" t="s">
        <v>198</v>
      </c>
      <c r="J17" s="10" t="s">
        <v>199</v>
      </c>
      <c r="K17" s="10" t="s">
        <v>200</v>
      </c>
      <c r="L17" s="10" t="s">
        <v>54</v>
      </c>
      <c r="M17" s="10" t="s">
        <v>55</v>
      </c>
      <c r="N17" s="10" t="s">
        <v>201</v>
      </c>
      <c r="O17" s="10" t="s">
        <v>57</v>
      </c>
      <c r="P17" s="10" t="s">
        <v>54</v>
      </c>
      <c r="Q17" s="10" t="s">
        <v>73</v>
      </c>
      <c r="R17" s="11"/>
      <c r="S17" s="11"/>
      <c r="T17" s="11"/>
      <c r="U17" s="11"/>
      <c r="V17" s="11"/>
      <c r="W17" s="11">
        <v>20</v>
      </c>
      <c r="X17" s="11">
        <v>30</v>
      </c>
      <c r="Y17" s="11">
        <v>40</v>
      </c>
      <c r="Z17" s="11">
        <v>50</v>
      </c>
      <c r="AA17" s="11">
        <v>60</v>
      </c>
      <c r="AB17" s="11">
        <v>80</v>
      </c>
      <c r="AC17" s="9">
        <f t="shared" si="0"/>
        <v>0</v>
      </c>
      <c r="AD17" s="12">
        <f t="shared" si="2"/>
        <v>0</v>
      </c>
      <c r="AE17" s="9" t="str">
        <f t="shared" si="1"/>
        <v>Tidak ada realisasi</v>
      </c>
      <c r="AF17" s="13" t="str">
        <f t="shared" si="3"/>
        <v/>
      </c>
      <c r="AG17" s="10" t="s">
        <v>123</v>
      </c>
      <c r="AH17" s="10" t="s">
        <v>124</v>
      </c>
      <c r="AI17" s="10" t="s">
        <v>202</v>
      </c>
    </row>
    <row r="18" spans="1:35" s="14" customFormat="1" ht="30" customHeight="1" x14ac:dyDescent="0.35">
      <c r="A18" s="10" t="s">
        <v>719</v>
      </c>
      <c r="B18" s="10" t="s">
        <v>147</v>
      </c>
      <c r="C18" s="10" t="s">
        <v>148</v>
      </c>
      <c r="D18" s="10" t="s">
        <v>194</v>
      </c>
      <c r="E18" s="10" t="s">
        <v>204</v>
      </c>
      <c r="F18" s="10" t="s">
        <v>205</v>
      </c>
      <c r="G18" s="10" t="s">
        <v>49</v>
      </c>
      <c r="H18" s="10" t="s">
        <v>206</v>
      </c>
      <c r="I18" s="10" t="s">
        <v>207</v>
      </c>
      <c r="J18" s="10" t="s">
        <v>208</v>
      </c>
      <c r="K18" s="10" t="s">
        <v>200</v>
      </c>
      <c r="L18" s="10" t="s">
        <v>54</v>
      </c>
      <c r="M18" s="10" t="s">
        <v>55</v>
      </c>
      <c r="N18" s="10" t="s">
        <v>201</v>
      </c>
      <c r="O18" s="10" t="s">
        <v>57</v>
      </c>
      <c r="P18" s="10" t="s">
        <v>54</v>
      </c>
      <c r="Q18" s="10" t="s">
        <v>73</v>
      </c>
      <c r="R18" s="11"/>
      <c r="S18" s="11"/>
      <c r="T18" s="11"/>
      <c r="U18" s="11"/>
      <c r="V18" s="11"/>
      <c r="W18" s="11">
        <v>20</v>
      </c>
      <c r="X18" s="11">
        <v>25</v>
      </c>
      <c r="Y18" s="11">
        <v>30</v>
      </c>
      <c r="Z18" s="11">
        <v>35</v>
      </c>
      <c r="AA18" s="11">
        <v>40</v>
      </c>
      <c r="AB18" s="11">
        <v>60</v>
      </c>
      <c r="AC18" s="9">
        <f t="shared" si="0"/>
        <v>0</v>
      </c>
      <c r="AD18" s="12">
        <f t="shared" si="2"/>
        <v>0</v>
      </c>
      <c r="AE18" s="9" t="str">
        <f t="shared" si="1"/>
        <v>Tidak ada realisasi</v>
      </c>
      <c r="AF18" s="13" t="str">
        <f t="shared" si="3"/>
        <v/>
      </c>
      <c r="AG18" s="10" t="s">
        <v>123</v>
      </c>
      <c r="AH18" s="10" t="s">
        <v>124</v>
      </c>
      <c r="AI18" s="10" t="s">
        <v>202</v>
      </c>
    </row>
    <row r="19" spans="1:35" s="14" customFormat="1" ht="30" customHeight="1" x14ac:dyDescent="0.35">
      <c r="A19" s="10" t="s">
        <v>720</v>
      </c>
      <c r="B19" s="10" t="s">
        <v>147</v>
      </c>
      <c r="C19" s="10" t="s">
        <v>148</v>
      </c>
      <c r="D19" s="10" t="s">
        <v>194</v>
      </c>
      <c r="E19" s="10" t="s">
        <v>210</v>
      </c>
      <c r="F19" s="10" t="s">
        <v>196</v>
      </c>
      <c r="G19" s="10" t="s">
        <v>86</v>
      </c>
      <c r="H19" s="10" t="s">
        <v>197</v>
      </c>
      <c r="I19" s="10" t="s">
        <v>198</v>
      </c>
      <c r="J19" s="10" t="s">
        <v>199</v>
      </c>
      <c r="K19" s="10" t="s">
        <v>200</v>
      </c>
      <c r="L19" s="10" t="s">
        <v>54</v>
      </c>
      <c r="M19" s="10" t="s">
        <v>55</v>
      </c>
      <c r="N19" s="10"/>
      <c r="O19" s="10" t="s">
        <v>57</v>
      </c>
      <c r="P19" s="10" t="s">
        <v>54</v>
      </c>
      <c r="Q19" s="10" t="s">
        <v>73</v>
      </c>
      <c r="R19" s="11"/>
      <c r="S19" s="11"/>
      <c r="T19" s="11"/>
      <c r="U19" s="11"/>
      <c r="V19" s="11"/>
      <c r="W19" s="11"/>
      <c r="X19" s="11"/>
      <c r="Y19" s="11"/>
      <c r="Z19" s="11"/>
      <c r="AA19" s="11"/>
      <c r="AB19" s="11"/>
      <c r="AC19" s="9">
        <f t="shared" si="0"/>
        <v>0</v>
      </c>
      <c r="AD19" s="12">
        <f t="shared" si="2"/>
        <v>0</v>
      </c>
      <c r="AE19" s="9" t="str">
        <f t="shared" si="1"/>
        <v>Tidak ada realisasi</v>
      </c>
      <c r="AF19" s="13" t="str">
        <f t="shared" si="3"/>
        <v/>
      </c>
      <c r="AG19" s="10" t="s">
        <v>183</v>
      </c>
      <c r="AH19" s="10"/>
      <c r="AI19" s="10" t="s">
        <v>145</v>
      </c>
    </row>
    <row r="20" spans="1:35" s="14" customFormat="1" ht="30" customHeight="1" x14ac:dyDescent="0.35">
      <c r="A20" s="10" t="s">
        <v>721</v>
      </c>
      <c r="B20" s="10" t="s">
        <v>147</v>
      </c>
      <c r="C20" s="10" t="s">
        <v>148</v>
      </c>
      <c r="D20" s="10" t="s">
        <v>194</v>
      </c>
      <c r="E20" s="10" t="s">
        <v>212</v>
      </c>
      <c r="F20" s="10" t="s">
        <v>213</v>
      </c>
      <c r="G20" s="10" t="s">
        <v>86</v>
      </c>
      <c r="H20" s="10" t="s">
        <v>206</v>
      </c>
      <c r="I20" s="10" t="s">
        <v>207</v>
      </c>
      <c r="J20" s="10" t="s">
        <v>208</v>
      </c>
      <c r="K20" s="10" t="s">
        <v>200</v>
      </c>
      <c r="L20" s="10" t="s">
        <v>54</v>
      </c>
      <c r="M20" s="10" t="s">
        <v>55</v>
      </c>
      <c r="N20" s="10"/>
      <c r="O20" s="10" t="s">
        <v>57</v>
      </c>
      <c r="P20" s="10" t="s">
        <v>54</v>
      </c>
      <c r="Q20" s="10" t="s">
        <v>73</v>
      </c>
      <c r="R20" s="11"/>
      <c r="S20" s="11"/>
      <c r="T20" s="11"/>
      <c r="U20" s="11"/>
      <c r="V20" s="11"/>
      <c r="W20" s="11"/>
      <c r="X20" s="11"/>
      <c r="Y20" s="11"/>
      <c r="Z20" s="11"/>
      <c r="AA20" s="11"/>
      <c r="AB20" s="11"/>
      <c r="AC20" s="9">
        <f t="shared" si="0"/>
        <v>0</v>
      </c>
      <c r="AD20" s="12">
        <f t="shared" si="2"/>
        <v>0</v>
      </c>
      <c r="AE20" s="9" t="str">
        <f t="shared" si="1"/>
        <v>Tidak ada realisasi</v>
      </c>
      <c r="AF20" s="13" t="str">
        <f t="shared" si="3"/>
        <v/>
      </c>
      <c r="AG20" s="10" t="s">
        <v>183</v>
      </c>
      <c r="AH20" s="10"/>
      <c r="AI20" s="10" t="s">
        <v>145</v>
      </c>
    </row>
    <row r="21" spans="1:35" ht="30" customHeight="1" x14ac:dyDescent="0.35">
      <c r="A21" s="3" t="s">
        <v>722</v>
      </c>
      <c r="B21" s="3" t="s">
        <v>147</v>
      </c>
      <c r="C21" s="3" t="s">
        <v>148</v>
      </c>
      <c r="D21" s="3" t="s">
        <v>194</v>
      </c>
      <c r="E21" s="3" t="s">
        <v>215</v>
      </c>
      <c r="F21" s="15" t="s">
        <v>216</v>
      </c>
      <c r="G21" s="3" t="s">
        <v>86</v>
      </c>
      <c r="H21" s="3" t="s">
        <v>217</v>
      </c>
      <c r="I21" s="3" t="s">
        <v>218</v>
      </c>
      <c r="J21" s="3" t="s">
        <v>219</v>
      </c>
      <c r="K21" s="3" t="s">
        <v>220</v>
      </c>
      <c r="L21" s="3" t="s">
        <v>221</v>
      </c>
      <c r="M21" s="3" t="s">
        <v>55</v>
      </c>
      <c r="N21" s="3" t="s">
        <v>56</v>
      </c>
      <c r="O21" s="3" t="s">
        <v>79</v>
      </c>
      <c r="P21" s="3" t="s">
        <v>54</v>
      </c>
      <c r="Q21" s="3" t="s">
        <v>58</v>
      </c>
      <c r="R21" s="4">
        <v>9.11</v>
      </c>
      <c r="S21" s="4">
        <v>9.27</v>
      </c>
      <c r="T21" s="4">
        <v>9.34</v>
      </c>
      <c r="U21" s="4">
        <v>9.35</v>
      </c>
      <c r="V21" s="4">
        <v>9.44</v>
      </c>
      <c r="W21" s="4">
        <v>9.6999999999999993</v>
      </c>
      <c r="X21" s="4">
        <v>9.83</v>
      </c>
      <c r="Y21" s="4">
        <v>9.9499999999999993</v>
      </c>
      <c r="Z21" s="4">
        <v>10.08</v>
      </c>
      <c r="AA21" s="4">
        <v>10.199999999999999</v>
      </c>
      <c r="AB21" s="4">
        <v>12.59</v>
      </c>
      <c r="AC21" s="5">
        <f t="shared" si="0"/>
        <v>5</v>
      </c>
      <c r="AD21" s="6">
        <f t="shared" si="2"/>
        <v>1</v>
      </c>
      <c r="AE21" s="5" t="str">
        <f t="shared" si="1"/>
        <v>Realisasi memadai</v>
      </c>
      <c r="AF21" s="7">
        <f t="shared" si="3"/>
        <v>-0.25999999999999979</v>
      </c>
      <c r="AG21" s="3"/>
      <c r="AH21" s="3" t="s">
        <v>56</v>
      </c>
      <c r="AI21" s="3" t="s">
        <v>136</v>
      </c>
    </row>
    <row r="22" spans="1:35" ht="30" customHeight="1" x14ac:dyDescent="0.35">
      <c r="A22" s="3" t="s">
        <v>146</v>
      </c>
      <c r="B22" s="3" t="s">
        <v>147</v>
      </c>
      <c r="C22" s="3" t="s">
        <v>148</v>
      </c>
      <c r="D22" s="3" t="s">
        <v>194</v>
      </c>
      <c r="E22" s="3" t="s">
        <v>223</v>
      </c>
      <c r="F22" s="3" t="s">
        <v>224</v>
      </c>
      <c r="G22" s="3" t="s">
        <v>86</v>
      </c>
      <c r="H22" s="3" t="s">
        <v>225</v>
      </c>
      <c r="I22" s="3" t="s">
        <v>226</v>
      </c>
      <c r="J22" s="3" t="s">
        <v>227</v>
      </c>
      <c r="K22" s="3" t="s">
        <v>220</v>
      </c>
      <c r="L22" s="3" t="s">
        <v>221</v>
      </c>
      <c r="M22" s="3" t="s">
        <v>55</v>
      </c>
      <c r="N22" s="3" t="s">
        <v>56</v>
      </c>
      <c r="O22" s="3" t="s">
        <v>79</v>
      </c>
      <c r="P22" s="3" t="s">
        <v>54</v>
      </c>
      <c r="Q22" s="3" t="s">
        <v>58</v>
      </c>
      <c r="R22" s="4">
        <v>12.94</v>
      </c>
      <c r="S22" s="4">
        <v>13.06</v>
      </c>
      <c r="T22" s="4">
        <v>13.2</v>
      </c>
      <c r="U22" s="4">
        <v>13.21</v>
      </c>
      <c r="V22" s="4">
        <v>13.31</v>
      </c>
      <c r="W22" s="4">
        <v>13.32</v>
      </c>
      <c r="X22" s="4">
        <v>13.38</v>
      </c>
      <c r="Y22" s="4">
        <v>13.45</v>
      </c>
      <c r="Z22" s="4">
        <v>13.51</v>
      </c>
      <c r="AA22" s="4">
        <v>13.57</v>
      </c>
      <c r="AB22" s="4">
        <v>14.8</v>
      </c>
      <c r="AC22" s="5">
        <f t="shared" si="0"/>
        <v>5</v>
      </c>
      <c r="AD22" s="6">
        <f t="shared" si="2"/>
        <v>1</v>
      </c>
      <c r="AE22" s="5" t="str">
        <f t="shared" si="1"/>
        <v>Realisasi memadai</v>
      </c>
      <c r="AF22" s="7">
        <f t="shared" si="3"/>
        <v>-9.9999999999997868E-3</v>
      </c>
      <c r="AG22" s="3"/>
      <c r="AH22" s="3" t="s">
        <v>56</v>
      </c>
      <c r="AI22" s="3" t="s">
        <v>136</v>
      </c>
    </row>
    <row r="23" spans="1:35" ht="30" customHeight="1" x14ac:dyDescent="0.35">
      <c r="A23" s="3" t="s">
        <v>156</v>
      </c>
      <c r="B23" s="3" t="s">
        <v>147</v>
      </c>
      <c r="C23" s="3" t="s">
        <v>148</v>
      </c>
      <c r="D23" s="3" t="s">
        <v>194</v>
      </c>
      <c r="E23" s="3" t="s">
        <v>102</v>
      </c>
      <c r="F23" s="3" t="s">
        <v>229</v>
      </c>
      <c r="G23" s="3" t="s">
        <v>49</v>
      </c>
      <c r="H23" s="3" t="s">
        <v>230</v>
      </c>
      <c r="I23" s="3" t="s">
        <v>231</v>
      </c>
      <c r="J23" s="3" t="s">
        <v>232</v>
      </c>
      <c r="K23" s="3" t="s">
        <v>233</v>
      </c>
      <c r="L23" s="3" t="s">
        <v>54</v>
      </c>
      <c r="M23" s="3" t="s">
        <v>55</v>
      </c>
      <c r="N23" s="3" t="s">
        <v>56</v>
      </c>
      <c r="O23" s="3" t="s">
        <v>135</v>
      </c>
      <c r="P23" s="3" t="s">
        <v>54</v>
      </c>
      <c r="Q23" s="3" t="s">
        <v>58</v>
      </c>
      <c r="R23" s="4">
        <v>11.24</v>
      </c>
      <c r="S23" s="4">
        <v>11.45</v>
      </c>
      <c r="T23" s="4">
        <v>11.77</v>
      </c>
      <c r="U23" s="4">
        <v>11.34</v>
      </c>
      <c r="V23" s="4">
        <v>12.9</v>
      </c>
      <c r="W23" s="4">
        <v>14.68</v>
      </c>
      <c r="X23" s="4">
        <v>15.19</v>
      </c>
      <c r="Y23" s="4">
        <v>15.45</v>
      </c>
      <c r="Z23" s="4">
        <v>16.25</v>
      </c>
      <c r="AA23" s="4">
        <v>16.8</v>
      </c>
      <c r="AB23" s="4" t="s">
        <v>234</v>
      </c>
      <c r="AC23" s="5">
        <f t="shared" si="0"/>
        <v>5</v>
      </c>
      <c r="AD23" s="6">
        <f t="shared" si="2"/>
        <v>1</v>
      </c>
      <c r="AE23" s="5" t="str">
        <f t="shared" si="1"/>
        <v>Realisasi memadai</v>
      </c>
      <c r="AF23" s="7">
        <f t="shared" si="3"/>
        <v>-1.7799999999999994</v>
      </c>
      <c r="AG23" s="3" t="s">
        <v>235</v>
      </c>
      <c r="AH23" s="3" t="s">
        <v>236</v>
      </c>
      <c r="AI23" s="3" t="s">
        <v>237</v>
      </c>
    </row>
    <row r="24" spans="1:35" s="14" customFormat="1" ht="30" customHeight="1" x14ac:dyDescent="0.35">
      <c r="A24" s="10" t="s">
        <v>165</v>
      </c>
      <c r="B24" s="10" t="s">
        <v>147</v>
      </c>
      <c r="C24" s="10" t="s">
        <v>148</v>
      </c>
      <c r="D24" s="10" t="s">
        <v>194</v>
      </c>
      <c r="E24" s="10" t="s">
        <v>110</v>
      </c>
      <c r="F24" s="10" t="s">
        <v>239</v>
      </c>
      <c r="G24" s="10" t="s">
        <v>86</v>
      </c>
      <c r="H24" s="10" t="s">
        <v>240</v>
      </c>
      <c r="I24" s="10" t="s">
        <v>241</v>
      </c>
      <c r="J24" s="10" t="s">
        <v>242</v>
      </c>
      <c r="K24" s="10" t="s">
        <v>243</v>
      </c>
      <c r="L24" s="10" t="s">
        <v>244</v>
      </c>
      <c r="M24" s="10" t="s">
        <v>55</v>
      </c>
      <c r="N24" s="10" t="s">
        <v>245</v>
      </c>
      <c r="O24" s="10" t="s">
        <v>57</v>
      </c>
      <c r="P24" s="10" t="s">
        <v>54</v>
      </c>
      <c r="Q24" s="10" t="s">
        <v>73</v>
      </c>
      <c r="R24" s="11"/>
      <c r="S24" s="11"/>
      <c r="T24" s="11"/>
      <c r="U24" s="11"/>
      <c r="V24" s="11"/>
      <c r="W24" s="11">
        <v>77.180000000000007</v>
      </c>
      <c r="X24" s="11">
        <v>77.97</v>
      </c>
      <c r="Y24" s="11">
        <v>78.77</v>
      </c>
      <c r="Z24" s="11">
        <v>79.56</v>
      </c>
      <c r="AA24" s="11">
        <v>80.349999999999994</v>
      </c>
      <c r="AB24" s="11">
        <v>85</v>
      </c>
      <c r="AC24" s="9">
        <f t="shared" si="0"/>
        <v>0</v>
      </c>
      <c r="AD24" s="12">
        <f t="shared" si="2"/>
        <v>0</v>
      </c>
      <c r="AE24" s="9" t="str">
        <f t="shared" si="1"/>
        <v>Tidak ada realisasi</v>
      </c>
      <c r="AF24" s="13" t="str">
        <f t="shared" si="3"/>
        <v/>
      </c>
      <c r="AG24" s="10" t="s">
        <v>123</v>
      </c>
      <c r="AH24" s="10" t="s">
        <v>246</v>
      </c>
      <c r="AI24" s="10" t="s">
        <v>136</v>
      </c>
    </row>
    <row r="25" spans="1:35" ht="30" customHeight="1" x14ac:dyDescent="0.35">
      <c r="A25" s="3" t="s">
        <v>174</v>
      </c>
      <c r="B25" s="3" t="s">
        <v>147</v>
      </c>
      <c r="C25" s="3" t="s">
        <v>148</v>
      </c>
      <c r="D25" s="3" t="s">
        <v>248</v>
      </c>
      <c r="E25" s="3" t="s">
        <v>116</v>
      </c>
      <c r="F25" s="3" t="s">
        <v>84</v>
      </c>
      <c r="G25" s="3" t="s">
        <v>86</v>
      </c>
      <c r="H25" s="3" t="s">
        <v>87</v>
      </c>
      <c r="I25" s="3"/>
      <c r="J25" s="3" t="s">
        <v>249</v>
      </c>
      <c r="K25" s="3" t="s">
        <v>89</v>
      </c>
      <c r="L25" s="3" t="s">
        <v>90</v>
      </c>
      <c r="M25" s="3" t="s">
        <v>55</v>
      </c>
      <c r="N25" s="3" t="s">
        <v>56</v>
      </c>
      <c r="O25" s="3" t="s">
        <v>79</v>
      </c>
      <c r="P25" s="3" t="s">
        <v>91</v>
      </c>
      <c r="Q25" s="3" t="s">
        <v>58</v>
      </c>
      <c r="R25" s="4">
        <v>7.36</v>
      </c>
      <c r="S25" s="4">
        <v>6.77</v>
      </c>
      <c r="T25" s="4">
        <v>6.45</v>
      </c>
      <c r="U25" s="4">
        <v>6.32</v>
      </c>
      <c r="V25" s="4">
        <v>5.54</v>
      </c>
      <c r="W25" s="4">
        <v>5.07</v>
      </c>
      <c r="X25" s="4">
        <v>5</v>
      </c>
      <c r="Y25" s="4">
        <v>4.2</v>
      </c>
      <c r="Z25" s="4">
        <v>3.77</v>
      </c>
      <c r="AA25" s="4">
        <v>3.33</v>
      </c>
      <c r="AB25" s="4">
        <v>0.54</v>
      </c>
      <c r="AC25" s="5">
        <f t="shared" si="0"/>
        <v>5</v>
      </c>
      <c r="AD25" s="6">
        <f t="shared" si="2"/>
        <v>1</v>
      </c>
      <c r="AE25" s="5" t="str">
        <f t="shared" si="1"/>
        <v>Realisasi memadai</v>
      </c>
      <c r="AF25" s="7">
        <f t="shared" si="3"/>
        <v>0.46999999999999975</v>
      </c>
      <c r="AG25" s="3" t="s">
        <v>92</v>
      </c>
      <c r="AH25" s="3" t="s">
        <v>56</v>
      </c>
      <c r="AI25" s="3" t="s">
        <v>250</v>
      </c>
    </row>
    <row r="26" spans="1:35" s="14" customFormat="1" ht="30" customHeight="1" x14ac:dyDescent="0.35">
      <c r="A26" s="10" t="s">
        <v>182</v>
      </c>
      <c r="B26" s="10" t="s">
        <v>147</v>
      </c>
      <c r="C26" s="10" t="s">
        <v>148</v>
      </c>
      <c r="D26" s="10" t="s">
        <v>248</v>
      </c>
      <c r="E26" s="10" t="s">
        <v>128</v>
      </c>
      <c r="F26" s="10" t="s">
        <v>252</v>
      </c>
      <c r="G26" s="10" t="s">
        <v>86</v>
      </c>
      <c r="H26" s="10" t="s">
        <v>253</v>
      </c>
      <c r="I26" s="10" t="s">
        <v>254</v>
      </c>
      <c r="J26" s="10" t="s">
        <v>255</v>
      </c>
      <c r="K26" s="10" t="s">
        <v>256</v>
      </c>
      <c r="L26" s="10" t="s">
        <v>257</v>
      </c>
      <c r="M26" s="10" t="s">
        <v>55</v>
      </c>
      <c r="N26" s="10" t="s">
        <v>201</v>
      </c>
      <c r="O26" s="10" t="s">
        <v>135</v>
      </c>
      <c r="P26" s="10" t="s">
        <v>54</v>
      </c>
      <c r="Q26" s="10" t="s">
        <v>180</v>
      </c>
      <c r="R26" s="11"/>
      <c r="S26" s="11"/>
      <c r="T26" s="11"/>
      <c r="U26" s="11"/>
      <c r="V26" s="11"/>
      <c r="W26" s="11">
        <v>98.6</v>
      </c>
      <c r="X26" s="11">
        <v>98.7</v>
      </c>
      <c r="Y26" s="11">
        <v>98.8</v>
      </c>
      <c r="Z26" s="11">
        <v>98.9</v>
      </c>
      <c r="AA26" s="11">
        <v>99</v>
      </c>
      <c r="AB26" s="11">
        <v>95.32</v>
      </c>
      <c r="AC26" s="9">
        <f t="shared" si="0"/>
        <v>0</v>
      </c>
      <c r="AD26" s="12">
        <f t="shared" si="2"/>
        <v>0</v>
      </c>
      <c r="AE26" s="9" t="str">
        <f t="shared" si="1"/>
        <v>Tidak ada realisasi</v>
      </c>
      <c r="AF26" s="13" t="str">
        <f t="shared" si="3"/>
        <v/>
      </c>
      <c r="AG26" s="10" t="s">
        <v>123</v>
      </c>
      <c r="AH26" s="10" t="s">
        <v>258</v>
      </c>
      <c r="AI26" s="10" t="s">
        <v>136</v>
      </c>
    </row>
    <row r="27" spans="1:35" s="14" customFormat="1" ht="30" customHeight="1" x14ac:dyDescent="0.35">
      <c r="A27" s="10" t="s">
        <v>185</v>
      </c>
      <c r="B27" s="10" t="s">
        <v>147</v>
      </c>
      <c r="C27" s="10" t="s">
        <v>148</v>
      </c>
      <c r="D27" s="10" t="s">
        <v>248</v>
      </c>
      <c r="E27" s="10" t="s">
        <v>138</v>
      </c>
      <c r="F27" s="10" t="s">
        <v>260</v>
      </c>
      <c r="G27" s="10" t="s">
        <v>86</v>
      </c>
      <c r="H27" s="10" t="s">
        <v>261</v>
      </c>
      <c r="I27" s="10"/>
      <c r="J27" s="10" t="s">
        <v>262</v>
      </c>
      <c r="K27" s="10" t="s">
        <v>263</v>
      </c>
      <c r="L27" s="10"/>
      <c r="M27" s="10" t="s">
        <v>264</v>
      </c>
      <c r="N27" s="10" t="s">
        <v>265</v>
      </c>
      <c r="O27" s="10" t="s">
        <v>57</v>
      </c>
      <c r="P27" s="10" t="s">
        <v>54</v>
      </c>
      <c r="Q27" s="10" t="s">
        <v>73</v>
      </c>
      <c r="R27" s="11"/>
      <c r="S27" s="11"/>
      <c r="T27" s="11"/>
      <c r="U27" s="11"/>
      <c r="V27" s="11"/>
      <c r="W27" s="11">
        <v>40</v>
      </c>
      <c r="X27" s="11">
        <v>42.5</v>
      </c>
      <c r="Y27" s="11">
        <v>45</v>
      </c>
      <c r="Z27" s="11">
        <v>47.5</v>
      </c>
      <c r="AA27" s="11">
        <v>50</v>
      </c>
      <c r="AB27" s="11">
        <v>80</v>
      </c>
      <c r="AC27" s="9">
        <f t="shared" si="0"/>
        <v>0</v>
      </c>
      <c r="AD27" s="12">
        <f t="shared" si="2"/>
        <v>0</v>
      </c>
      <c r="AE27" s="9" t="str">
        <f t="shared" si="1"/>
        <v>Tidak ada realisasi</v>
      </c>
      <c r="AF27" s="13" t="str">
        <f t="shared" si="3"/>
        <v/>
      </c>
      <c r="AG27" s="10" t="s">
        <v>123</v>
      </c>
      <c r="AH27" s="10" t="s">
        <v>266</v>
      </c>
      <c r="AI27" s="10" t="s">
        <v>136</v>
      </c>
    </row>
    <row r="28" spans="1:35" ht="30" customHeight="1" x14ac:dyDescent="0.35">
      <c r="A28" s="3" t="s">
        <v>193</v>
      </c>
      <c r="B28" s="3" t="s">
        <v>147</v>
      </c>
      <c r="C28" s="3" t="s">
        <v>268</v>
      </c>
      <c r="D28" s="3" t="s">
        <v>269</v>
      </c>
      <c r="E28" s="3" t="s">
        <v>270</v>
      </c>
      <c r="F28" s="3" t="s">
        <v>271</v>
      </c>
      <c r="G28" s="3" t="s">
        <v>86</v>
      </c>
      <c r="H28" s="3" t="s">
        <v>76</v>
      </c>
      <c r="I28" s="3"/>
      <c r="J28" s="3" t="s">
        <v>77</v>
      </c>
      <c r="K28" s="3" t="s">
        <v>53</v>
      </c>
      <c r="L28" s="3" t="s">
        <v>78</v>
      </c>
      <c r="M28" s="3" t="s">
        <v>55</v>
      </c>
      <c r="N28" s="3" t="s">
        <v>56</v>
      </c>
      <c r="O28" s="3" t="s">
        <v>79</v>
      </c>
      <c r="P28" s="3" t="s">
        <v>54</v>
      </c>
      <c r="Q28" s="3" t="s">
        <v>58</v>
      </c>
      <c r="R28" s="4">
        <v>8.9</v>
      </c>
      <c r="S28" s="4">
        <v>7.77</v>
      </c>
      <c r="T28" s="4">
        <v>7.69</v>
      </c>
      <c r="U28" s="4">
        <v>8.27</v>
      </c>
      <c r="V28" s="4">
        <v>8.75</v>
      </c>
      <c r="W28" s="4">
        <v>8.6300000000000008</v>
      </c>
      <c r="X28" s="4">
        <v>9.11</v>
      </c>
      <c r="Y28" s="4">
        <v>9.83</v>
      </c>
      <c r="Z28" s="4">
        <v>10.55</v>
      </c>
      <c r="AA28" s="4">
        <v>11.91</v>
      </c>
      <c r="AB28" s="4">
        <v>25.26</v>
      </c>
      <c r="AC28" s="5">
        <f t="shared" si="0"/>
        <v>5</v>
      </c>
      <c r="AD28" s="6">
        <f t="shared" si="2"/>
        <v>1</v>
      </c>
      <c r="AE28" s="5" t="str">
        <f t="shared" si="1"/>
        <v>Realisasi memadai</v>
      </c>
      <c r="AF28" s="7">
        <f t="shared" si="3"/>
        <v>0.11999999999999922</v>
      </c>
      <c r="AG28" s="3"/>
      <c r="AH28" s="3" t="s">
        <v>81</v>
      </c>
      <c r="AI28" s="3" t="s">
        <v>272</v>
      </c>
    </row>
    <row r="29" spans="1:35" ht="30" customHeight="1" x14ac:dyDescent="0.35">
      <c r="A29" s="3" t="s">
        <v>203</v>
      </c>
      <c r="B29" s="3" t="s">
        <v>147</v>
      </c>
      <c r="C29" s="3" t="s">
        <v>268</v>
      </c>
      <c r="D29" s="3" t="s">
        <v>269</v>
      </c>
      <c r="E29" s="3" t="s">
        <v>274</v>
      </c>
      <c r="F29" s="17" t="s">
        <v>275</v>
      </c>
      <c r="G29" s="3" t="s">
        <v>86</v>
      </c>
      <c r="H29" s="3"/>
      <c r="I29" s="3"/>
      <c r="J29" s="3"/>
      <c r="K29" s="3"/>
      <c r="L29" s="3"/>
      <c r="M29" s="17" t="s">
        <v>276</v>
      </c>
      <c r="N29" s="3" t="s">
        <v>56</v>
      </c>
      <c r="O29" s="3" t="s">
        <v>57</v>
      </c>
      <c r="P29" s="3"/>
      <c r="Q29" s="3"/>
      <c r="R29" s="4">
        <v>3.43</v>
      </c>
      <c r="S29" s="4">
        <v>3.74</v>
      </c>
      <c r="T29" s="4">
        <v>4.32</v>
      </c>
      <c r="U29" s="4">
        <v>1.75</v>
      </c>
      <c r="V29" s="4">
        <v>2.6</v>
      </c>
      <c r="W29" s="4">
        <v>3.5</v>
      </c>
      <c r="X29" s="4">
        <v>3.6</v>
      </c>
      <c r="Y29" s="4">
        <v>3.65</v>
      </c>
      <c r="Z29" s="4">
        <v>3.7</v>
      </c>
      <c r="AA29" s="4">
        <v>3.75</v>
      </c>
      <c r="AB29" s="4"/>
      <c r="AC29" s="5">
        <f t="shared" si="0"/>
        <v>5</v>
      </c>
      <c r="AD29" s="6">
        <f t="shared" si="2"/>
        <v>1</v>
      </c>
      <c r="AE29" s="5" t="str">
        <f t="shared" si="1"/>
        <v>Realisasi memadai</v>
      </c>
      <c r="AF29" s="7">
        <f t="shared" si="3"/>
        <v>-0.89999999999999991</v>
      </c>
      <c r="AG29" s="3" t="s">
        <v>277</v>
      </c>
      <c r="AH29" s="3" t="s">
        <v>278</v>
      </c>
      <c r="AI29" s="3" t="s">
        <v>145</v>
      </c>
    </row>
    <row r="30" spans="1:35" ht="30" customHeight="1" x14ac:dyDescent="0.35">
      <c r="A30" s="3" t="s">
        <v>723</v>
      </c>
      <c r="B30" s="3" t="s">
        <v>147</v>
      </c>
      <c r="C30" s="3" t="s">
        <v>268</v>
      </c>
      <c r="D30" s="3" t="s">
        <v>269</v>
      </c>
      <c r="E30" s="3" t="s">
        <v>280</v>
      </c>
      <c r="F30" s="17" t="s">
        <v>281</v>
      </c>
      <c r="G30" s="3" t="s">
        <v>49</v>
      </c>
      <c r="H30" s="3"/>
      <c r="I30" s="3"/>
      <c r="J30" s="3"/>
      <c r="K30" s="3"/>
      <c r="L30" s="3"/>
      <c r="M30" s="17" t="s">
        <v>276</v>
      </c>
      <c r="N30" s="3" t="s">
        <v>56</v>
      </c>
      <c r="O30" s="3" t="s">
        <v>79</v>
      </c>
      <c r="P30" s="3" t="s">
        <v>54</v>
      </c>
      <c r="Q30" s="3" t="s">
        <v>58</v>
      </c>
      <c r="R30" s="4">
        <v>2.3199999999999998</v>
      </c>
      <c r="S30" s="4">
        <v>3.83</v>
      </c>
      <c r="T30" s="4">
        <v>1.67</v>
      </c>
      <c r="U30" s="4">
        <v>3.37</v>
      </c>
      <c r="V30" s="4">
        <v>8.8800000000000008</v>
      </c>
      <c r="W30" s="4"/>
      <c r="X30" s="4"/>
      <c r="Y30" s="4"/>
      <c r="Z30" s="4"/>
      <c r="AA30" s="4"/>
      <c r="AB30" s="4"/>
      <c r="AC30" s="5">
        <f t="shared" si="0"/>
        <v>5</v>
      </c>
      <c r="AD30" s="6">
        <f t="shared" si="2"/>
        <v>1</v>
      </c>
      <c r="AE30" s="5" t="str">
        <f t="shared" si="1"/>
        <v>Realisasi memadai</v>
      </c>
      <c r="AF30" s="7" t="str">
        <f t="shared" si="3"/>
        <v/>
      </c>
      <c r="AG30" s="3" t="s">
        <v>282</v>
      </c>
      <c r="AH30" s="3" t="s">
        <v>283</v>
      </c>
      <c r="AI30" s="3" t="s">
        <v>272</v>
      </c>
    </row>
    <row r="31" spans="1:35" ht="30" customHeight="1" x14ac:dyDescent="0.35">
      <c r="A31" s="3" t="s">
        <v>209</v>
      </c>
      <c r="B31" s="3" t="s">
        <v>147</v>
      </c>
      <c r="C31" s="3" t="s">
        <v>268</v>
      </c>
      <c r="D31" s="3" t="s">
        <v>269</v>
      </c>
      <c r="E31" s="3" t="s">
        <v>286</v>
      </c>
      <c r="F31" s="3" t="s">
        <v>287</v>
      </c>
      <c r="G31" s="3" t="s">
        <v>49</v>
      </c>
      <c r="H31" s="3" t="s">
        <v>288</v>
      </c>
      <c r="I31" s="3"/>
      <c r="J31" s="3" t="s">
        <v>289</v>
      </c>
      <c r="K31" s="3" t="s">
        <v>290</v>
      </c>
      <c r="L31" s="3" t="s">
        <v>54</v>
      </c>
      <c r="M31" s="3" t="s">
        <v>55</v>
      </c>
      <c r="N31" s="3" t="s">
        <v>56</v>
      </c>
      <c r="O31" s="3" t="s">
        <v>57</v>
      </c>
      <c r="P31" s="3" t="s">
        <v>54</v>
      </c>
      <c r="Q31" s="3" t="s">
        <v>73</v>
      </c>
      <c r="R31" s="4">
        <v>1.5</v>
      </c>
      <c r="S31" s="4">
        <v>1.38</v>
      </c>
      <c r="T31" s="4">
        <v>1.45</v>
      </c>
      <c r="U31" s="4">
        <v>1.65</v>
      </c>
      <c r="V31" s="4">
        <v>1.77</v>
      </c>
      <c r="W31" s="4">
        <v>1.75</v>
      </c>
      <c r="X31" s="4">
        <v>1.88</v>
      </c>
      <c r="Y31" s="4">
        <v>2.02</v>
      </c>
      <c r="Z31" s="4">
        <v>2.17</v>
      </c>
      <c r="AA31" s="4">
        <v>2.33</v>
      </c>
      <c r="AB31" s="4">
        <v>2.75</v>
      </c>
      <c r="AC31" s="5">
        <f t="shared" si="0"/>
        <v>5</v>
      </c>
      <c r="AD31" s="6">
        <f t="shared" si="2"/>
        <v>1</v>
      </c>
      <c r="AE31" s="5" t="str">
        <f t="shared" si="1"/>
        <v>Realisasi memadai</v>
      </c>
      <c r="AF31" s="7">
        <f t="shared" si="3"/>
        <v>2.0000000000000018E-2</v>
      </c>
      <c r="AG31" s="3"/>
      <c r="AH31" s="3"/>
      <c r="AI31" s="3" t="s">
        <v>202</v>
      </c>
    </row>
    <row r="32" spans="1:35" ht="30" customHeight="1" x14ac:dyDescent="0.35">
      <c r="A32" s="3" t="s">
        <v>211</v>
      </c>
      <c r="B32" s="3" t="s">
        <v>147</v>
      </c>
      <c r="C32" s="3" t="s">
        <v>268</v>
      </c>
      <c r="D32" s="3" t="s">
        <v>269</v>
      </c>
      <c r="E32" s="3" t="s">
        <v>292</v>
      </c>
      <c r="F32" s="3" t="s">
        <v>293</v>
      </c>
      <c r="G32" s="3" t="s">
        <v>49</v>
      </c>
      <c r="H32" s="3" t="s">
        <v>294</v>
      </c>
      <c r="I32" s="3"/>
      <c r="J32" s="3" t="s">
        <v>295</v>
      </c>
      <c r="K32" s="3" t="s">
        <v>296</v>
      </c>
      <c r="L32" s="3" t="s">
        <v>54</v>
      </c>
      <c r="M32" s="3" t="s">
        <v>55</v>
      </c>
      <c r="N32" s="3" t="s">
        <v>297</v>
      </c>
      <c r="O32" s="3" t="s">
        <v>57</v>
      </c>
      <c r="P32" s="3" t="s">
        <v>54</v>
      </c>
      <c r="Q32" s="3" t="s">
        <v>58</v>
      </c>
      <c r="R32" s="4">
        <v>6703</v>
      </c>
      <c r="S32" s="4">
        <v>22269</v>
      </c>
      <c r="T32" s="4">
        <v>27649</v>
      </c>
      <c r="U32" s="4">
        <v>26604</v>
      </c>
      <c r="V32" s="4">
        <v>20224</v>
      </c>
      <c r="W32" s="4">
        <v>16794</v>
      </c>
      <c r="X32" s="4">
        <v>18473</v>
      </c>
      <c r="Y32" s="4">
        <v>20320</v>
      </c>
      <c r="Z32" s="4">
        <v>22325</v>
      </c>
      <c r="AA32" s="4">
        <v>24588</v>
      </c>
      <c r="AB32" s="4">
        <v>5.35</v>
      </c>
      <c r="AC32" s="5">
        <f t="shared" si="0"/>
        <v>5</v>
      </c>
      <c r="AD32" s="6">
        <f t="shared" si="2"/>
        <v>1</v>
      </c>
      <c r="AE32" s="5" t="str">
        <f t="shared" si="1"/>
        <v>Realisasi memadai</v>
      </c>
      <c r="AF32" s="7">
        <f t="shared" si="3"/>
        <v>3430</v>
      </c>
      <c r="AG32" s="3" t="s">
        <v>298</v>
      </c>
      <c r="AH32" s="3"/>
      <c r="AI32" s="3" t="s">
        <v>202</v>
      </c>
    </row>
    <row r="33" spans="1:35" s="14" customFormat="1" ht="30" customHeight="1" x14ac:dyDescent="0.35">
      <c r="A33" s="10" t="s">
        <v>214</v>
      </c>
      <c r="B33" s="10" t="s">
        <v>147</v>
      </c>
      <c r="C33" s="10" t="s">
        <v>268</v>
      </c>
      <c r="D33" s="10" t="s">
        <v>269</v>
      </c>
      <c r="E33" s="10" t="s">
        <v>300</v>
      </c>
      <c r="F33" s="10" t="s">
        <v>301</v>
      </c>
      <c r="G33" s="10" t="s">
        <v>49</v>
      </c>
      <c r="H33" s="10" t="s">
        <v>302</v>
      </c>
      <c r="I33" s="10"/>
      <c r="J33" s="10" t="s">
        <v>303</v>
      </c>
      <c r="K33" s="10" t="s">
        <v>304</v>
      </c>
      <c r="L33" s="10" t="s">
        <v>54</v>
      </c>
      <c r="M33" s="10" t="s">
        <v>55</v>
      </c>
      <c r="N33" s="10" t="s">
        <v>297</v>
      </c>
      <c r="O33" s="10" t="s">
        <v>73</v>
      </c>
      <c r="P33" s="10" t="s">
        <v>54</v>
      </c>
      <c r="Q33" s="10" t="s">
        <v>73</v>
      </c>
      <c r="R33" s="11"/>
      <c r="S33" s="11"/>
      <c r="T33" s="11"/>
      <c r="U33" s="11"/>
      <c r="V33" s="11"/>
      <c r="W33" s="11">
        <v>82800000000</v>
      </c>
      <c r="X33" s="11">
        <v>101799072594</v>
      </c>
      <c r="Y33" s="11">
        <v>133110384125</v>
      </c>
      <c r="Z33" s="11">
        <v>133110384125</v>
      </c>
      <c r="AA33" s="11">
        <v>133110384125</v>
      </c>
      <c r="AB33" s="11">
        <v>133110384126</v>
      </c>
      <c r="AC33" s="9">
        <f t="shared" si="0"/>
        <v>0</v>
      </c>
      <c r="AD33" s="12">
        <f t="shared" si="2"/>
        <v>0</v>
      </c>
      <c r="AE33" s="9" t="str">
        <f t="shared" si="1"/>
        <v>Tidak ada realisasi</v>
      </c>
      <c r="AF33" s="13" t="str">
        <f t="shared" si="3"/>
        <v/>
      </c>
      <c r="AG33" s="10" t="s">
        <v>123</v>
      </c>
      <c r="AH33" s="10" t="s">
        <v>305</v>
      </c>
      <c r="AI33" s="10" t="s">
        <v>306</v>
      </c>
    </row>
    <row r="34" spans="1:35" s="14" customFormat="1" ht="30" customHeight="1" x14ac:dyDescent="0.35">
      <c r="A34" s="10" t="s">
        <v>222</v>
      </c>
      <c r="B34" s="10" t="s">
        <v>147</v>
      </c>
      <c r="C34" s="10" t="s">
        <v>268</v>
      </c>
      <c r="D34" s="10" t="s">
        <v>269</v>
      </c>
      <c r="E34" s="10" t="s">
        <v>308</v>
      </c>
      <c r="F34" s="10" t="s">
        <v>309</v>
      </c>
      <c r="G34" s="10" t="s">
        <v>49</v>
      </c>
      <c r="H34" s="10" t="s">
        <v>310</v>
      </c>
      <c r="I34" s="10"/>
      <c r="J34" s="10" t="s">
        <v>311</v>
      </c>
      <c r="K34" s="10" t="s">
        <v>312</v>
      </c>
      <c r="L34" s="10" t="s">
        <v>54</v>
      </c>
      <c r="M34" s="10" t="s">
        <v>55</v>
      </c>
      <c r="N34" s="10" t="s">
        <v>313</v>
      </c>
      <c r="O34" s="10" t="s">
        <v>73</v>
      </c>
      <c r="P34" s="10" t="s">
        <v>54</v>
      </c>
      <c r="Q34" s="10" t="s">
        <v>180</v>
      </c>
      <c r="R34" s="11"/>
      <c r="S34" s="11"/>
      <c r="T34" s="11"/>
      <c r="U34" s="11"/>
      <c r="V34" s="11"/>
      <c r="W34" s="11">
        <v>1.5</v>
      </c>
      <c r="X34" s="11">
        <v>1.97</v>
      </c>
      <c r="Y34" s="11">
        <v>1.99</v>
      </c>
      <c r="Z34" s="11">
        <v>2.0099999999999998</v>
      </c>
      <c r="AA34" s="11">
        <v>2.0299999999999998</v>
      </c>
      <c r="AB34" s="11">
        <v>3.09</v>
      </c>
      <c r="AC34" s="9">
        <f t="shared" si="0"/>
        <v>0</v>
      </c>
      <c r="AD34" s="12">
        <f t="shared" si="2"/>
        <v>0</v>
      </c>
      <c r="AE34" s="9" t="str">
        <f t="shared" si="1"/>
        <v>Tidak ada realisasi</v>
      </c>
      <c r="AF34" s="13" t="str">
        <f t="shared" si="3"/>
        <v/>
      </c>
      <c r="AG34" s="10" t="s">
        <v>123</v>
      </c>
      <c r="AH34" s="10" t="s">
        <v>314</v>
      </c>
      <c r="AI34" s="10" t="s">
        <v>315</v>
      </c>
    </row>
    <row r="35" spans="1:35" s="14" customFormat="1" ht="30" customHeight="1" x14ac:dyDescent="0.35">
      <c r="A35" s="10" t="s">
        <v>228</v>
      </c>
      <c r="B35" s="10" t="s">
        <v>147</v>
      </c>
      <c r="C35" s="10" t="s">
        <v>268</v>
      </c>
      <c r="D35" s="10" t="s">
        <v>269</v>
      </c>
      <c r="E35" s="10" t="s">
        <v>317</v>
      </c>
      <c r="F35" s="10" t="s">
        <v>318</v>
      </c>
      <c r="G35" s="10" t="s">
        <v>86</v>
      </c>
      <c r="H35" s="10" t="s">
        <v>319</v>
      </c>
      <c r="I35" s="10"/>
      <c r="J35" s="10" t="s">
        <v>320</v>
      </c>
      <c r="K35" s="10" t="s">
        <v>321</v>
      </c>
      <c r="L35" s="10" t="s">
        <v>54</v>
      </c>
      <c r="M35" s="10" t="s">
        <v>55</v>
      </c>
      <c r="N35" s="10"/>
      <c r="O35" s="10"/>
      <c r="P35" s="10"/>
      <c r="Q35" s="10"/>
      <c r="R35" s="11"/>
      <c r="S35" s="11"/>
      <c r="T35" s="11"/>
      <c r="U35" s="11"/>
      <c r="V35" s="11"/>
      <c r="W35" s="11"/>
      <c r="X35" s="11"/>
      <c r="Y35" s="11"/>
      <c r="Z35" s="11"/>
      <c r="AA35" s="11"/>
      <c r="AB35" s="11"/>
      <c r="AC35" s="9">
        <f t="shared" si="0"/>
        <v>0</v>
      </c>
      <c r="AD35" s="12">
        <f t="shared" si="2"/>
        <v>0</v>
      </c>
      <c r="AE35" s="9" t="str">
        <f t="shared" si="1"/>
        <v>Tidak ada realisasi</v>
      </c>
      <c r="AF35" s="13" t="str">
        <f t="shared" si="3"/>
        <v/>
      </c>
      <c r="AG35" s="10" t="s">
        <v>183</v>
      </c>
      <c r="AH35" s="10"/>
      <c r="AI35" s="10" t="s">
        <v>184</v>
      </c>
    </row>
    <row r="36" spans="1:35" s="14" customFormat="1" ht="30" customHeight="1" x14ac:dyDescent="0.35">
      <c r="A36" s="10" t="s">
        <v>238</v>
      </c>
      <c r="B36" s="10" t="s">
        <v>147</v>
      </c>
      <c r="C36" s="10" t="s">
        <v>268</v>
      </c>
      <c r="D36" s="10" t="s">
        <v>269</v>
      </c>
      <c r="E36" s="10" t="s">
        <v>323</v>
      </c>
      <c r="F36" s="10" t="s">
        <v>324</v>
      </c>
      <c r="G36" s="10" t="s">
        <v>86</v>
      </c>
      <c r="H36" s="10" t="s">
        <v>325</v>
      </c>
      <c r="I36" s="10"/>
      <c r="J36" s="10" t="s">
        <v>326</v>
      </c>
      <c r="K36" s="10" t="s">
        <v>327</v>
      </c>
      <c r="L36" s="10" t="s">
        <v>328</v>
      </c>
      <c r="M36" s="10" t="s">
        <v>55</v>
      </c>
      <c r="N36" s="10" t="s">
        <v>313</v>
      </c>
      <c r="O36" s="10" t="s">
        <v>73</v>
      </c>
      <c r="P36" s="10" t="s">
        <v>54</v>
      </c>
      <c r="Q36" s="10" t="s">
        <v>180</v>
      </c>
      <c r="R36" s="11"/>
      <c r="S36" s="11"/>
      <c r="T36" s="11"/>
      <c r="U36" s="11"/>
      <c r="V36" s="11"/>
      <c r="W36" s="11">
        <v>3.37</v>
      </c>
      <c r="X36" s="11">
        <v>3.52</v>
      </c>
      <c r="Y36" s="11">
        <v>3.85</v>
      </c>
      <c r="Z36" s="11">
        <v>4.18</v>
      </c>
      <c r="AA36" s="11">
        <v>4.51</v>
      </c>
      <c r="AB36" s="11">
        <v>8</v>
      </c>
      <c r="AC36" s="9">
        <f t="shared" si="0"/>
        <v>0</v>
      </c>
      <c r="AD36" s="12">
        <f t="shared" si="2"/>
        <v>0</v>
      </c>
      <c r="AE36" s="9" t="str">
        <f t="shared" si="1"/>
        <v>Tidak ada realisasi</v>
      </c>
      <c r="AF36" s="13" t="str">
        <f t="shared" si="3"/>
        <v/>
      </c>
      <c r="AG36" s="10" t="s">
        <v>123</v>
      </c>
      <c r="AH36" s="10" t="s">
        <v>266</v>
      </c>
      <c r="AI36" s="10" t="s">
        <v>136</v>
      </c>
    </row>
    <row r="37" spans="1:35" s="14" customFormat="1" ht="30" customHeight="1" x14ac:dyDescent="0.35">
      <c r="A37" s="10" t="s">
        <v>247</v>
      </c>
      <c r="B37" s="10" t="s">
        <v>147</v>
      </c>
      <c r="C37" s="10" t="s">
        <v>268</v>
      </c>
      <c r="D37" s="10" t="s">
        <v>269</v>
      </c>
      <c r="E37" s="10" t="s">
        <v>330</v>
      </c>
      <c r="F37" s="10" t="s">
        <v>331</v>
      </c>
      <c r="G37" s="10" t="s">
        <v>49</v>
      </c>
      <c r="H37" s="10" t="s">
        <v>332</v>
      </c>
      <c r="I37" s="10"/>
      <c r="J37" s="10" t="s">
        <v>333</v>
      </c>
      <c r="K37" s="10" t="s">
        <v>334</v>
      </c>
      <c r="L37" s="10" t="s">
        <v>54</v>
      </c>
      <c r="M37" s="10" t="s">
        <v>55</v>
      </c>
      <c r="N37" s="10" t="s">
        <v>313</v>
      </c>
      <c r="O37" s="10" t="s">
        <v>73</v>
      </c>
      <c r="P37" s="10" t="s">
        <v>54</v>
      </c>
      <c r="Q37" s="10" t="s">
        <v>180</v>
      </c>
      <c r="R37" s="11"/>
      <c r="S37" s="11"/>
      <c r="T37" s="11"/>
      <c r="U37" s="11"/>
      <c r="V37" s="11"/>
      <c r="W37" s="11">
        <v>0.31</v>
      </c>
      <c r="X37" s="11">
        <v>0.41</v>
      </c>
      <c r="Y37" s="11">
        <v>0.47</v>
      </c>
      <c r="Z37" s="11">
        <v>0.49</v>
      </c>
      <c r="AA37" s="11">
        <v>0.52</v>
      </c>
      <c r="AB37" s="11">
        <v>2.17</v>
      </c>
      <c r="AC37" s="9">
        <f t="shared" si="0"/>
        <v>0</v>
      </c>
      <c r="AD37" s="12">
        <f t="shared" si="2"/>
        <v>0</v>
      </c>
      <c r="AE37" s="9" t="str">
        <f t="shared" si="1"/>
        <v>Tidak ada realisasi</v>
      </c>
      <c r="AF37" s="13" t="str">
        <f t="shared" si="3"/>
        <v/>
      </c>
      <c r="AG37" s="10" t="s">
        <v>123</v>
      </c>
      <c r="AH37" s="10" t="s">
        <v>335</v>
      </c>
      <c r="AI37" s="10" t="s">
        <v>136</v>
      </c>
    </row>
    <row r="38" spans="1:35" s="14" customFormat="1" ht="30" customHeight="1" x14ac:dyDescent="0.35">
      <c r="A38" s="10" t="s">
        <v>251</v>
      </c>
      <c r="B38" s="10" t="s">
        <v>147</v>
      </c>
      <c r="C38" s="10" t="s">
        <v>268</v>
      </c>
      <c r="D38" s="10" t="s">
        <v>269</v>
      </c>
      <c r="E38" s="10" t="s">
        <v>337</v>
      </c>
      <c r="F38" s="10" t="s">
        <v>338</v>
      </c>
      <c r="G38" s="10" t="s">
        <v>49</v>
      </c>
      <c r="H38" s="10" t="s">
        <v>339</v>
      </c>
      <c r="I38" s="10"/>
      <c r="J38" s="10" t="s">
        <v>340</v>
      </c>
      <c r="K38" s="10" t="s">
        <v>341</v>
      </c>
      <c r="L38" s="10" t="s">
        <v>54</v>
      </c>
      <c r="M38" s="10" t="s">
        <v>55</v>
      </c>
      <c r="N38" s="10" t="s">
        <v>313</v>
      </c>
      <c r="O38" s="10" t="s">
        <v>57</v>
      </c>
      <c r="P38" s="10" t="s">
        <v>54</v>
      </c>
      <c r="Q38" s="10" t="s">
        <v>73</v>
      </c>
      <c r="R38" s="11"/>
      <c r="S38" s="11"/>
      <c r="T38" s="11"/>
      <c r="U38" s="11"/>
      <c r="V38" s="11"/>
      <c r="W38" s="11">
        <v>0.97</v>
      </c>
      <c r="X38" s="11">
        <v>1.1299999999999999</v>
      </c>
      <c r="Y38" s="11">
        <v>1.29</v>
      </c>
      <c r="Z38" s="11">
        <v>1.45</v>
      </c>
      <c r="AA38" s="11">
        <v>1.61</v>
      </c>
      <c r="AB38" s="11">
        <v>5.17</v>
      </c>
      <c r="AC38" s="9">
        <f t="shared" si="0"/>
        <v>0</v>
      </c>
      <c r="AD38" s="12">
        <f t="shared" si="2"/>
        <v>0</v>
      </c>
      <c r="AE38" s="9" t="str">
        <f t="shared" si="1"/>
        <v>Tidak ada realisasi</v>
      </c>
      <c r="AF38" s="13" t="str">
        <f t="shared" si="3"/>
        <v/>
      </c>
      <c r="AG38" s="10" t="s">
        <v>123</v>
      </c>
      <c r="AH38" s="10" t="s">
        <v>314</v>
      </c>
      <c r="AI38" s="10" t="s">
        <v>136</v>
      </c>
    </row>
    <row r="39" spans="1:35" s="14" customFormat="1" ht="30" customHeight="1" x14ac:dyDescent="0.35">
      <c r="A39" s="10" t="s">
        <v>259</v>
      </c>
      <c r="B39" s="10" t="s">
        <v>147</v>
      </c>
      <c r="C39" s="10" t="s">
        <v>268</v>
      </c>
      <c r="D39" s="10" t="s">
        <v>269</v>
      </c>
      <c r="E39" s="10" t="s">
        <v>343</v>
      </c>
      <c r="F39" s="10" t="s">
        <v>344</v>
      </c>
      <c r="G39" s="10" t="s">
        <v>86</v>
      </c>
      <c r="H39" s="10" t="s">
        <v>345</v>
      </c>
      <c r="I39" s="10" t="s">
        <v>346</v>
      </c>
      <c r="J39" s="10" t="s">
        <v>347</v>
      </c>
      <c r="K39" s="10" t="s">
        <v>348</v>
      </c>
      <c r="L39" s="10" t="s">
        <v>349</v>
      </c>
      <c r="M39" s="10" t="s">
        <v>55</v>
      </c>
      <c r="N39" s="10" t="s">
        <v>56</v>
      </c>
      <c r="O39" s="10" t="s">
        <v>79</v>
      </c>
      <c r="P39" s="10" t="s">
        <v>91</v>
      </c>
      <c r="Q39" s="10" t="s">
        <v>58</v>
      </c>
      <c r="R39" s="11" t="s">
        <v>350</v>
      </c>
      <c r="S39" s="11" t="s">
        <v>351</v>
      </c>
      <c r="T39" s="11" t="s">
        <v>352</v>
      </c>
      <c r="U39" s="11" t="s">
        <v>353</v>
      </c>
      <c r="V39" s="11" t="s">
        <v>354</v>
      </c>
      <c r="W39" s="11">
        <v>3.69</v>
      </c>
      <c r="X39" s="11">
        <v>3.49</v>
      </c>
      <c r="Y39" s="11">
        <v>3.27</v>
      </c>
      <c r="Z39" s="11">
        <v>3.09</v>
      </c>
      <c r="AA39" s="11">
        <v>2.89</v>
      </c>
      <c r="AB39" s="11">
        <v>1.98</v>
      </c>
      <c r="AC39" s="9">
        <f t="shared" si="0"/>
        <v>0</v>
      </c>
      <c r="AD39" s="12">
        <f t="shared" si="2"/>
        <v>0</v>
      </c>
      <c r="AE39" s="9" t="str">
        <f t="shared" si="1"/>
        <v>Tidak ada realisasi</v>
      </c>
      <c r="AF39" s="13" t="str">
        <f t="shared" si="3"/>
        <v/>
      </c>
      <c r="AG39" s="10" t="s">
        <v>355</v>
      </c>
      <c r="AH39" s="10" t="s">
        <v>266</v>
      </c>
      <c r="AI39" s="10" t="s">
        <v>136</v>
      </c>
    </row>
    <row r="40" spans="1:35" s="14" customFormat="1" ht="30" customHeight="1" x14ac:dyDescent="0.35">
      <c r="A40" s="10" t="s">
        <v>267</v>
      </c>
      <c r="B40" s="10" t="s">
        <v>147</v>
      </c>
      <c r="C40" s="10" t="s">
        <v>268</v>
      </c>
      <c r="D40" s="10" t="s">
        <v>269</v>
      </c>
      <c r="E40" s="10" t="s">
        <v>357</v>
      </c>
      <c r="F40" s="19" t="s">
        <v>358</v>
      </c>
      <c r="G40" s="10" t="s">
        <v>86</v>
      </c>
      <c r="H40" s="10"/>
      <c r="I40" s="10"/>
      <c r="J40" s="10"/>
      <c r="K40" s="10"/>
      <c r="L40" s="10"/>
      <c r="M40" s="18" t="s">
        <v>276</v>
      </c>
      <c r="N40" s="10" t="s">
        <v>359</v>
      </c>
      <c r="O40" s="10" t="s">
        <v>79</v>
      </c>
      <c r="P40" s="10" t="s">
        <v>54</v>
      </c>
      <c r="Q40" s="10" t="s">
        <v>73</v>
      </c>
      <c r="R40" s="11"/>
      <c r="S40" s="11"/>
      <c r="T40" s="11"/>
      <c r="U40" s="11"/>
      <c r="V40" s="11"/>
      <c r="W40" s="11">
        <v>50.56</v>
      </c>
      <c r="X40" s="11">
        <v>52.53</v>
      </c>
      <c r="Y40" s="11">
        <v>52.5</v>
      </c>
      <c r="Z40" s="11">
        <v>53.47</v>
      </c>
      <c r="AA40" s="11">
        <v>54.8</v>
      </c>
      <c r="AB40" s="11">
        <v>90</v>
      </c>
      <c r="AC40" s="9">
        <f t="shared" si="0"/>
        <v>0</v>
      </c>
      <c r="AD40" s="12">
        <f t="shared" si="2"/>
        <v>0</v>
      </c>
      <c r="AE40" s="9" t="str">
        <f t="shared" si="1"/>
        <v>Tidak ada realisasi</v>
      </c>
      <c r="AF40" s="13" t="str">
        <f t="shared" si="3"/>
        <v/>
      </c>
      <c r="AG40" s="10" t="s">
        <v>360</v>
      </c>
      <c r="AH40" s="10" t="s">
        <v>361</v>
      </c>
      <c r="AI40" s="10" t="s">
        <v>136</v>
      </c>
    </row>
    <row r="41" spans="1:35" ht="30" customHeight="1" x14ac:dyDescent="0.35">
      <c r="A41" s="3" t="s">
        <v>273</v>
      </c>
      <c r="B41" s="3" t="s">
        <v>147</v>
      </c>
      <c r="C41" s="3" t="s">
        <v>268</v>
      </c>
      <c r="D41" s="3" t="s">
        <v>269</v>
      </c>
      <c r="E41" s="3" t="s">
        <v>363</v>
      </c>
      <c r="F41" s="3" t="s">
        <v>364</v>
      </c>
      <c r="G41" s="3" t="s">
        <v>86</v>
      </c>
      <c r="H41" s="3" t="s">
        <v>365</v>
      </c>
      <c r="I41" s="3" t="s">
        <v>366</v>
      </c>
      <c r="J41" s="3" t="s">
        <v>367</v>
      </c>
      <c r="K41" s="3" t="s">
        <v>348</v>
      </c>
      <c r="L41" s="3" t="s">
        <v>349</v>
      </c>
      <c r="M41" s="3" t="s">
        <v>55</v>
      </c>
      <c r="N41" s="3" t="s">
        <v>56</v>
      </c>
      <c r="O41" s="3" t="s">
        <v>79</v>
      </c>
      <c r="P41" s="3" t="s">
        <v>91</v>
      </c>
      <c r="Q41" s="3" t="s">
        <v>58</v>
      </c>
      <c r="R41" s="4">
        <v>48.44</v>
      </c>
      <c r="S41" s="4">
        <v>49.3</v>
      </c>
      <c r="T41" s="4">
        <v>53.6</v>
      </c>
      <c r="U41" s="4">
        <v>52.14</v>
      </c>
      <c r="V41" s="4">
        <v>52.26</v>
      </c>
      <c r="W41" s="4">
        <v>53.56</v>
      </c>
      <c r="X41" s="4">
        <v>54.98</v>
      </c>
      <c r="Y41" s="4">
        <v>56.4</v>
      </c>
      <c r="Z41" s="4">
        <v>57.82</v>
      </c>
      <c r="AA41" s="4">
        <v>58.05</v>
      </c>
      <c r="AB41" s="4">
        <v>63.8</v>
      </c>
      <c r="AC41" s="5">
        <f t="shared" si="0"/>
        <v>5</v>
      </c>
      <c r="AD41" s="6">
        <f t="shared" si="2"/>
        <v>1</v>
      </c>
      <c r="AE41" s="5" t="str">
        <f t="shared" si="1"/>
        <v>Realisasi memadai</v>
      </c>
      <c r="AF41" s="7">
        <f t="shared" si="3"/>
        <v>-1.3000000000000043</v>
      </c>
      <c r="AG41" s="3" t="s">
        <v>92</v>
      </c>
      <c r="AH41" s="3" t="s">
        <v>266</v>
      </c>
      <c r="AI41" s="3" t="s">
        <v>136</v>
      </c>
    </row>
    <row r="42" spans="1:35" ht="30" customHeight="1" x14ac:dyDescent="0.35">
      <c r="A42" s="3" t="s">
        <v>279</v>
      </c>
      <c r="B42" s="3" t="s">
        <v>147</v>
      </c>
      <c r="C42" s="3" t="s">
        <v>268</v>
      </c>
      <c r="D42" s="3" t="s">
        <v>269</v>
      </c>
      <c r="E42" s="3" t="s">
        <v>369</v>
      </c>
      <c r="F42" s="17" t="s">
        <v>370</v>
      </c>
      <c r="G42" s="3" t="s">
        <v>49</v>
      </c>
      <c r="H42" s="3"/>
      <c r="I42" s="3"/>
      <c r="J42" s="3"/>
      <c r="K42" s="3"/>
      <c r="L42" s="3"/>
      <c r="M42" s="17" t="s">
        <v>276</v>
      </c>
      <c r="N42" s="3" t="s">
        <v>112</v>
      </c>
      <c r="O42" s="3" t="s">
        <v>57</v>
      </c>
      <c r="P42" s="3" t="s">
        <v>54</v>
      </c>
      <c r="Q42" s="3" t="s">
        <v>58</v>
      </c>
      <c r="R42" s="4">
        <v>39.36</v>
      </c>
      <c r="S42" s="4">
        <v>46.37</v>
      </c>
      <c r="T42" s="4">
        <v>45.86</v>
      </c>
      <c r="U42" s="4">
        <v>53.35</v>
      </c>
      <c r="V42" s="4">
        <v>50.84</v>
      </c>
      <c r="W42" s="4">
        <v>58.45</v>
      </c>
      <c r="X42" s="4">
        <v>60.01</v>
      </c>
      <c r="Y42" s="4">
        <v>61</v>
      </c>
      <c r="Z42" s="4">
        <v>62.4</v>
      </c>
      <c r="AA42" s="4">
        <v>65.010000000000005</v>
      </c>
      <c r="AB42" s="4">
        <v>63.8</v>
      </c>
      <c r="AC42" s="5">
        <f t="shared" si="0"/>
        <v>5</v>
      </c>
      <c r="AD42" s="6">
        <f t="shared" si="2"/>
        <v>1</v>
      </c>
      <c r="AE42" s="5" t="str">
        <f t="shared" si="1"/>
        <v>Realisasi memadai</v>
      </c>
      <c r="AF42" s="7">
        <f t="shared" si="3"/>
        <v>-7.6099999999999994</v>
      </c>
      <c r="AG42" s="3" t="s">
        <v>277</v>
      </c>
      <c r="AH42" s="3" t="s">
        <v>371</v>
      </c>
      <c r="AI42" s="3" t="s">
        <v>136</v>
      </c>
    </row>
    <row r="43" spans="1:35" s="14" customFormat="1" ht="30" customHeight="1" x14ac:dyDescent="0.35">
      <c r="A43" s="10" t="s">
        <v>284</v>
      </c>
      <c r="B43" s="10" t="s">
        <v>147</v>
      </c>
      <c r="C43" s="10" t="s">
        <v>268</v>
      </c>
      <c r="D43" s="10" t="s">
        <v>373</v>
      </c>
      <c r="E43" s="10" t="s">
        <v>374</v>
      </c>
      <c r="F43" s="10" t="s">
        <v>375</v>
      </c>
      <c r="G43" s="10" t="s">
        <v>86</v>
      </c>
      <c r="H43" s="10" t="s">
        <v>376</v>
      </c>
      <c r="I43" s="10"/>
      <c r="J43" s="10" t="s">
        <v>377</v>
      </c>
      <c r="K43" s="10" t="s">
        <v>378</v>
      </c>
      <c r="L43" s="10" t="s">
        <v>54</v>
      </c>
      <c r="M43" s="10" t="s">
        <v>55</v>
      </c>
      <c r="N43" s="10" t="s">
        <v>379</v>
      </c>
      <c r="O43" s="10" t="s">
        <v>57</v>
      </c>
      <c r="P43" s="10" t="s">
        <v>54</v>
      </c>
      <c r="Q43" s="10" t="s">
        <v>74</v>
      </c>
      <c r="R43" s="11"/>
      <c r="S43" s="11"/>
      <c r="T43" s="11"/>
      <c r="U43" s="11"/>
      <c r="V43" s="11"/>
      <c r="W43" s="11">
        <v>70.47</v>
      </c>
      <c r="X43" s="11">
        <v>71.78</v>
      </c>
      <c r="Y43" s="11">
        <v>73.790000000000006</v>
      </c>
      <c r="Z43" s="11">
        <v>75.930000000000007</v>
      </c>
      <c r="AA43" s="11">
        <v>77.14</v>
      </c>
      <c r="AB43" s="11">
        <v>93.78</v>
      </c>
      <c r="AC43" s="9">
        <f t="shared" si="0"/>
        <v>0</v>
      </c>
      <c r="AD43" s="12">
        <f t="shared" si="2"/>
        <v>0</v>
      </c>
      <c r="AE43" s="9" t="str">
        <f t="shared" si="1"/>
        <v>Tidak ada realisasi</v>
      </c>
      <c r="AF43" s="13" t="str">
        <f t="shared" si="3"/>
        <v/>
      </c>
      <c r="AG43" s="10" t="s">
        <v>123</v>
      </c>
      <c r="AH43" s="10" t="s">
        <v>380</v>
      </c>
      <c r="AI43" s="10" t="s">
        <v>136</v>
      </c>
    </row>
    <row r="44" spans="1:35" s="14" customFormat="1" ht="30" customHeight="1" x14ac:dyDescent="0.35">
      <c r="A44" s="10" t="s">
        <v>291</v>
      </c>
      <c r="B44" s="10" t="s">
        <v>147</v>
      </c>
      <c r="C44" s="10" t="s">
        <v>268</v>
      </c>
      <c r="D44" s="10" t="s">
        <v>373</v>
      </c>
      <c r="E44" s="10" t="s">
        <v>382</v>
      </c>
      <c r="F44" s="10" t="s">
        <v>383</v>
      </c>
      <c r="G44" s="10" t="s">
        <v>86</v>
      </c>
      <c r="H44" s="10" t="s">
        <v>384</v>
      </c>
      <c r="I44" s="10"/>
      <c r="J44" s="10" t="s">
        <v>385</v>
      </c>
      <c r="K44" s="10" t="s">
        <v>386</v>
      </c>
      <c r="L44" s="10" t="s">
        <v>54</v>
      </c>
      <c r="M44" s="10" t="s">
        <v>55</v>
      </c>
      <c r="N44" s="10" t="s">
        <v>387</v>
      </c>
      <c r="O44" s="10" t="s">
        <v>57</v>
      </c>
      <c r="P44" s="10" t="s">
        <v>54</v>
      </c>
      <c r="Q44" s="10" t="s">
        <v>180</v>
      </c>
      <c r="R44" s="11"/>
      <c r="S44" s="11"/>
      <c r="T44" s="11"/>
      <c r="U44" s="11"/>
      <c r="V44" s="11"/>
      <c r="W44" s="11">
        <v>25.5</v>
      </c>
      <c r="X44" s="11">
        <v>29.5</v>
      </c>
      <c r="Y44" s="11">
        <v>33.9</v>
      </c>
      <c r="Z44" s="11">
        <v>38.6</v>
      </c>
      <c r="AA44" s="11">
        <v>43.3</v>
      </c>
      <c r="AB44" s="11">
        <v>72</v>
      </c>
      <c r="AC44" s="9">
        <f t="shared" si="0"/>
        <v>0</v>
      </c>
      <c r="AD44" s="12">
        <f t="shared" si="2"/>
        <v>0</v>
      </c>
      <c r="AE44" s="9" t="str">
        <f t="shared" si="1"/>
        <v>Tidak ada realisasi</v>
      </c>
      <c r="AF44" s="13" t="str">
        <f t="shared" si="3"/>
        <v/>
      </c>
      <c r="AG44" s="10" t="s">
        <v>123</v>
      </c>
      <c r="AH44" s="10" t="s">
        <v>388</v>
      </c>
      <c r="AI44" s="10" t="s">
        <v>136</v>
      </c>
    </row>
    <row r="45" spans="1:35" s="14" customFormat="1" ht="30" customHeight="1" x14ac:dyDescent="0.35">
      <c r="A45" s="10" t="s">
        <v>299</v>
      </c>
      <c r="B45" s="10" t="s">
        <v>147</v>
      </c>
      <c r="C45" s="10" t="s">
        <v>268</v>
      </c>
      <c r="D45" s="10" t="s">
        <v>390</v>
      </c>
      <c r="E45" s="10" t="s">
        <v>391</v>
      </c>
      <c r="F45" s="10" t="s">
        <v>392</v>
      </c>
      <c r="G45" s="10" t="s">
        <v>49</v>
      </c>
      <c r="H45" s="10" t="s">
        <v>393</v>
      </c>
      <c r="I45" s="10"/>
      <c r="J45" s="10" t="s">
        <v>394</v>
      </c>
      <c r="K45" s="10" t="s">
        <v>395</v>
      </c>
      <c r="L45" s="10" t="s">
        <v>54</v>
      </c>
      <c r="M45" s="10" t="s">
        <v>55</v>
      </c>
      <c r="N45" s="10" t="s">
        <v>396</v>
      </c>
      <c r="O45" s="10" t="s">
        <v>57</v>
      </c>
      <c r="P45" s="10" t="s">
        <v>54</v>
      </c>
      <c r="Q45" s="10" t="s">
        <v>180</v>
      </c>
      <c r="R45" s="11"/>
      <c r="S45" s="11"/>
      <c r="T45" s="11"/>
      <c r="U45" s="11"/>
      <c r="V45" s="11"/>
      <c r="W45" s="11">
        <v>6.5</v>
      </c>
      <c r="X45" s="11">
        <v>6.63</v>
      </c>
      <c r="Y45" s="11">
        <v>6.75</v>
      </c>
      <c r="Z45" s="11">
        <v>6.88</v>
      </c>
      <c r="AA45" s="11">
        <v>7</v>
      </c>
      <c r="AB45" s="11">
        <v>7.8</v>
      </c>
      <c r="AC45" s="9">
        <f t="shared" si="0"/>
        <v>0</v>
      </c>
      <c r="AD45" s="12">
        <f t="shared" si="2"/>
        <v>0</v>
      </c>
      <c r="AE45" s="9" t="str">
        <f t="shared" si="1"/>
        <v>Tidak ada realisasi</v>
      </c>
      <c r="AF45" s="13" t="str">
        <f t="shared" si="3"/>
        <v/>
      </c>
      <c r="AG45" s="10" t="s">
        <v>123</v>
      </c>
      <c r="AH45" s="10" t="s">
        <v>397</v>
      </c>
      <c r="AI45" s="10" t="s">
        <v>202</v>
      </c>
    </row>
    <row r="46" spans="1:35" s="14" customFormat="1" ht="30" customHeight="1" x14ac:dyDescent="0.35">
      <c r="A46" s="10" t="s">
        <v>307</v>
      </c>
      <c r="B46" s="10" t="s">
        <v>147</v>
      </c>
      <c r="C46" s="10" t="s">
        <v>268</v>
      </c>
      <c r="D46" s="10" t="s">
        <v>399</v>
      </c>
      <c r="E46" s="10" t="s">
        <v>400</v>
      </c>
      <c r="F46" s="10" t="s">
        <v>401</v>
      </c>
      <c r="G46" s="10" t="s">
        <v>49</v>
      </c>
      <c r="H46" s="10" t="s">
        <v>402</v>
      </c>
      <c r="I46" s="10" t="s">
        <v>403</v>
      </c>
      <c r="J46" s="10" t="s">
        <v>404</v>
      </c>
      <c r="K46" s="10" t="s">
        <v>405</v>
      </c>
      <c r="L46" s="10" t="s">
        <v>54</v>
      </c>
      <c r="M46" s="10" t="s">
        <v>55</v>
      </c>
      <c r="N46" s="10" t="s">
        <v>406</v>
      </c>
      <c r="O46" s="10" t="s">
        <v>73</v>
      </c>
      <c r="P46" s="10" t="s">
        <v>54</v>
      </c>
      <c r="Q46" s="10" t="s">
        <v>73</v>
      </c>
      <c r="R46" s="11"/>
      <c r="S46" s="11"/>
      <c r="T46" s="11"/>
      <c r="U46" s="11"/>
      <c r="V46" s="11"/>
      <c r="W46" s="11">
        <v>8.4</v>
      </c>
      <c r="X46" s="11">
        <v>8.27</v>
      </c>
      <c r="Y46" s="11">
        <v>8.15</v>
      </c>
      <c r="Z46" s="11">
        <v>8.02</v>
      </c>
      <c r="AA46" s="11">
        <v>7.9</v>
      </c>
      <c r="AB46" s="11">
        <v>2.82</v>
      </c>
      <c r="AC46" s="9">
        <f t="shared" si="0"/>
        <v>0</v>
      </c>
      <c r="AD46" s="12">
        <f t="shared" si="2"/>
        <v>0</v>
      </c>
      <c r="AE46" s="9" t="str">
        <f t="shared" si="1"/>
        <v>Tidak ada realisasi</v>
      </c>
      <c r="AF46" s="13" t="str">
        <f t="shared" si="3"/>
        <v/>
      </c>
      <c r="AG46" s="10" t="s">
        <v>123</v>
      </c>
      <c r="AH46" s="10" t="s">
        <v>407</v>
      </c>
      <c r="AI46" s="10" t="s">
        <v>202</v>
      </c>
    </row>
    <row r="47" spans="1:35" ht="30" customHeight="1" x14ac:dyDescent="0.35">
      <c r="A47" s="3" t="s">
        <v>316</v>
      </c>
      <c r="B47" s="3" t="s">
        <v>147</v>
      </c>
      <c r="C47" s="3" t="s">
        <v>268</v>
      </c>
      <c r="D47" s="3" t="s">
        <v>399</v>
      </c>
      <c r="E47" s="3" t="s">
        <v>409</v>
      </c>
      <c r="F47" s="3" t="s">
        <v>410</v>
      </c>
      <c r="G47" s="3" t="s">
        <v>86</v>
      </c>
      <c r="H47" s="3" t="s">
        <v>411</v>
      </c>
      <c r="I47" s="3" t="s">
        <v>412</v>
      </c>
      <c r="J47" s="3" t="s">
        <v>413</v>
      </c>
      <c r="K47" s="3" t="s">
        <v>53</v>
      </c>
      <c r="L47" s="3" t="s">
        <v>414</v>
      </c>
      <c r="M47" s="3" t="s">
        <v>55</v>
      </c>
      <c r="N47" s="3" t="s">
        <v>56</v>
      </c>
      <c r="O47" s="3" t="s">
        <v>79</v>
      </c>
      <c r="P47" s="3" t="s">
        <v>107</v>
      </c>
      <c r="Q47" s="3" t="s">
        <v>58</v>
      </c>
      <c r="R47" s="4">
        <v>28.5</v>
      </c>
      <c r="S47" s="4">
        <v>24.39</v>
      </c>
      <c r="T47" s="4">
        <v>26.01</v>
      </c>
      <c r="U47" s="4">
        <v>28.48</v>
      </c>
      <c r="V47" s="4">
        <v>28.38</v>
      </c>
      <c r="W47" s="4">
        <v>26.2</v>
      </c>
      <c r="X47" s="4">
        <v>27</v>
      </c>
      <c r="Y47" s="4">
        <v>27.79</v>
      </c>
      <c r="Z47" s="4">
        <v>28.59</v>
      </c>
      <c r="AA47" s="4">
        <v>29.38</v>
      </c>
      <c r="AB47" s="4">
        <v>22.03</v>
      </c>
      <c r="AC47" s="5">
        <f t="shared" si="0"/>
        <v>5</v>
      </c>
      <c r="AD47" s="6">
        <f t="shared" si="2"/>
        <v>1</v>
      </c>
      <c r="AE47" s="5" t="str">
        <f t="shared" si="1"/>
        <v>Realisasi memadai</v>
      </c>
      <c r="AF47" s="7">
        <f t="shared" si="3"/>
        <v>2.1799999999999997</v>
      </c>
      <c r="AG47" s="3"/>
      <c r="AH47" s="3" t="s">
        <v>415</v>
      </c>
      <c r="AI47" s="3" t="s">
        <v>136</v>
      </c>
    </row>
    <row r="48" spans="1:35" ht="30" customHeight="1" x14ac:dyDescent="0.35">
      <c r="A48" s="3" t="s">
        <v>322</v>
      </c>
      <c r="B48" s="3" t="s">
        <v>147</v>
      </c>
      <c r="C48" s="3" t="s">
        <v>268</v>
      </c>
      <c r="D48" s="3" t="s">
        <v>399</v>
      </c>
      <c r="E48" s="3" t="s">
        <v>417</v>
      </c>
      <c r="F48" s="3" t="s">
        <v>418</v>
      </c>
      <c r="G48" s="3" t="s">
        <v>49</v>
      </c>
      <c r="H48" s="3" t="s">
        <v>419</v>
      </c>
      <c r="I48" s="3" t="s">
        <v>420</v>
      </c>
      <c r="J48" s="3" t="s">
        <v>421</v>
      </c>
      <c r="K48" s="3" t="s">
        <v>53</v>
      </c>
      <c r="L48" s="3" t="s">
        <v>54</v>
      </c>
      <c r="M48" s="3" t="s">
        <v>55</v>
      </c>
      <c r="N48" s="3" t="s">
        <v>56</v>
      </c>
      <c r="O48" s="3" t="s">
        <v>79</v>
      </c>
      <c r="P48" s="3" t="s">
        <v>422</v>
      </c>
      <c r="Q48" s="3" t="s">
        <v>58</v>
      </c>
      <c r="R48" s="4">
        <v>80.760000000000005</v>
      </c>
      <c r="S48" s="4">
        <v>84.39</v>
      </c>
      <c r="T48" s="4">
        <v>86.45</v>
      </c>
      <c r="U48" s="4">
        <v>84.86</v>
      </c>
      <c r="V48" s="4">
        <v>85.79</v>
      </c>
      <c r="W48" s="4">
        <v>20.32</v>
      </c>
      <c r="X48" s="4">
        <v>20.96</v>
      </c>
      <c r="Y48" s="4">
        <v>21.6</v>
      </c>
      <c r="Z48" s="4">
        <v>22.64</v>
      </c>
      <c r="AA48" s="4">
        <v>22.88</v>
      </c>
      <c r="AB48" s="4">
        <v>44.48</v>
      </c>
      <c r="AC48" s="5">
        <f t="shared" si="0"/>
        <v>5</v>
      </c>
      <c r="AD48" s="6">
        <f t="shared" si="2"/>
        <v>1</v>
      </c>
      <c r="AE48" s="5" t="str">
        <f t="shared" si="1"/>
        <v>Realisasi memadai</v>
      </c>
      <c r="AF48" s="7">
        <f t="shared" si="3"/>
        <v>65.47</v>
      </c>
      <c r="AG48" s="3"/>
      <c r="AH48" s="3" t="s">
        <v>415</v>
      </c>
      <c r="AI48" s="3" t="s">
        <v>136</v>
      </c>
    </row>
    <row r="49" spans="1:35" ht="30" customHeight="1" x14ac:dyDescent="0.35">
      <c r="A49" s="3" t="s">
        <v>329</v>
      </c>
      <c r="B49" s="3" t="s">
        <v>147</v>
      </c>
      <c r="C49" s="3" t="s">
        <v>268</v>
      </c>
      <c r="D49" s="3" t="s">
        <v>423</v>
      </c>
      <c r="E49" s="3" t="s">
        <v>425</v>
      </c>
      <c r="F49" s="3" t="s">
        <v>426</v>
      </c>
      <c r="G49" s="3" t="s">
        <v>86</v>
      </c>
      <c r="H49" s="3" t="s">
        <v>427</v>
      </c>
      <c r="I49" s="3" t="s">
        <v>428</v>
      </c>
      <c r="J49" s="3" t="s">
        <v>429</v>
      </c>
      <c r="K49" s="3" t="s">
        <v>430</v>
      </c>
      <c r="L49" s="3" t="s">
        <v>54</v>
      </c>
      <c r="M49" s="3" t="s">
        <v>55</v>
      </c>
      <c r="N49" s="3" t="s">
        <v>56</v>
      </c>
      <c r="O49" s="3" t="s">
        <v>79</v>
      </c>
      <c r="P49" s="3" t="s">
        <v>54</v>
      </c>
      <c r="Q49" s="3" t="s">
        <v>58</v>
      </c>
      <c r="R49" s="4">
        <v>65.650000000000006</v>
      </c>
      <c r="S49" s="4">
        <v>67.209999999999994</v>
      </c>
      <c r="T49" s="4">
        <v>71.430000000000007</v>
      </c>
      <c r="U49" s="4">
        <v>69.650000000000006</v>
      </c>
      <c r="V49" s="4">
        <v>74.86</v>
      </c>
      <c r="W49" s="4">
        <v>74.849999999999994</v>
      </c>
      <c r="X49" s="4">
        <v>76.42</v>
      </c>
      <c r="Y49" s="4">
        <v>78</v>
      </c>
      <c r="Z49" s="4">
        <v>79.569999999999993</v>
      </c>
      <c r="AA49" s="4">
        <v>81.14</v>
      </c>
      <c r="AB49" s="4">
        <v>100</v>
      </c>
      <c r="AC49" s="5">
        <f t="shared" si="0"/>
        <v>5</v>
      </c>
      <c r="AD49" s="6">
        <f t="shared" si="2"/>
        <v>1</v>
      </c>
      <c r="AE49" s="5" t="str">
        <f t="shared" si="1"/>
        <v>Realisasi memadai</v>
      </c>
      <c r="AF49" s="7">
        <f t="shared" si="3"/>
        <v>1.0000000000005116E-2</v>
      </c>
      <c r="AG49" s="3"/>
      <c r="AH49" s="3" t="s">
        <v>431</v>
      </c>
      <c r="AI49" s="3" t="s">
        <v>136</v>
      </c>
    </row>
    <row r="50" spans="1:35" ht="30" customHeight="1" x14ac:dyDescent="0.35">
      <c r="A50" s="3" t="s">
        <v>336</v>
      </c>
      <c r="B50" s="3" t="s">
        <v>147</v>
      </c>
      <c r="C50" s="3" t="s">
        <v>268</v>
      </c>
      <c r="D50" s="3" t="s">
        <v>423</v>
      </c>
      <c r="E50" s="3" t="s">
        <v>433</v>
      </c>
      <c r="F50" s="3" t="s">
        <v>434</v>
      </c>
      <c r="G50" s="3" t="s">
        <v>86</v>
      </c>
      <c r="H50" s="3" t="s">
        <v>435</v>
      </c>
      <c r="I50" s="3" t="s">
        <v>436</v>
      </c>
      <c r="J50" s="3" t="s">
        <v>437</v>
      </c>
      <c r="K50" s="3" t="s">
        <v>438</v>
      </c>
      <c r="L50" s="3" t="s">
        <v>54</v>
      </c>
      <c r="M50" s="3" t="s">
        <v>55</v>
      </c>
      <c r="N50" s="3" t="s">
        <v>439</v>
      </c>
      <c r="O50" s="3" t="s">
        <v>57</v>
      </c>
      <c r="P50" s="3" t="s">
        <v>54</v>
      </c>
      <c r="Q50" s="3" t="s">
        <v>58</v>
      </c>
      <c r="R50" s="4">
        <v>6.94</v>
      </c>
      <c r="S50" s="4">
        <v>8.7200000000000006</v>
      </c>
      <c r="T50" s="4">
        <v>12.98</v>
      </c>
      <c r="U50" s="4">
        <v>16.11</v>
      </c>
      <c r="V50" s="4">
        <v>17.23</v>
      </c>
      <c r="W50" s="4">
        <v>17.23</v>
      </c>
      <c r="X50" s="4">
        <v>18.12</v>
      </c>
      <c r="Y50" s="4">
        <v>19.02</v>
      </c>
      <c r="Z50" s="4">
        <v>19.690000000000001</v>
      </c>
      <c r="AA50" s="4">
        <v>20.36</v>
      </c>
      <c r="AB50" s="4">
        <v>9.4</v>
      </c>
      <c r="AC50" s="5">
        <f t="shared" si="0"/>
        <v>5</v>
      </c>
      <c r="AD50" s="6">
        <f t="shared" si="2"/>
        <v>1</v>
      </c>
      <c r="AE50" s="5" t="str">
        <f t="shared" si="1"/>
        <v>Realisasi memadai</v>
      </c>
      <c r="AF50" s="7">
        <f t="shared" si="3"/>
        <v>0</v>
      </c>
      <c r="AG50" s="3"/>
      <c r="AH50" s="3" t="s">
        <v>440</v>
      </c>
      <c r="AI50" s="3" t="s">
        <v>136</v>
      </c>
    </row>
    <row r="51" spans="1:35" s="14" customFormat="1" ht="30" customHeight="1" x14ac:dyDescent="0.35">
      <c r="A51" s="10" t="s">
        <v>342</v>
      </c>
      <c r="B51" s="10" t="s">
        <v>147</v>
      </c>
      <c r="C51" s="10" t="s">
        <v>442</v>
      </c>
      <c r="D51" s="10" t="s">
        <v>443</v>
      </c>
      <c r="E51" s="10" t="s">
        <v>444</v>
      </c>
      <c r="F51" s="10" t="s">
        <v>445</v>
      </c>
      <c r="G51" s="10" t="s">
        <v>49</v>
      </c>
      <c r="H51" s="10" t="s">
        <v>446</v>
      </c>
      <c r="I51" s="10" t="s">
        <v>447</v>
      </c>
      <c r="J51" s="10" t="s">
        <v>448</v>
      </c>
      <c r="K51" s="10" t="s">
        <v>449</v>
      </c>
      <c r="L51" s="10" t="s">
        <v>54</v>
      </c>
      <c r="M51" s="10" t="s">
        <v>55</v>
      </c>
      <c r="N51" s="10" t="s">
        <v>450</v>
      </c>
      <c r="O51" s="10" t="s">
        <v>57</v>
      </c>
      <c r="P51" s="10" t="s">
        <v>54</v>
      </c>
      <c r="Q51" s="10" t="s">
        <v>58</v>
      </c>
      <c r="R51" s="11"/>
      <c r="S51" s="11"/>
      <c r="T51" s="11"/>
      <c r="U51" s="11"/>
      <c r="V51" s="11"/>
      <c r="W51" s="11">
        <v>97</v>
      </c>
      <c r="X51" s="11">
        <v>97.4</v>
      </c>
      <c r="Y51" s="11">
        <v>98.4</v>
      </c>
      <c r="Z51" s="11">
        <v>98.7</v>
      </c>
      <c r="AA51" s="11">
        <v>99</v>
      </c>
      <c r="AB51" s="11">
        <v>100</v>
      </c>
      <c r="AC51" s="9">
        <f t="shared" si="0"/>
        <v>0</v>
      </c>
      <c r="AD51" s="12">
        <f t="shared" si="2"/>
        <v>0</v>
      </c>
      <c r="AE51" s="9" t="str">
        <f t="shared" si="1"/>
        <v>Tidak ada realisasi</v>
      </c>
      <c r="AF51" s="13" t="str">
        <f t="shared" si="3"/>
        <v/>
      </c>
      <c r="AG51" s="10" t="s">
        <v>123</v>
      </c>
      <c r="AH51" s="10" t="s">
        <v>124</v>
      </c>
      <c r="AI51" s="10" t="s">
        <v>202</v>
      </c>
    </row>
    <row r="52" spans="1:35" ht="30" customHeight="1" x14ac:dyDescent="0.35">
      <c r="A52" s="3" t="s">
        <v>356</v>
      </c>
      <c r="B52" s="3" t="s">
        <v>147</v>
      </c>
      <c r="C52" s="3" t="s">
        <v>442</v>
      </c>
      <c r="D52" s="3" t="s">
        <v>443</v>
      </c>
      <c r="E52" s="3" t="s">
        <v>452</v>
      </c>
      <c r="F52" s="3" t="s">
        <v>453</v>
      </c>
      <c r="G52" s="3" t="s">
        <v>86</v>
      </c>
      <c r="H52" s="3" t="s">
        <v>454</v>
      </c>
      <c r="I52" s="3" t="s">
        <v>455</v>
      </c>
      <c r="J52" s="3" t="s">
        <v>456</v>
      </c>
      <c r="K52" s="3" t="s">
        <v>457</v>
      </c>
      <c r="L52" s="3" t="s">
        <v>54</v>
      </c>
      <c r="M52" s="3" t="s">
        <v>55</v>
      </c>
      <c r="N52" s="3" t="s">
        <v>439</v>
      </c>
      <c r="O52" s="3" t="s">
        <v>79</v>
      </c>
      <c r="P52" s="3" t="s">
        <v>54</v>
      </c>
      <c r="Q52" s="3" t="s">
        <v>58</v>
      </c>
      <c r="R52" s="4">
        <v>2.38</v>
      </c>
      <c r="S52" s="4">
        <v>1.98</v>
      </c>
      <c r="T52" s="4">
        <v>2.83</v>
      </c>
      <c r="U52" s="4">
        <v>3.79</v>
      </c>
      <c r="V52" s="4"/>
      <c r="W52" s="4">
        <v>3.79</v>
      </c>
      <c r="X52" s="4">
        <v>3.8</v>
      </c>
      <c r="Y52" s="4">
        <v>3.84</v>
      </c>
      <c r="Z52" s="4">
        <v>3.9</v>
      </c>
      <c r="AA52" s="4">
        <v>3.96</v>
      </c>
      <c r="AB52" s="4">
        <v>5</v>
      </c>
      <c r="AC52" s="5">
        <f t="shared" si="0"/>
        <v>4</v>
      </c>
      <c r="AD52" s="6">
        <f t="shared" si="2"/>
        <v>0.8</v>
      </c>
      <c r="AE52" s="5" t="str">
        <f t="shared" si="1"/>
        <v>Realisasi memadai</v>
      </c>
      <c r="AF52" s="7" t="str">
        <f t="shared" si="3"/>
        <v/>
      </c>
      <c r="AG52" s="3"/>
      <c r="AH52" s="3" t="s">
        <v>458</v>
      </c>
      <c r="AI52" s="3" t="s">
        <v>136</v>
      </c>
    </row>
    <row r="53" spans="1:35" ht="30" customHeight="1" x14ac:dyDescent="0.35">
      <c r="A53" s="3" t="s">
        <v>362</v>
      </c>
      <c r="B53" s="3" t="s">
        <v>147</v>
      </c>
      <c r="C53" s="3" t="s">
        <v>442</v>
      </c>
      <c r="D53" s="3" t="s">
        <v>443</v>
      </c>
      <c r="E53" s="3" t="s">
        <v>460</v>
      </c>
      <c r="F53" s="3" t="s">
        <v>461</v>
      </c>
      <c r="G53" s="3" t="s">
        <v>86</v>
      </c>
      <c r="H53" s="3" t="s">
        <v>462</v>
      </c>
      <c r="I53" s="3" t="s">
        <v>463</v>
      </c>
      <c r="J53" s="3" t="s">
        <v>464</v>
      </c>
      <c r="K53" s="3" t="s">
        <v>457</v>
      </c>
      <c r="L53" s="3" t="s">
        <v>54</v>
      </c>
      <c r="M53" s="3" t="s">
        <v>55</v>
      </c>
      <c r="N53" s="3" t="s">
        <v>439</v>
      </c>
      <c r="O53" s="3" t="s">
        <v>135</v>
      </c>
      <c r="P53" s="3" t="s">
        <v>54</v>
      </c>
      <c r="Q53" s="3" t="s">
        <v>58</v>
      </c>
      <c r="R53" s="4">
        <v>3.44</v>
      </c>
      <c r="S53" s="4">
        <v>4.0599999999999996</v>
      </c>
      <c r="T53" s="4">
        <v>3.41</v>
      </c>
      <c r="U53" s="4">
        <v>4.22</v>
      </c>
      <c r="V53" s="4">
        <v>3.86</v>
      </c>
      <c r="W53" s="4">
        <v>4.25</v>
      </c>
      <c r="X53" s="4">
        <v>4.3</v>
      </c>
      <c r="Y53" s="4">
        <v>4.32</v>
      </c>
      <c r="Z53" s="4">
        <v>4.3600000000000003</v>
      </c>
      <c r="AA53" s="4">
        <v>3.57</v>
      </c>
      <c r="AB53" s="4">
        <v>5</v>
      </c>
      <c r="AC53" s="5">
        <f t="shared" si="0"/>
        <v>5</v>
      </c>
      <c r="AD53" s="6">
        <f t="shared" si="2"/>
        <v>1</v>
      </c>
      <c r="AE53" s="5" t="str">
        <f t="shared" si="1"/>
        <v>Realisasi memadai</v>
      </c>
      <c r="AF53" s="7">
        <f t="shared" si="3"/>
        <v>-0.39000000000000012</v>
      </c>
      <c r="AG53" s="3"/>
      <c r="AH53" s="3" t="s">
        <v>465</v>
      </c>
      <c r="AI53" s="3" t="s">
        <v>136</v>
      </c>
    </row>
    <row r="54" spans="1:35" s="14" customFormat="1" ht="30" customHeight="1" x14ac:dyDescent="0.35">
      <c r="A54" s="10" t="s">
        <v>368</v>
      </c>
      <c r="B54" s="10" t="s">
        <v>147</v>
      </c>
      <c r="C54" s="10" t="s">
        <v>442</v>
      </c>
      <c r="D54" s="10" t="s">
        <v>443</v>
      </c>
      <c r="E54" s="10" t="s">
        <v>467</v>
      </c>
      <c r="F54" s="10" t="s">
        <v>468</v>
      </c>
      <c r="G54" s="10" t="s">
        <v>86</v>
      </c>
      <c r="H54" s="10" t="s">
        <v>469</v>
      </c>
      <c r="I54" s="10" t="s">
        <v>470</v>
      </c>
      <c r="J54" s="10" t="s">
        <v>471</v>
      </c>
      <c r="K54" s="10" t="s">
        <v>472</v>
      </c>
      <c r="L54" s="10" t="s">
        <v>54</v>
      </c>
      <c r="M54" s="10" t="s">
        <v>55</v>
      </c>
      <c r="N54" s="10" t="s">
        <v>439</v>
      </c>
      <c r="O54" s="10" t="s">
        <v>79</v>
      </c>
      <c r="P54" s="10" t="s">
        <v>54</v>
      </c>
      <c r="Q54" s="10" t="s">
        <v>58</v>
      </c>
      <c r="R54" s="11"/>
      <c r="S54" s="11"/>
      <c r="T54" s="11"/>
      <c r="U54" s="11"/>
      <c r="V54" s="11"/>
      <c r="W54" s="11">
        <v>75.22</v>
      </c>
      <c r="X54" s="11">
        <v>75.989999999999995</v>
      </c>
      <c r="Y54" s="11">
        <v>76.760000000000005</v>
      </c>
      <c r="Z54" s="11">
        <v>77.53</v>
      </c>
      <c r="AA54" s="11">
        <v>78.3</v>
      </c>
      <c r="AB54" s="11">
        <v>90.61</v>
      </c>
      <c r="AC54" s="9">
        <f t="shared" si="0"/>
        <v>0</v>
      </c>
      <c r="AD54" s="12">
        <f t="shared" si="2"/>
        <v>0</v>
      </c>
      <c r="AE54" s="9" t="str">
        <f t="shared" si="1"/>
        <v>Tidak ada realisasi</v>
      </c>
      <c r="AF54" s="13" t="str">
        <f t="shared" si="3"/>
        <v/>
      </c>
      <c r="AG54" s="10" t="s">
        <v>123</v>
      </c>
      <c r="AH54" s="10" t="s">
        <v>124</v>
      </c>
      <c r="AI54" s="10" t="s">
        <v>136</v>
      </c>
    </row>
    <row r="55" spans="1:35" s="14" customFormat="1" ht="30" customHeight="1" x14ac:dyDescent="0.35">
      <c r="A55" s="10" t="s">
        <v>372</v>
      </c>
      <c r="B55" s="10" t="s">
        <v>147</v>
      </c>
      <c r="C55" s="10" t="s">
        <v>474</v>
      </c>
      <c r="D55" s="10" t="s">
        <v>475</v>
      </c>
      <c r="E55" s="10" t="s">
        <v>476</v>
      </c>
      <c r="F55" s="10" t="s">
        <v>477</v>
      </c>
      <c r="G55" s="10" t="s">
        <v>49</v>
      </c>
      <c r="H55" s="10"/>
      <c r="I55" s="10"/>
      <c r="J55" s="10"/>
      <c r="K55" s="10"/>
      <c r="L55" s="10"/>
      <c r="M55" s="10" t="s">
        <v>55</v>
      </c>
      <c r="N55" s="10" t="s">
        <v>478</v>
      </c>
      <c r="O55" s="10" t="s">
        <v>57</v>
      </c>
      <c r="P55" s="10" t="s">
        <v>54</v>
      </c>
      <c r="Q55" s="10" t="s">
        <v>73</v>
      </c>
      <c r="R55" s="11"/>
      <c r="S55" s="11"/>
      <c r="T55" s="11"/>
      <c r="U55" s="11"/>
      <c r="V55" s="11"/>
      <c r="W55" s="11">
        <v>95</v>
      </c>
      <c r="X55" s="11">
        <v>96</v>
      </c>
      <c r="Y55" s="11">
        <v>97</v>
      </c>
      <c r="Z55" s="11">
        <v>98</v>
      </c>
      <c r="AA55" s="11">
        <v>99</v>
      </c>
      <c r="AB55" s="11">
        <v>100</v>
      </c>
      <c r="AC55" s="9">
        <f t="shared" si="0"/>
        <v>0</v>
      </c>
      <c r="AD55" s="12">
        <f t="shared" si="2"/>
        <v>0</v>
      </c>
      <c r="AE55" s="9" t="str">
        <f t="shared" si="1"/>
        <v>Tidak ada realisasi</v>
      </c>
      <c r="AF55" s="13" t="str">
        <f t="shared" si="3"/>
        <v/>
      </c>
      <c r="AG55" s="10" t="s">
        <v>123</v>
      </c>
      <c r="AH55" s="10" t="s">
        <v>361</v>
      </c>
      <c r="AI55" s="10" t="s">
        <v>202</v>
      </c>
    </row>
    <row r="56" spans="1:35" s="14" customFormat="1" ht="30" customHeight="1" x14ac:dyDescent="0.35">
      <c r="A56" s="10" t="s">
        <v>381</v>
      </c>
      <c r="B56" s="10" t="s">
        <v>147</v>
      </c>
      <c r="C56" s="10" t="s">
        <v>474</v>
      </c>
      <c r="D56" s="10" t="s">
        <v>475</v>
      </c>
      <c r="E56" s="10" t="s">
        <v>480</v>
      </c>
      <c r="F56" s="10" t="s">
        <v>481</v>
      </c>
      <c r="G56" s="10" t="s">
        <v>49</v>
      </c>
      <c r="H56" s="10"/>
      <c r="I56" s="10"/>
      <c r="J56" s="10"/>
      <c r="K56" s="10"/>
      <c r="L56" s="10"/>
      <c r="M56" s="10" t="s">
        <v>55</v>
      </c>
      <c r="N56" s="10" t="s">
        <v>482</v>
      </c>
      <c r="O56" s="10" t="s">
        <v>57</v>
      </c>
      <c r="P56" s="10" t="s">
        <v>54</v>
      </c>
      <c r="Q56" s="10" t="s">
        <v>73</v>
      </c>
      <c r="R56" s="11"/>
      <c r="S56" s="11"/>
      <c r="T56" s="11"/>
      <c r="U56" s="11"/>
      <c r="V56" s="11"/>
      <c r="W56" s="11">
        <v>92.5</v>
      </c>
      <c r="X56" s="11">
        <v>93</v>
      </c>
      <c r="Y56" s="11">
        <v>93.5</v>
      </c>
      <c r="Z56" s="11">
        <v>94</v>
      </c>
      <c r="AA56" s="11">
        <v>95</v>
      </c>
      <c r="AB56" s="11">
        <v>90</v>
      </c>
      <c r="AC56" s="9">
        <f t="shared" si="0"/>
        <v>0</v>
      </c>
      <c r="AD56" s="12">
        <f t="shared" si="2"/>
        <v>0</v>
      </c>
      <c r="AE56" s="9" t="str">
        <f t="shared" si="1"/>
        <v>Tidak ada realisasi</v>
      </c>
      <c r="AF56" s="13" t="str">
        <f t="shared" si="3"/>
        <v/>
      </c>
      <c r="AG56" s="10" t="s">
        <v>123</v>
      </c>
      <c r="AH56" s="10" t="s">
        <v>361</v>
      </c>
      <c r="AI56" s="10" t="s">
        <v>202</v>
      </c>
    </row>
    <row r="57" spans="1:35" ht="30" customHeight="1" x14ac:dyDescent="0.35">
      <c r="A57" s="3" t="s">
        <v>389</v>
      </c>
      <c r="B57" s="3" t="s">
        <v>147</v>
      </c>
      <c r="C57" s="3" t="s">
        <v>474</v>
      </c>
      <c r="D57" s="3" t="s">
        <v>475</v>
      </c>
      <c r="E57" s="3" t="s">
        <v>484</v>
      </c>
      <c r="F57" s="16" t="s">
        <v>485</v>
      </c>
      <c r="G57" s="3" t="s">
        <v>86</v>
      </c>
      <c r="H57" s="3" t="s">
        <v>486</v>
      </c>
      <c r="I57" s="3"/>
      <c r="J57" s="3" t="s">
        <v>487</v>
      </c>
      <c r="K57" s="3" t="s">
        <v>488</v>
      </c>
      <c r="L57" s="3" t="s">
        <v>489</v>
      </c>
      <c r="M57" s="3" t="s">
        <v>55</v>
      </c>
      <c r="N57" s="3" t="s">
        <v>490</v>
      </c>
      <c r="O57" s="3" t="s">
        <v>135</v>
      </c>
      <c r="P57" s="3" t="s">
        <v>54</v>
      </c>
      <c r="Q57" s="3" t="s">
        <v>73</v>
      </c>
      <c r="R57" s="4"/>
      <c r="S57" s="4"/>
      <c r="T57" s="4"/>
      <c r="U57" s="4">
        <v>53.18</v>
      </c>
      <c r="V57" s="4">
        <v>87.97</v>
      </c>
      <c r="W57" s="4">
        <v>68.5</v>
      </c>
      <c r="X57" s="4">
        <v>69.25</v>
      </c>
      <c r="Y57" s="4">
        <v>70</v>
      </c>
      <c r="Z57" s="4">
        <v>70.75</v>
      </c>
      <c r="AA57" s="4">
        <v>71.5</v>
      </c>
      <c r="AB57" s="4">
        <v>81.099999999999994</v>
      </c>
      <c r="AC57" s="5">
        <f t="shared" si="0"/>
        <v>2</v>
      </c>
      <c r="AD57" s="6">
        <f t="shared" si="2"/>
        <v>0.4</v>
      </c>
      <c r="AE57" s="8" t="str">
        <f t="shared" si="1"/>
        <v>Realisasi parsial</v>
      </c>
      <c r="AF57" s="7">
        <f t="shared" si="3"/>
        <v>19.47</v>
      </c>
      <c r="AG57" s="3"/>
      <c r="AH57" s="3" t="s">
        <v>491</v>
      </c>
      <c r="AI57" s="3" t="s">
        <v>136</v>
      </c>
    </row>
    <row r="58" spans="1:35" ht="30" customHeight="1" x14ac:dyDescent="0.35">
      <c r="A58" s="3" t="s">
        <v>398</v>
      </c>
      <c r="B58" s="3" t="s">
        <v>147</v>
      </c>
      <c r="C58" s="3" t="s">
        <v>474</v>
      </c>
      <c r="D58" s="3" t="s">
        <v>475</v>
      </c>
      <c r="E58" s="3" t="s">
        <v>493</v>
      </c>
      <c r="F58" s="3" t="s">
        <v>494</v>
      </c>
      <c r="G58" s="3" t="s">
        <v>86</v>
      </c>
      <c r="H58" s="3" t="s">
        <v>495</v>
      </c>
      <c r="I58" s="3"/>
      <c r="J58" s="3" t="s">
        <v>496</v>
      </c>
      <c r="K58" s="3" t="s">
        <v>497</v>
      </c>
      <c r="L58" s="3" t="s">
        <v>54</v>
      </c>
      <c r="M58" s="3" t="s">
        <v>55</v>
      </c>
      <c r="N58" s="3" t="s">
        <v>56</v>
      </c>
      <c r="O58" s="3" t="s">
        <v>135</v>
      </c>
      <c r="P58" s="3" t="s">
        <v>54</v>
      </c>
      <c r="Q58" s="3" t="s">
        <v>58</v>
      </c>
      <c r="R58" s="4">
        <v>79.38</v>
      </c>
      <c r="S58" s="4">
        <v>78.790000000000006</v>
      </c>
      <c r="T58" s="4">
        <v>80.47</v>
      </c>
      <c r="U58" s="4">
        <v>77.349999999999994</v>
      </c>
      <c r="V58" s="4">
        <v>81.069999999999993</v>
      </c>
      <c r="W58" s="4">
        <v>79.5</v>
      </c>
      <c r="X58" s="4">
        <v>80.25</v>
      </c>
      <c r="Y58" s="4">
        <v>81.55</v>
      </c>
      <c r="Z58" s="4">
        <v>82.75</v>
      </c>
      <c r="AA58" s="4">
        <v>83.15</v>
      </c>
      <c r="AB58" s="4" t="s">
        <v>498</v>
      </c>
      <c r="AC58" s="5">
        <f t="shared" si="0"/>
        <v>5</v>
      </c>
      <c r="AD58" s="6">
        <f t="shared" si="2"/>
        <v>1</v>
      </c>
      <c r="AE58" s="5" t="str">
        <f t="shared" si="1"/>
        <v>Realisasi memadai</v>
      </c>
      <c r="AF58" s="7">
        <f t="shared" si="3"/>
        <v>1.5699999999999932</v>
      </c>
      <c r="AG58" s="3" t="s">
        <v>499</v>
      </c>
      <c r="AH58" s="3" t="s">
        <v>56</v>
      </c>
      <c r="AI58" s="3" t="s">
        <v>136</v>
      </c>
    </row>
    <row r="59" spans="1:35" s="14" customFormat="1" ht="30" customHeight="1" x14ac:dyDescent="0.35">
      <c r="A59" s="10" t="s">
        <v>408</v>
      </c>
      <c r="B59" s="10" t="s">
        <v>147</v>
      </c>
      <c r="C59" s="10" t="s">
        <v>474</v>
      </c>
      <c r="D59" s="10" t="s">
        <v>501</v>
      </c>
      <c r="E59" s="10" t="s">
        <v>502</v>
      </c>
      <c r="F59" s="10" t="s">
        <v>503</v>
      </c>
      <c r="G59" s="10" t="s">
        <v>49</v>
      </c>
      <c r="H59" s="10" t="s">
        <v>504</v>
      </c>
      <c r="I59" s="10" t="s">
        <v>505</v>
      </c>
      <c r="J59" s="10" t="s">
        <v>506</v>
      </c>
      <c r="K59" s="10" t="s">
        <v>507</v>
      </c>
      <c r="L59" s="10" t="s">
        <v>508</v>
      </c>
      <c r="M59" s="10" t="s">
        <v>55</v>
      </c>
      <c r="N59" s="10" t="s">
        <v>509</v>
      </c>
      <c r="O59" s="10" t="s">
        <v>57</v>
      </c>
      <c r="P59" s="10" t="s">
        <v>54</v>
      </c>
      <c r="Q59" s="10" t="s">
        <v>73</v>
      </c>
      <c r="R59" s="11"/>
      <c r="S59" s="11"/>
      <c r="T59" s="11"/>
      <c r="U59" s="11"/>
      <c r="V59" s="11"/>
      <c r="W59" s="11">
        <v>0.7</v>
      </c>
      <c r="X59" s="11">
        <v>0.72</v>
      </c>
      <c r="Y59" s="11">
        <v>0.74</v>
      </c>
      <c r="Z59" s="11">
        <v>0.76</v>
      </c>
      <c r="AA59" s="11">
        <v>0.78</v>
      </c>
      <c r="AB59" s="11">
        <v>1</v>
      </c>
      <c r="AC59" s="9">
        <f t="shared" si="0"/>
        <v>0</v>
      </c>
      <c r="AD59" s="12">
        <f t="shared" si="2"/>
        <v>0</v>
      </c>
      <c r="AE59" s="9" t="str">
        <f t="shared" si="1"/>
        <v>Tidak ada realisasi</v>
      </c>
      <c r="AF59" s="13" t="str">
        <f t="shared" si="3"/>
        <v/>
      </c>
      <c r="AG59" s="10" t="s">
        <v>123</v>
      </c>
      <c r="AH59" s="10"/>
      <c r="AI59" s="10" t="s">
        <v>136</v>
      </c>
    </row>
    <row r="60" spans="1:35" ht="30" customHeight="1" x14ac:dyDescent="0.35">
      <c r="A60" s="3" t="s">
        <v>416</v>
      </c>
      <c r="B60" s="3" t="s">
        <v>147</v>
      </c>
      <c r="C60" s="3" t="s">
        <v>474</v>
      </c>
      <c r="D60" s="3" t="s">
        <v>501</v>
      </c>
      <c r="E60" s="3" t="s">
        <v>511</v>
      </c>
      <c r="F60" s="3" t="s">
        <v>512</v>
      </c>
      <c r="G60" s="3" t="s">
        <v>86</v>
      </c>
      <c r="H60" s="3" t="s">
        <v>513</v>
      </c>
      <c r="I60" s="3" t="s">
        <v>514</v>
      </c>
      <c r="J60" s="3" t="s">
        <v>515</v>
      </c>
      <c r="K60" s="3" t="s">
        <v>516</v>
      </c>
      <c r="L60" s="3" t="s">
        <v>422</v>
      </c>
      <c r="M60" s="3" t="s">
        <v>55</v>
      </c>
      <c r="N60" s="3" t="s">
        <v>56</v>
      </c>
      <c r="O60" s="3" t="s">
        <v>79</v>
      </c>
      <c r="P60" s="3" t="s">
        <v>422</v>
      </c>
      <c r="Q60" s="3" t="s">
        <v>58</v>
      </c>
      <c r="R60" s="4">
        <v>2.73</v>
      </c>
      <c r="S60" s="4">
        <v>4.74</v>
      </c>
      <c r="T60" s="4">
        <v>2.44</v>
      </c>
      <c r="U60" s="4">
        <v>1.29</v>
      </c>
      <c r="V60" s="4">
        <v>2.57</v>
      </c>
      <c r="W60" s="4">
        <v>2.5</v>
      </c>
      <c r="X60" s="4">
        <v>2.5</v>
      </c>
      <c r="Y60" s="4">
        <v>2.5</v>
      </c>
      <c r="Z60" s="4">
        <v>2.5</v>
      </c>
      <c r="AA60" s="4">
        <v>2.5</v>
      </c>
      <c r="AB60" s="4">
        <v>3</v>
      </c>
      <c r="AC60" s="5">
        <f t="shared" si="0"/>
        <v>5</v>
      </c>
      <c r="AD60" s="6">
        <f t="shared" si="2"/>
        <v>1</v>
      </c>
      <c r="AE60" s="5" t="str">
        <f t="shared" si="1"/>
        <v>Realisasi memadai</v>
      </c>
      <c r="AF60" s="7">
        <f t="shared" si="3"/>
        <v>6.999999999999984E-2</v>
      </c>
      <c r="AG60" s="3"/>
      <c r="AH60" s="3" t="s">
        <v>517</v>
      </c>
      <c r="AI60" s="3" t="s">
        <v>136</v>
      </c>
    </row>
    <row r="61" spans="1:35" s="14" customFormat="1" ht="30" customHeight="1" x14ac:dyDescent="0.35">
      <c r="A61" s="10" t="s">
        <v>424</v>
      </c>
      <c r="B61" s="10" t="s">
        <v>147</v>
      </c>
      <c r="C61" s="10" t="s">
        <v>474</v>
      </c>
      <c r="D61" s="10" t="s">
        <v>501</v>
      </c>
      <c r="E61" s="10" t="s">
        <v>519</v>
      </c>
      <c r="F61" s="10" t="s">
        <v>520</v>
      </c>
      <c r="G61" s="10" t="s">
        <v>49</v>
      </c>
      <c r="H61" s="10" t="s">
        <v>521</v>
      </c>
      <c r="I61" s="10" t="s">
        <v>522</v>
      </c>
      <c r="J61" s="10" t="s">
        <v>523</v>
      </c>
      <c r="K61" s="10" t="s">
        <v>524</v>
      </c>
      <c r="L61" s="10" t="s">
        <v>525</v>
      </c>
      <c r="M61" s="10" t="s">
        <v>55</v>
      </c>
      <c r="N61" s="10" t="s">
        <v>526</v>
      </c>
      <c r="O61" s="10" t="s">
        <v>57</v>
      </c>
      <c r="P61" s="10" t="s">
        <v>54</v>
      </c>
      <c r="Q61" s="10" t="s">
        <v>73</v>
      </c>
      <c r="R61" s="11"/>
      <c r="S61" s="11"/>
      <c r="T61" s="11"/>
      <c r="U61" s="11"/>
      <c r="V61" s="11"/>
      <c r="W61" s="11">
        <v>18.97</v>
      </c>
      <c r="X61" s="11">
        <v>22.81</v>
      </c>
      <c r="Y61" s="11">
        <v>26.64</v>
      </c>
      <c r="Z61" s="11">
        <v>30.48</v>
      </c>
      <c r="AA61" s="11">
        <v>34.31</v>
      </c>
      <c r="AB61" s="11">
        <v>73.5</v>
      </c>
      <c r="AC61" s="9">
        <f t="shared" si="0"/>
        <v>0</v>
      </c>
      <c r="AD61" s="12">
        <f t="shared" si="2"/>
        <v>0</v>
      </c>
      <c r="AE61" s="9" t="str">
        <f t="shared" si="1"/>
        <v>Tidak ada realisasi</v>
      </c>
      <c r="AF61" s="13" t="str">
        <f t="shared" si="3"/>
        <v/>
      </c>
      <c r="AG61" s="10" t="s">
        <v>123</v>
      </c>
      <c r="AH61" s="10" t="s">
        <v>527</v>
      </c>
      <c r="AI61" s="10" t="s">
        <v>136</v>
      </c>
    </row>
    <row r="62" spans="1:35" s="14" customFormat="1" ht="30" customHeight="1" x14ac:dyDescent="0.35">
      <c r="A62" s="10" t="s">
        <v>432</v>
      </c>
      <c r="B62" s="10" t="s">
        <v>147</v>
      </c>
      <c r="C62" s="10" t="s">
        <v>474</v>
      </c>
      <c r="D62" s="10" t="s">
        <v>501</v>
      </c>
      <c r="E62" s="10" t="s">
        <v>529</v>
      </c>
      <c r="F62" s="10" t="s">
        <v>530</v>
      </c>
      <c r="G62" s="10" t="s">
        <v>86</v>
      </c>
      <c r="H62" s="10" t="s">
        <v>531</v>
      </c>
      <c r="I62" s="10" t="s">
        <v>532</v>
      </c>
      <c r="J62" s="10" t="s">
        <v>533</v>
      </c>
      <c r="K62" s="10" t="s">
        <v>534</v>
      </c>
      <c r="L62" s="10" t="s">
        <v>535</v>
      </c>
      <c r="M62" s="10" t="s">
        <v>55</v>
      </c>
      <c r="N62" s="10" t="s">
        <v>526</v>
      </c>
      <c r="O62" s="10" t="s">
        <v>135</v>
      </c>
      <c r="P62" s="10" t="s">
        <v>54</v>
      </c>
      <c r="Q62" s="10" t="s">
        <v>73</v>
      </c>
      <c r="R62" s="11"/>
      <c r="S62" s="11"/>
      <c r="T62" s="11"/>
      <c r="U62" s="11"/>
      <c r="V62" s="11"/>
      <c r="W62" s="11">
        <v>0.23</v>
      </c>
      <c r="X62" s="11">
        <v>0.48</v>
      </c>
      <c r="Y62" s="11">
        <v>0.74</v>
      </c>
      <c r="Z62" s="11">
        <v>0.99</v>
      </c>
      <c r="AA62" s="11">
        <v>1.24</v>
      </c>
      <c r="AB62" s="11">
        <v>4.25</v>
      </c>
      <c r="AC62" s="9">
        <f t="shared" si="0"/>
        <v>0</v>
      </c>
      <c r="AD62" s="12">
        <f t="shared" si="2"/>
        <v>0</v>
      </c>
      <c r="AE62" s="9" t="str">
        <f t="shared" si="1"/>
        <v>Tidak ada realisasi</v>
      </c>
      <c r="AF62" s="13" t="str">
        <f t="shared" si="3"/>
        <v/>
      </c>
      <c r="AG62" s="10" t="s">
        <v>123</v>
      </c>
      <c r="AH62" s="10" t="s">
        <v>536</v>
      </c>
      <c r="AI62" s="10" t="s">
        <v>136</v>
      </c>
    </row>
    <row r="63" spans="1:35" s="14" customFormat="1" ht="30" customHeight="1" x14ac:dyDescent="0.35">
      <c r="A63" s="10" t="s">
        <v>441</v>
      </c>
      <c r="B63" s="10" t="s">
        <v>147</v>
      </c>
      <c r="C63" s="10" t="s">
        <v>474</v>
      </c>
      <c r="D63" s="10" t="s">
        <v>501</v>
      </c>
      <c r="E63" s="10" t="s">
        <v>538</v>
      </c>
      <c r="F63" s="10" t="s">
        <v>539</v>
      </c>
      <c r="G63" s="10" t="s">
        <v>49</v>
      </c>
      <c r="H63" s="10" t="s">
        <v>540</v>
      </c>
      <c r="I63" s="10" t="s">
        <v>541</v>
      </c>
      <c r="J63" s="10" t="s">
        <v>542</v>
      </c>
      <c r="K63" s="10" t="s">
        <v>543</v>
      </c>
      <c r="L63" s="10" t="s">
        <v>54</v>
      </c>
      <c r="M63" s="10" t="s">
        <v>55</v>
      </c>
      <c r="N63" s="10" t="s">
        <v>526</v>
      </c>
      <c r="O63" s="10" t="s">
        <v>57</v>
      </c>
      <c r="P63" s="10" t="s">
        <v>54</v>
      </c>
      <c r="Q63" s="10" t="s">
        <v>73</v>
      </c>
      <c r="R63" s="11"/>
      <c r="S63" s="11"/>
      <c r="T63" s="11"/>
      <c r="U63" s="11"/>
      <c r="V63" s="11"/>
      <c r="W63" s="11">
        <v>3449809.08</v>
      </c>
      <c r="X63" s="11">
        <v>5235330.0999999996</v>
      </c>
      <c r="Y63" s="11">
        <v>7020851.1100000003</v>
      </c>
      <c r="Z63" s="11">
        <v>8806372.1300000008</v>
      </c>
      <c r="AA63" s="11">
        <v>10591893.140000001</v>
      </c>
      <c r="AB63" s="11">
        <v>24914798.68</v>
      </c>
      <c r="AC63" s="9">
        <f t="shared" si="0"/>
        <v>0</v>
      </c>
      <c r="AD63" s="12">
        <f t="shared" si="2"/>
        <v>0</v>
      </c>
      <c r="AE63" s="9" t="str">
        <f t="shared" si="1"/>
        <v>Tidak ada realisasi</v>
      </c>
      <c r="AF63" s="13" t="str">
        <f t="shared" si="3"/>
        <v/>
      </c>
      <c r="AG63" s="10" t="s">
        <v>123</v>
      </c>
      <c r="AH63" s="10" t="s">
        <v>544</v>
      </c>
      <c r="AI63" s="10" t="s">
        <v>202</v>
      </c>
    </row>
    <row r="64" spans="1:35" s="14" customFormat="1" ht="30" customHeight="1" x14ac:dyDescent="0.35">
      <c r="A64" s="10" t="s">
        <v>451</v>
      </c>
      <c r="B64" s="10" t="s">
        <v>147</v>
      </c>
      <c r="C64" s="10" t="s">
        <v>474</v>
      </c>
      <c r="D64" s="10" t="s">
        <v>501</v>
      </c>
      <c r="E64" s="10" t="s">
        <v>546</v>
      </c>
      <c r="F64" s="10" t="s">
        <v>547</v>
      </c>
      <c r="G64" s="10" t="s">
        <v>86</v>
      </c>
      <c r="H64" s="10" t="s">
        <v>548</v>
      </c>
      <c r="I64" s="10" t="s">
        <v>549</v>
      </c>
      <c r="J64" s="10" t="s">
        <v>550</v>
      </c>
      <c r="K64" s="10" t="s">
        <v>551</v>
      </c>
      <c r="L64" s="10" t="s">
        <v>552</v>
      </c>
      <c r="M64" s="10" t="s">
        <v>55</v>
      </c>
      <c r="N64" s="10" t="s">
        <v>526</v>
      </c>
      <c r="O64" s="10" t="s">
        <v>135</v>
      </c>
      <c r="P64" s="10" t="s">
        <v>107</v>
      </c>
      <c r="Q64" s="10" t="s">
        <v>73</v>
      </c>
      <c r="R64" s="11"/>
      <c r="S64" s="11"/>
      <c r="T64" s="11"/>
      <c r="U64" s="11"/>
      <c r="V64" s="11"/>
      <c r="W64" s="11">
        <v>12</v>
      </c>
      <c r="X64" s="11">
        <v>15.58</v>
      </c>
      <c r="Y64" s="11">
        <v>19.149999999999999</v>
      </c>
      <c r="Z64" s="11">
        <v>22.73</v>
      </c>
      <c r="AA64" s="11">
        <v>26.3</v>
      </c>
      <c r="AB64" s="11">
        <v>69.2</v>
      </c>
      <c r="AC64" s="9">
        <f t="shared" si="0"/>
        <v>0</v>
      </c>
      <c r="AD64" s="12">
        <f t="shared" si="2"/>
        <v>0</v>
      </c>
      <c r="AE64" s="9" t="str">
        <f t="shared" si="1"/>
        <v>Tidak ada realisasi</v>
      </c>
      <c r="AF64" s="13" t="str">
        <f t="shared" si="3"/>
        <v/>
      </c>
      <c r="AG64" s="10" t="s">
        <v>123</v>
      </c>
      <c r="AH64" s="10" t="s">
        <v>553</v>
      </c>
      <c r="AI64" s="10" t="s">
        <v>136</v>
      </c>
    </row>
    <row r="65" spans="1:35" ht="30" customHeight="1" x14ac:dyDescent="0.35">
      <c r="A65" s="3" t="s">
        <v>459</v>
      </c>
      <c r="B65" s="3" t="s">
        <v>147</v>
      </c>
      <c r="C65" s="3" t="s">
        <v>474</v>
      </c>
      <c r="D65" s="3" t="s">
        <v>501</v>
      </c>
      <c r="E65" s="3" t="s">
        <v>555</v>
      </c>
      <c r="F65" s="16" t="s">
        <v>556</v>
      </c>
      <c r="G65" s="3" t="s">
        <v>86</v>
      </c>
      <c r="H65" s="3" t="s">
        <v>557</v>
      </c>
      <c r="I65" s="3" t="s">
        <v>558</v>
      </c>
      <c r="J65" s="3" t="s">
        <v>559</v>
      </c>
      <c r="K65" s="3" t="s">
        <v>560</v>
      </c>
      <c r="L65" s="3" t="s">
        <v>561</v>
      </c>
      <c r="M65" s="3" t="s">
        <v>55</v>
      </c>
      <c r="N65" s="3" t="s">
        <v>562</v>
      </c>
      <c r="O65" s="3" t="s">
        <v>57</v>
      </c>
      <c r="P65" s="3" t="s">
        <v>54</v>
      </c>
      <c r="Q65" s="3" t="s">
        <v>73</v>
      </c>
      <c r="R65" s="4"/>
      <c r="S65" s="4">
        <v>91.69</v>
      </c>
      <c r="T65" s="4"/>
      <c r="U65" s="4"/>
      <c r="V65" s="4"/>
      <c r="W65" s="4">
        <v>97.3</v>
      </c>
      <c r="X65" s="4">
        <v>97.65</v>
      </c>
      <c r="Y65" s="4">
        <v>98.01</v>
      </c>
      <c r="Z65" s="4">
        <v>98.36</v>
      </c>
      <c r="AA65" s="4">
        <v>98.71</v>
      </c>
      <c r="AB65" s="4">
        <v>99.13</v>
      </c>
      <c r="AC65" s="5">
        <f t="shared" si="0"/>
        <v>1</v>
      </c>
      <c r="AD65" s="6">
        <f t="shared" si="2"/>
        <v>0.2</v>
      </c>
      <c r="AE65" s="8" t="str">
        <f t="shared" si="1"/>
        <v>Realisasi parsial</v>
      </c>
      <c r="AF65" s="7" t="str">
        <f t="shared" si="3"/>
        <v/>
      </c>
      <c r="AG65" s="3"/>
      <c r="AH65" s="3" t="s">
        <v>563</v>
      </c>
      <c r="AI65" s="3" t="s">
        <v>136</v>
      </c>
    </row>
    <row r="66" spans="1:35" s="14" customFormat="1" ht="30" customHeight="1" x14ac:dyDescent="0.35">
      <c r="A66" s="10" t="s">
        <v>466</v>
      </c>
      <c r="B66" s="10" t="s">
        <v>147</v>
      </c>
      <c r="C66" s="10" t="s">
        <v>474</v>
      </c>
      <c r="D66" s="10" t="s">
        <v>565</v>
      </c>
      <c r="E66" s="10" t="s">
        <v>566</v>
      </c>
      <c r="F66" s="10" t="s">
        <v>567</v>
      </c>
      <c r="G66" s="10" t="s">
        <v>49</v>
      </c>
      <c r="H66" s="10"/>
      <c r="I66" s="10"/>
      <c r="J66" s="10"/>
      <c r="K66" s="10"/>
      <c r="L66" s="10"/>
      <c r="M66" s="10" t="s">
        <v>55</v>
      </c>
      <c r="N66" s="10" t="s">
        <v>568</v>
      </c>
      <c r="O66" s="10" t="s">
        <v>57</v>
      </c>
      <c r="P66" s="10" t="s">
        <v>54</v>
      </c>
      <c r="Q66" s="10" t="s">
        <v>58</v>
      </c>
      <c r="R66" s="11"/>
      <c r="S66" s="11"/>
      <c r="T66" s="11"/>
      <c r="U66" s="11"/>
      <c r="V66" s="11"/>
      <c r="W66" s="11">
        <v>18</v>
      </c>
      <c r="X66" s="11">
        <v>19</v>
      </c>
      <c r="Y66" s="11">
        <v>19</v>
      </c>
      <c r="Z66" s="11">
        <v>19</v>
      </c>
      <c r="AA66" s="11">
        <v>19</v>
      </c>
      <c r="AB66" s="11">
        <v>4</v>
      </c>
      <c r="AC66" s="9">
        <f t="shared" si="0"/>
        <v>0</v>
      </c>
      <c r="AD66" s="12">
        <f t="shared" si="2"/>
        <v>0</v>
      </c>
      <c r="AE66" s="9" t="str">
        <f t="shared" si="1"/>
        <v>Tidak ada realisasi</v>
      </c>
      <c r="AF66" s="13" t="str">
        <f t="shared" si="3"/>
        <v/>
      </c>
      <c r="AG66" s="10" t="s">
        <v>123</v>
      </c>
      <c r="AH66" s="10" t="s">
        <v>569</v>
      </c>
      <c r="AI66" s="10" t="s">
        <v>202</v>
      </c>
    </row>
    <row r="67" spans="1:35" s="14" customFormat="1" ht="30" customHeight="1" x14ac:dyDescent="0.35">
      <c r="A67" s="10" t="s">
        <v>473</v>
      </c>
      <c r="B67" s="10" t="s">
        <v>147</v>
      </c>
      <c r="C67" s="10" t="s">
        <v>474</v>
      </c>
      <c r="D67" s="10" t="s">
        <v>565</v>
      </c>
      <c r="E67" s="10" t="s">
        <v>571</v>
      </c>
      <c r="F67" s="10" t="s">
        <v>572</v>
      </c>
      <c r="G67" s="10" t="s">
        <v>49</v>
      </c>
      <c r="H67" s="10"/>
      <c r="I67" s="10"/>
      <c r="J67" s="10"/>
      <c r="K67" s="10"/>
      <c r="L67" s="10"/>
      <c r="M67" s="10" t="s">
        <v>264</v>
      </c>
      <c r="N67" s="10" t="s">
        <v>568</v>
      </c>
      <c r="O67" s="10" t="s">
        <v>57</v>
      </c>
      <c r="P67" s="10" t="s">
        <v>54</v>
      </c>
      <c r="Q67" s="10" t="s">
        <v>58</v>
      </c>
      <c r="R67" s="11"/>
      <c r="S67" s="11"/>
      <c r="T67" s="11"/>
      <c r="U67" s="11"/>
      <c r="V67" s="11"/>
      <c r="W67" s="11">
        <v>2.5499999999999998</v>
      </c>
      <c r="X67" s="11">
        <v>2.65</v>
      </c>
      <c r="Y67" s="11">
        <v>2.75</v>
      </c>
      <c r="Z67" s="11">
        <v>2.85</v>
      </c>
      <c r="AA67" s="11">
        <v>2.95</v>
      </c>
      <c r="AB67" s="11">
        <v>4.09</v>
      </c>
      <c r="AC67" s="9">
        <f t="shared" si="0"/>
        <v>0</v>
      </c>
      <c r="AD67" s="12">
        <f t="shared" si="2"/>
        <v>0</v>
      </c>
      <c r="AE67" s="9" t="str">
        <f t="shared" si="1"/>
        <v>Tidak ada realisasi</v>
      </c>
      <c r="AF67" s="13" t="str">
        <f t="shared" si="3"/>
        <v/>
      </c>
      <c r="AG67" s="10" t="s">
        <v>123</v>
      </c>
      <c r="AH67" s="10" t="s">
        <v>573</v>
      </c>
      <c r="AI67" s="10" t="s">
        <v>202</v>
      </c>
    </row>
    <row r="68" spans="1:35" ht="30" customHeight="1" x14ac:dyDescent="0.35">
      <c r="A68" s="3" t="s">
        <v>479</v>
      </c>
      <c r="B68" s="3" t="s">
        <v>147</v>
      </c>
      <c r="C68" s="3" t="s">
        <v>575</v>
      </c>
      <c r="D68" s="3" t="s">
        <v>576</v>
      </c>
      <c r="E68" s="3" t="s">
        <v>577</v>
      </c>
      <c r="F68" s="3" t="s">
        <v>578</v>
      </c>
      <c r="G68" s="3" t="s">
        <v>86</v>
      </c>
      <c r="H68" s="3" t="s">
        <v>579</v>
      </c>
      <c r="I68" s="3" t="s">
        <v>580</v>
      </c>
      <c r="J68" s="3" t="s">
        <v>581</v>
      </c>
      <c r="K68" s="3" t="s">
        <v>582</v>
      </c>
      <c r="L68" s="3" t="s">
        <v>54</v>
      </c>
      <c r="M68" s="3" t="s">
        <v>55</v>
      </c>
      <c r="N68" s="3" t="s">
        <v>482</v>
      </c>
      <c r="O68" s="3" t="s">
        <v>135</v>
      </c>
      <c r="P68" s="3" t="s">
        <v>54</v>
      </c>
      <c r="Q68" s="3" t="s">
        <v>58</v>
      </c>
      <c r="R68" s="4">
        <v>50.08</v>
      </c>
      <c r="S68" s="4">
        <v>55.4</v>
      </c>
      <c r="T68" s="4">
        <v>56.7</v>
      </c>
      <c r="U68" s="4">
        <v>51.81</v>
      </c>
      <c r="V68" s="4"/>
      <c r="W68" s="4">
        <v>57.87</v>
      </c>
      <c r="X68" s="4">
        <v>58.4</v>
      </c>
      <c r="Y68" s="4">
        <v>58.93</v>
      </c>
      <c r="Z68" s="4">
        <v>59.46</v>
      </c>
      <c r="AA68" s="4">
        <v>59.99</v>
      </c>
      <c r="AB68" s="4">
        <v>66.87</v>
      </c>
      <c r="AC68" s="5">
        <f t="shared" si="0"/>
        <v>4</v>
      </c>
      <c r="AD68" s="6">
        <f t="shared" si="2"/>
        <v>0.8</v>
      </c>
      <c r="AE68" s="5" t="str">
        <f t="shared" si="1"/>
        <v>Realisasi memadai</v>
      </c>
      <c r="AF68" s="7" t="str">
        <f t="shared" si="3"/>
        <v/>
      </c>
      <c r="AG68" s="3"/>
      <c r="AH68" s="3" t="s">
        <v>583</v>
      </c>
      <c r="AI68" s="3" t="s">
        <v>136</v>
      </c>
    </row>
    <row r="69" spans="1:35" ht="30" customHeight="1" x14ac:dyDescent="0.35">
      <c r="A69" s="3" t="s">
        <v>483</v>
      </c>
      <c r="B69" s="3" t="s">
        <v>147</v>
      </c>
      <c r="C69" s="3" t="s">
        <v>575</v>
      </c>
      <c r="D69" s="3" t="s">
        <v>576</v>
      </c>
      <c r="E69" s="3" t="s">
        <v>585</v>
      </c>
      <c r="F69" s="3" t="s">
        <v>586</v>
      </c>
      <c r="G69" s="3" t="s">
        <v>86</v>
      </c>
      <c r="H69" s="3" t="s">
        <v>587</v>
      </c>
      <c r="I69" s="3" t="s">
        <v>588</v>
      </c>
      <c r="J69" s="3" t="s">
        <v>589</v>
      </c>
      <c r="K69" s="3" t="s">
        <v>590</v>
      </c>
      <c r="L69" s="3" t="s">
        <v>54</v>
      </c>
      <c r="M69" s="3" t="s">
        <v>55</v>
      </c>
      <c r="N69" s="3" t="s">
        <v>591</v>
      </c>
      <c r="O69" s="3" t="s">
        <v>135</v>
      </c>
      <c r="P69" s="3" t="s">
        <v>54</v>
      </c>
      <c r="Q69" s="3" t="s">
        <v>58</v>
      </c>
      <c r="R69" s="4">
        <v>75.63</v>
      </c>
      <c r="S69" s="4">
        <v>80.95</v>
      </c>
      <c r="T69" s="4">
        <v>81.180000000000007</v>
      </c>
      <c r="U69" s="4">
        <v>78.94</v>
      </c>
      <c r="V69" s="4">
        <v>87.23</v>
      </c>
      <c r="W69" s="4">
        <v>79.239999999999995</v>
      </c>
      <c r="X69" s="4">
        <v>79.62</v>
      </c>
      <c r="Y69" s="4">
        <v>80.010000000000005</v>
      </c>
      <c r="Z69" s="4">
        <v>80.39</v>
      </c>
      <c r="AA69" s="4">
        <v>80.77</v>
      </c>
      <c r="AB69" s="4">
        <v>89.56</v>
      </c>
      <c r="AC69" s="5">
        <f t="shared" si="0"/>
        <v>5</v>
      </c>
      <c r="AD69" s="6">
        <f t="shared" si="2"/>
        <v>1</v>
      </c>
      <c r="AE69" s="5" t="str">
        <f t="shared" si="1"/>
        <v>Realisasi memadai</v>
      </c>
      <c r="AF69" s="7">
        <f t="shared" si="3"/>
        <v>7.9900000000000091</v>
      </c>
      <c r="AG69" s="3"/>
      <c r="AH69" s="3"/>
      <c r="AI69" s="3" t="s">
        <v>136</v>
      </c>
    </row>
    <row r="70" spans="1:35" ht="30" customHeight="1" x14ac:dyDescent="0.35">
      <c r="A70" s="3" t="s">
        <v>492</v>
      </c>
      <c r="B70" s="3" t="s">
        <v>147</v>
      </c>
      <c r="C70" s="3" t="s">
        <v>575</v>
      </c>
      <c r="D70" s="3" t="s">
        <v>593</v>
      </c>
      <c r="E70" s="3" t="s">
        <v>594</v>
      </c>
      <c r="F70" s="3" t="s">
        <v>595</v>
      </c>
      <c r="G70" s="3" t="s">
        <v>86</v>
      </c>
      <c r="H70" s="3" t="s">
        <v>596</v>
      </c>
      <c r="I70" s="3" t="s">
        <v>597</v>
      </c>
      <c r="J70" s="3" t="s">
        <v>598</v>
      </c>
      <c r="K70" s="3" t="s">
        <v>599</v>
      </c>
      <c r="L70" s="3" t="s">
        <v>54</v>
      </c>
      <c r="M70" s="3" t="s">
        <v>55</v>
      </c>
      <c r="N70" s="3" t="s">
        <v>478</v>
      </c>
      <c r="O70" s="3" t="s">
        <v>135</v>
      </c>
      <c r="P70" s="3" t="s">
        <v>54</v>
      </c>
      <c r="Q70" s="3" t="s">
        <v>58</v>
      </c>
      <c r="R70" s="4">
        <v>71.709999999999994</v>
      </c>
      <c r="S70" s="4">
        <v>75.94</v>
      </c>
      <c r="T70" s="4">
        <v>74.03</v>
      </c>
      <c r="U70" s="4"/>
      <c r="V70" s="4"/>
      <c r="W70" s="4">
        <v>77.5</v>
      </c>
      <c r="X70" s="4">
        <v>78.150000000000006</v>
      </c>
      <c r="Y70" s="4">
        <v>78.8</v>
      </c>
      <c r="Z70" s="4">
        <v>79.44</v>
      </c>
      <c r="AA70" s="4">
        <v>80.09</v>
      </c>
      <c r="AB70" s="4" t="s">
        <v>600</v>
      </c>
      <c r="AC70" s="5">
        <f t="shared" si="0"/>
        <v>3</v>
      </c>
      <c r="AD70" s="6">
        <f t="shared" si="2"/>
        <v>0.6</v>
      </c>
      <c r="AE70" s="5" t="str">
        <f t="shared" si="1"/>
        <v>Realisasi memadai</v>
      </c>
      <c r="AF70" s="7" t="str">
        <f t="shared" si="3"/>
        <v/>
      </c>
      <c r="AG70" s="3" t="s">
        <v>601</v>
      </c>
      <c r="AH70" s="3" t="s">
        <v>602</v>
      </c>
      <c r="AI70" s="3" t="s">
        <v>136</v>
      </c>
    </row>
    <row r="71" spans="1:35" ht="30" customHeight="1" x14ac:dyDescent="0.35">
      <c r="A71" s="3" t="s">
        <v>500</v>
      </c>
      <c r="B71" s="3" t="s">
        <v>147</v>
      </c>
      <c r="C71" s="3" t="s">
        <v>575</v>
      </c>
      <c r="D71" s="3" t="s">
        <v>593</v>
      </c>
      <c r="E71" s="3" t="s">
        <v>604</v>
      </c>
      <c r="F71" s="3" t="s">
        <v>605</v>
      </c>
      <c r="G71" s="3" t="s">
        <v>86</v>
      </c>
      <c r="H71" s="3" t="s">
        <v>606</v>
      </c>
      <c r="I71" s="3" t="s">
        <v>607</v>
      </c>
      <c r="J71" s="3" t="s">
        <v>608</v>
      </c>
      <c r="K71" s="3" t="s">
        <v>609</v>
      </c>
      <c r="L71" s="3" t="s">
        <v>54</v>
      </c>
      <c r="M71" s="3" t="s">
        <v>55</v>
      </c>
      <c r="N71" s="3" t="s">
        <v>56</v>
      </c>
      <c r="O71" s="3" t="s">
        <v>79</v>
      </c>
      <c r="P71" s="3" t="s">
        <v>54</v>
      </c>
      <c r="Q71" s="3" t="s">
        <v>58</v>
      </c>
      <c r="R71" s="4">
        <v>0.47199999999999998</v>
      </c>
      <c r="S71" s="4">
        <v>0.44400000000000001</v>
      </c>
      <c r="T71" s="4">
        <v>0.45200000000000001</v>
      </c>
      <c r="U71" s="4">
        <v>0.41799999999999998</v>
      </c>
      <c r="V71" s="4">
        <v>0.34</v>
      </c>
      <c r="W71" s="4">
        <v>0.43</v>
      </c>
      <c r="X71" s="4">
        <v>0.43</v>
      </c>
      <c r="Y71" s="4">
        <v>0.42</v>
      </c>
      <c r="Z71" s="4">
        <v>0.41</v>
      </c>
      <c r="AA71" s="4">
        <v>0.4</v>
      </c>
      <c r="AB71" s="4">
        <v>0.21299999999999999</v>
      </c>
      <c r="AC71" s="5">
        <f t="shared" si="0"/>
        <v>5</v>
      </c>
      <c r="AD71" s="6">
        <f t="shared" si="2"/>
        <v>1</v>
      </c>
      <c r="AE71" s="5" t="str">
        <f t="shared" si="1"/>
        <v>Realisasi memadai</v>
      </c>
      <c r="AF71" s="7">
        <f t="shared" si="3"/>
        <v>-8.9999999999999969E-2</v>
      </c>
      <c r="AG71" s="3"/>
      <c r="AH71" s="3"/>
      <c r="AI71" s="3" t="s">
        <v>136</v>
      </c>
    </row>
    <row r="72" spans="1:35" s="14" customFormat="1" ht="30" customHeight="1" x14ac:dyDescent="0.35">
      <c r="A72" s="10" t="s">
        <v>510</v>
      </c>
      <c r="B72" s="10" t="s">
        <v>147</v>
      </c>
      <c r="C72" s="10" t="s">
        <v>575</v>
      </c>
      <c r="D72" s="10" t="s">
        <v>611</v>
      </c>
      <c r="E72" s="10" t="s">
        <v>612</v>
      </c>
      <c r="F72" s="10" t="s">
        <v>613</v>
      </c>
      <c r="G72" s="10" t="s">
        <v>86</v>
      </c>
      <c r="H72" s="10" t="s">
        <v>614</v>
      </c>
      <c r="I72" s="10"/>
      <c r="J72" s="10" t="s">
        <v>615</v>
      </c>
      <c r="K72" s="10" t="s">
        <v>616</v>
      </c>
      <c r="L72" s="10" t="s">
        <v>54</v>
      </c>
      <c r="M72" s="10" t="s">
        <v>55</v>
      </c>
      <c r="N72" s="10" t="s">
        <v>617</v>
      </c>
      <c r="O72" s="10" t="s">
        <v>73</v>
      </c>
      <c r="P72" s="10" t="s">
        <v>54</v>
      </c>
      <c r="Q72" s="10" t="s">
        <v>73</v>
      </c>
      <c r="R72" s="11"/>
      <c r="S72" s="11"/>
      <c r="T72" s="11"/>
      <c r="U72" s="11"/>
      <c r="V72" s="11"/>
      <c r="W72" s="11">
        <v>0.434</v>
      </c>
      <c r="X72" s="11">
        <v>0.437</v>
      </c>
      <c r="Y72" s="11">
        <v>0.44</v>
      </c>
      <c r="Z72" s="11">
        <v>0.44700000000000001</v>
      </c>
      <c r="AA72" s="11">
        <v>0.45300000000000001</v>
      </c>
      <c r="AB72" s="11">
        <v>0.59599999999999997</v>
      </c>
      <c r="AC72" s="9">
        <f t="shared" si="0"/>
        <v>0</v>
      </c>
      <c r="AD72" s="12">
        <f t="shared" si="2"/>
        <v>0</v>
      </c>
      <c r="AE72" s="9" t="str">
        <f t="shared" si="1"/>
        <v>Tidak ada realisasi</v>
      </c>
      <c r="AF72" s="13" t="str">
        <f t="shared" si="3"/>
        <v/>
      </c>
      <c r="AG72" s="10" t="s">
        <v>123</v>
      </c>
      <c r="AH72" s="10" t="s">
        <v>124</v>
      </c>
      <c r="AI72" s="10" t="s">
        <v>136</v>
      </c>
    </row>
    <row r="73" spans="1:35" ht="30" customHeight="1" x14ac:dyDescent="0.35">
      <c r="A73" s="3" t="s">
        <v>518</v>
      </c>
      <c r="B73" s="3" t="s">
        <v>147</v>
      </c>
      <c r="C73" s="3" t="s">
        <v>575</v>
      </c>
      <c r="D73" s="3" t="s">
        <v>611</v>
      </c>
      <c r="E73" s="3" t="s">
        <v>619</v>
      </c>
      <c r="F73" s="3" t="s">
        <v>620</v>
      </c>
      <c r="G73" s="3" t="s">
        <v>86</v>
      </c>
      <c r="H73" s="3" t="s">
        <v>140</v>
      </c>
      <c r="I73" s="3" t="s">
        <v>141</v>
      </c>
      <c r="J73" s="3" t="s">
        <v>142</v>
      </c>
      <c r="K73" s="3" t="s">
        <v>143</v>
      </c>
      <c r="L73" s="3" t="s">
        <v>144</v>
      </c>
      <c r="M73" s="3" t="s">
        <v>55</v>
      </c>
      <c r="N73" s="3" t="s">
        <v>617</v>
      </c>
      <c r="O73" s="3" t="s">
        <v>79</v>
      </c>
      <c r="P73" s="3" t="s">
        <v>54</v>
      </c>
      <c r="Q73" s="3" t="s">
        <v>58</v>
      </c>
      <c r="R73" s="4">
        <v>99.43</v>
      </c>
      <c r="S73" s="4">
        <v>94.52</v>
      </c>
      <c r="T73" s="4">
        <v>93.91</v>
      </c>
      <c r="U73" s="4">
        <v>92.99</v>
      </c>
      <c r="V73" s="4">
        <v>91.25</v>
      </c>
      <c r="W73" s="4"/>
      <c r="X73" s="4"/>
      <c r="Y73" s="4"/>
      <c r="Z73" s="4"/>
      <c r="AA73" s="4"/>
      <c r="AB73" s="4"/>
      <c r="AC73" s="5">
        <f t="shared" si="0"/>
        <v>5</v>
      </c>
      <c r="AD73" s="6">
        <f t="shared" si="2"/>
        <v>1</v>
      </c>
      <c r="AE73" s="5" t="str">
        <f t="shared" si="1"/>
        <v>Realisasi memadai</v>
      </c>
      <c r="AF73" s="7" t="str">
        <f t="shared" si="3"/>
        <v/>
      </c>
      <c r="AG73" s="3" t="s">
        <v>621</v>
      </c>
      <c r="AH73" s="3"/>
      <c r="AI73" s="3" t="s">
        <v>622</v>
      </c>
    </row>
    <row r="74" spans="1:35" ht="30" customHeight="1" x14ac:dyDescent="0.35">
      <c r="A74" s="3" t="s">
        <v>528</v>
      </c>
      <c r="B74" s="3" t="s">
        <v>147</v>
      </c>
      <c r="C74" s="3" t="s">
        <v>575</v>
      </c>
      <c r="D74" s="3" t="s">
        <v>611</v>
      </c>
      <c r="E74" s="3" t="s">
        <v>624</v>
      </c>
      <c r="F74" s="3" t="s">
        <v>625</v>
      </c>
      <c r="G74" s="3" t="s">
        <v>86</v>
      </c>
      <c r="H74" s="3" t="s">
        <v>140</v>
      </c>
      <c r="I74" s="3" t="s">
        <v>141</v>
      </c>
      <c r="J74" s="3" t="s">
        <v>142</v>
      </c>
      <c r="K74" s="3" t="s">
        <v>143</v>
      </c>
      <c r="L74" s="3" t="s">
        <v>144</v>
      </c>
      <c r="M74" s="3" t="s">
        <v>55</v>
      </c>
      <c r="N74" s="3" t="s">
        <v>617</v>
      </c>
      <c r="O74" s="3" t="s">
        <v>57</v>
      </c>
      <c r="P74" s="3" t="s">
        <v>54</v>
      </c>
      <c r="Q74" s="3" t="s">
        <v>58</v>
      </c>
      <c r="R74" s="4">
        <v>57.34</v>
      </c>
      <c r="S74" s="4">
        <v>54.46</v>
      </c>
      <c r="T74" s="4">
        <v>55.93</v>
      </c>
      <c r="U74" s="4">
        <v>54.31</v>
      </c>
      <c r="V74" s="4">
        <v>73.14</v>
      </c>
      <c r="W74" s="4"/>
      <c r="X74" s="4"/>
      <c r="Y74" s="4"/>
      <c r="Z74" s="4"/>
      <c r="AA74" s="4"/>
      <c r="AB74" s="4"/>
      <c r="AC74" s="5">
        <f t="shared" si="0"/>
        <v>5</v>
      </c>
      <c r="AD74" s="6">
        <f t="shared" si="2"/>
        <v>1</v>
      </c>
      <c r="AE74" s="5" t="str">
        <f t="shared" si="1"/>
        <v>Realisasi memadai</v>
      </c>
      <c r="AF74" s="7" t="str">
        <f t="shared" si="3"/>
        <v/>
      </c>
      <c r="AG74" s="3" t="s">
        <v>621</v>
      </c>
      <c r="AH74" s="3"/>
      <c r="AI74" s="3" t="s">
        <v>622</v>
      </c>
    </row>
    <row r="75" spans="1:35" ht="30" customHeight="1" x14ac:dyDescent="0.35">
      <c r="A75" s="3" t="s">
        <v>537</v>
      </c>
      <c r="B75" s="3" t="s">
        <v>147</v>
      </c>
      <c r="C75" s="3" t="s">
        <v>575</v>
      </c>
      <c r="D75" s="3" t="s">
        <v>611</v>
      </c>
      <c r="E75" s="3" t="s">
        <v>627</v>
      </c>
      <c r="F75" s="3" t="s">
        <v>628</v>
      </c>
      <c r="G75" s="3" t="s">
        <v>86</v>
      </c>
      <c r="H75" s="3" t="s">
        <v>140</v>
      </c>
      <c r="I75" s="3" t="s">
        <v>141</v>
      </c>
      <c r="J75" s="3" t="s">
        <v>142</v>
      </c>
      <c r="K75" s="3" t="s">
        <v>143</v>
      </c>
      <c r="L75" s="3" t="s">
        <v>144</v>
      </c>
      <c r="M75" s="3" t="s">
        <v>55</v>
      </c>
      <c r="N75" s="3" t="s">
        <v>617</v>
      </c>
      <c r="O75" s="3" t="s">
        <v>135</v>
      </c>
      <c r="P75" s="3" t="s">
        <v>54</v>
      </c>
      <c r="Q75" s="3" t="s">
        <v>58</v>
      </c>
      <c r="R75" s="4">
        <v>99.96</v>
      </c>
      <c r="S75" s="4">
        <v>100</v>
      </c>
      <c r="T75" s="4">
        <v>100</v>
      </c>
      <c r="U75" s="4">
        <v>100</v>
      </c>
      <c r="V75" s="4">
        <v>100</v>
      </c>
      <c r="W75" s="4"/>
      <c r="X75" s="4"/>
      <c r="Y75" s="4"/>
      <c r="Z75" s="4"/>
      <c r="AA75" s="4"/>
      <c r="AB75" s="4"/>
      <c r="AC75" s="5">
        <f t="shared" si="0"/>
        <v>5</v>
      </c>
      <c r="AD75" s="6">
        <f t="shared" si="2"/>
        <v>1</v>
      </c>
      <c r="AE75" s="5" t="str">
        <f t="shared" si="1"/>
        <v>Realisasi memadai</v>
      </c>
      <c r="AF75" s="7" t="str">
        <f t="shared" si="3"/>
        <v/>
      </c>
      <c r="AG75" s="3" t="s">
        <v>621</v>
      </c>
      <c r="AH75" s="3"/>
      <c r="AI75" s="3" t="s">
        <v>622</v>
      </c>
    </row>
    <row r="76" spans="1:35" ht="30" customHeight="1" x14ac:dyDescent="0.35">
      <c r="A76" s="3" t="s">
        <v>545</v>
      </c>
      <c r="B76" s="3" t="s">
        <v>147</v>
      </c>
      <c r="C76" s="3" t="s">
        <v>575</v>
      </c>
      <c r="D76" s="3" t="s">
        <v>611</v>
      </c>
      <c r="E76" s="3" t="s">
        <v>630</v>
      </c>
      <c r="F76" s="3" t="s">
        <v>631</v>
      </c>
      <c r="G76" s="3" t="s">
        <v>86</v>
      </c>
      <c r="H76" s="3" t="s">
        <v>140</v>
      </c>
      <c r="I76" s="3" t="s">
        <v>141</v>
      </c>
      <c r="J76" s="3" t="s">
        <v>142</v>
      </c>
      <c r="K76" s="3" t="s">
        <v>143</v>
      </c>
      <c r="L76" s="3" t="s">
        <v>144</v>
      </c>
      <c r="M76" s="3" t="s">
        <v>55</v>
      </c>
      <c r="N76" s="3" t="s">
        <v>617</v>
      </c>
      <c r="O76" s="3" t="s">
        <v>135</v>
      </c>
      <c r="P76" s="3" t="s">
        <v>54</v>
      </c>
      <c r="Q76" s="3" t="s">
        <v>58</v>
      </c>
      <c r="R76" s="4">
        <v>81.52</v>
      </c>
      <c r="S76" s="4">
        <v>84.85</v>
      </c>
      <c r="T76" s="4">
        <v>83.4</v>
      </c>
      <c r="U76" s="4">
        <v>84.65</v>
      </c>
      <c r="V76" s="4">
        <v>88.58</v>
      </c>
      <c r="W76" s="4"/>
      <c r="X76" s="4"/>
      <c r="Y76" s="4"/>
      <c r="Z76" s="4"/>
      <c r="AA76" s="4"/>
      <c r="AB76" s="4"/>
      <c r="AC76" s="5">
        <f t="shared" si="0"/>
        <v>5</v>
      </c>
      <c r="AD76" s="6">
        <f t="shared" si="2"/>
        <v>1</v>
      </c>
      <c r="AE76" s="5" t="str">
        <f t="shared" si="1"/>
        <v>Realisasi memadai</v>
      </c>
      <c r="AF76" s="7" t="str">
        <f t="shared" si="3"/>
        <v/>
      </c>
      <c r="AG76" s="3" t="s">
        <v>621</v>
      </c>
      <c r="AH76" s="3"/>
      <c r="AI76" s="3" t="s">
        <v>622</v>
      </c>
    </row>
    <row r="77" spans="1:35" ht="30" customHeight="1" x14ac:dyDescent="0.35">
      <c r="A77" s="3" t="s">
        <v>554</v>
      </c>
      <c r="B77" s="3" t="s">
        <v>147</v>
      </c>
      <c r="C77" s="3" t="s">
        <v>575</v>
      </c>
      <c r="D77" s="3" t="s">
        <v>611</v>
      </c>
      <c r="E77" s="3" t="s">
        <v>633</v>
      </c>
      <c r="F77" s="3" t="s">
        <v>634</v>
      </c>
      <c r="G77" s="3" t="s">
        <v>86</v>
      </c>
      <c r="H77" s="3" t="s">
        <v>635</v>
      </c>
      <c r="I77" s="3" t="s">
        <v>636</v>
      </c>
      <c r="J77" s="3" t="s">
        <v>637</v>
      </c>
      <c r="K77" s="3" t="s">
        <v>638</v>
      </c>
      <c r="L77" s="3" t="s">
        <v>54</v>
      </c>
      <c r="M77" s="3" t="s">
        <v>55</v>
      </c>
      <c r="N77" s="3" t="s">
        <v>56</v>
      </c>
      <c r="O77" s="3" t="s">
        <v>135</v>
      </c>
      <c r="P77" s="3" t="s">
        <v>54</v>
      </c>
      <c r="Q77" s="3" t="s">
        <v>73</v>
      </c>
      <c r="R77" s="4">
        <v>2.39</v>
      </c>
      <c r="S77" s="4">
        <v>5.68</v>
      </c>
      <c r="T77" s="4">
        <v>5.84</v>
      </c>
      <c r="U77" s="4">
        <v>5.79</v>
      </c>
      <c r="V77" s="4">
        <v>4.34</v>
      </c>
      <c r="W77" s="4">
        <v>6</v>
      </c>
      <c r="X77" s="4">
        <v>7</v>
      </c>
      <c r="Y77" s="4">
        <v>8</v>
      </c>
      <c r="Z77" s="4">
        <v>9</v>
      </c>
      <c r="AA77" s="4">
        <v>10</v>
      </c>
      <c r="AB77" s="4">
        <v>50</v>
      </c>
      <c r="AC77" s="5">
        <f t="shared" si="0"/>
        <v>5</v>
      </c>
      <c r="AD77" s="6">
        <f t="shared" si="2"/>
        <v>1</v>
      </c>
      <c r="AE77" s="5" t="str">
        <f t="shared" si="1"/>
        <v>Realisasi memadai</v>
      </c>
      <c r="AF77" s="7">
        <f t="shared" si="3"/>
        <v>-1.6600000000000001</v>
      </c>
      <c r="AG77" s="3"/>
      <c r="AH77" s="3" t="s">
        <v>236</v>
      </c>
      <c r="AI77" s="3" t="s">
        <v>136</v>
      </c>
    </row>
    <row r="78" spans="1:35" s="14" customFormat="1" ht="30" customHeight="1" x14ac:dyDescent="0.35">
      <c r="A78" s="10" t="s">
        <v>564</v>
      </c>
      <c r="B78" s="10" t="s">
        <v>147</v>
      </c>
      <c r="C78" s="10" t="s">
        <v>575</v>
      </c>
      <c r="D78" s="10" t="s">
        <v>611</v>
      </c>
      <c r="E78" s="10" t="s">
        <v>640</v>
      </c>
      <c r="F78" s="10" t="s">
        <v>641</v>
      </c>
      <c r="G78" s="10" t="s">
        <v>86</v>
      </c>
      <c r="H78" s="10" t="s">
        <v>642</v>
      </c>
      <c r="I78" s="10" t="s">
        <v>643</v>
      </c>
      <c r="J78" s="10" t="s">
        <v>644</v>
      </c>
      <c r="K78" s="10" t="s">
        <v>645</v>
      </c>
      <c r="L78" s="10" t="s">
        <v>646</v>
      </c>
      <c r="M78" s="10" t="s">
        <v>55</v>
      </c>
      <c r="N78" s="10" t="s">
        <v>617</v>
      </c>
      <c r="O78" s="10" t="s">
        <v>57</v>
      </c>
      <c r="P78" s="10" t="s">
        <v>54</v>
      </c>
      <c r="Q78" s="10" t="s">
        <v>73</v>
      </c>
      <c r="R78" s="11"/>
      <c r="S78" s="11"/>
      <c r="T78" s="11"/>
      <c r="U78" s="11"/>
      <c r="V78" s="11"/>
      <c r="W78" s="11">
        <v>16</v>
      </c>
      <c r="X78" s="11">
        <v>32.25</v>
      </c>
      <c r="Y78" s="11">
        <v>48.5</v>
      </c>
      <c r="Z78" s="11">
        <v>64.75</v>
      </c>
      <c r="AA78" s="11">
        <v>81</v>
      </c>
      <c r="AB78" s="11">
        <v>90</v>
      </c>
      <c r="AC78" s="9">
        <f t="shared" si="0"/>
        <v>0</v>
      </c>
      <c r="AD78" s="12">
        <f t="shared" si="2"/>
        <v>0</v>
      </c>
      <c r="AE78" s="9" t="str">
        <f t="shared" si="1"/>
        <v>Tidak ada realisasi</v>
      </c>
      <c r="AF78" s="13" t="str">
        <f t="shared" si="3"/>
        <v/>
      </c>
      <c r="AG78" s="10" t="s">
        <v>123</v>
      </c>
      <c r="AH78" s="10" t="s">
        <v>124</v>
      </c>
      <c r="AI78" s="10" t="s">
        <v>136</v>
      </c>
    </row>
    <row r="79" spans="1:35" s="14" customFormat="1" ht="30" customHeight="1" x14ac:dyDescent="0.35">
      <c r="A79" s="10" t="s">
        <v>570</v>
      </c>
      <c r="B79" s="10" t="s">
        <v>147</v>
      </c>
      <c r="C79" s="10" t="s">
        <v>575</v>
      </c>
      <c r="D79" s="10" t="s">
        <v>611</v>
      </c>
      <c r="E79" s="10" t="s">
        <v>647</v>
      </c>
      <c r="F79" s="10" t="s">
        <v>648</v>
      </c>
      <c r="G79" s="10" t="s">
        <v>49</v>
      </c>
      <c r="H79" s="10" t="s">
        <v>649</v>
      </c>
      <c r="I79" s="10" t="s">
        <v>650</v>
      </c>
      <c r="J79" s="10" t="s">
        <v>651</v>
      </c>
      <c r="K79" s="10" t="s">
        <v>652</v>
      </c>
      <c r="L79" s="10" t="s">
        <v>653</v>
      </c>
      <c r="M79" s="10" t="s">
        <v>55</v>
      </c>
      <c r="N79" s="10"/>
      <c r="O79" s="10"/>
      <c r="P79" s="10"/>
      <c r="Q79" s="10"/>
      <c r="R79" s="11"/>
      <c r="S79" s="11"/>
      <c r="T79" s="11"/>
      <c r="U79" s="11"/>
      <c r="V79" s="11"/>
      <c r="W79" s="11"/>
      <c r="X79" s="11"/>
      <c r="Y79" s="11"/>
      <c r="Z79" s="11"/>
      <c r="AA79" s="11"/>
      <c r="AB79" s="11"/>
      <c r="AC79" s="9">
        <f t="shared" si="0"/>
        <v>0</v>
      </c>
      <c r="AD79" s="12">
        <f t="shared" si="2"/>
        <v>0</v>
      </c>
      <c r="AE79" s="9" t="str">
        <f t="shared" si="1"/>
        <v>Tidak ada realisasi</v>
      </c>
      <c r="AF79" s="13" t="str">
        <f t="shared" si="3"/>
        <v/>
      </c>
      <c r="AG79" s="10" t="s">
        <v>183</v>
      </c>
      <c r="AH79" s="10"/>
      <c r="AI79" s="10" t="s">
        <v>184</v>
      </c>
    </row>
    <row r="80" spans="1:35" s="14" customFormat="1" ht="30" customHeight="1" x14ac:dyDescent="0.35">
      <c r="A80" s="10" t="s">
        <v>574</v>
      </c>
      <c r="B80" s="10" t="s">
        <v>147</v>
      </c>
      <c r="C80" s="10" t="s">
        <v>575</v>
      </c>
      <c r="D80" s="10" t="s">
        <v>655</v>
      </c>
      <c r="E80" s="10" t="s">
        <v>656</v>
      </c>
      <c r="F80" s="10" t="s">
        <v>657</v>
      </c>
      <c r="G80" s="10" t="s">
        <v>49</v>
      </c>
      <c r="H80" s="10" t="s">
        <v>658</v>
      </c>
      <c r="I80" s="10" t="s">
        <v>659</v>
      </c>
      <c r="J80" s="10" t="s">
        <v>660</v>
      </c>
      <c r="K80" s="10" t="s">
        <v>661</v>
      </c>
      <c r="L80" s="10" t="s">
        <v>54</v>
      </c>
      <c r="M80" s="10" t="s">
        <v>55</v>
      </c>
      <c r="N80" s="10"/>
      <c r="O80" s="10" t="s">
        <v>57</v>
      </c>
      <c r="P80" s="10" t="s">
        <v>54</v>
      </c>
      <c r="Q80" s="10" t="s">
        <v>180</v>
      </c>
      <c r="R80" s="11"/>
      <c r="S80" s="11"/>
      <c r="T80" s="11"/>
      <c r="U80" s="11"/>
      <c r="V80" s="11"/>
      <c r="W80" s="11">
        <v>1686.3</v>
      </c>
      <c r="X80" s="11">
        <v>2020.3</v>
      </c>
      <c r="Y80" s="11">
        <v>2398.9</v>
      </c>
      <c r="Z80" s="11">
        <v>2820.5</v>
      </c>
      <c r="AA80" s="11">
        <v>3301.2</v>
      </c>
      <c r="AB80" s="11">
        <v>5170</v>
      </c>
      <c r="AC80" s="9">
        <f t="shared" si="0"/>
        <v>0</v>
      </c>
      <c r="AD80" s="12">
        <f t="shared" si="2"/>
        <v>0</v>
      </c>
      <c r="AE80" s="9" t="str">
        <f t="shared" si="1"/>
        <v>Tidak ada realisasi</v>
      </c>
      <c r="AF80" s="13" t="str">
        <f t="shared" si="3"/>
        <v/>
      </c>
      <c r="AG80" s="10" t="s">
        <v>123</v>
      </c>
      <c r="AH80" s="10" t="s">
        <v>662</v>
      </c>
      <c r="AI80" s="10" t="s">
        <v>202</v>
      </c>
    </row>
    <row r="81" spans="1:35" s="14" customFormat="1" ht="30" customHeight="1" x14ac:dyDescent="0.35">
      <c r="A81" s="10" t="s">
        <v>584</v>
      </c>
      <c r="B81" s="10" t="s">
        <v>147</v>
      </c>
      <c r="C81" s="10" t="s">
        <v>575</v>
      </c>
      <c r="D81" s="10" t="s">
        <v>655</v>
      </c>
      <c r="E81" s="10" t="s">
        <v>664</v>
      </c>
      <c r="F81" s="10" t="s">
        <v>665</v>
      </c>
      <c r="G81" s="10" t="s">
        <v>49</v>
      </c>
      <c r="H81" s="10" t="s">
        <v>666</v>
      </c>
      <c r="I81" s="10" t="s">
        <v>667</v>
      </c>
      <c r="J81" s="10" t="s">
        <v>668</v>
      </c>
      <c r="K81" s="10" t="s">
        <v>669</v>
      </c>
      <c r="L81" s="10" t="s">
        <v>54</v>
      </c>
      <c r="M81" s="10" t="s">
        <v>55</v>
      </c>
      <c r="N81" s="10"/>
      <c r="O81" s="10" t="s">
        <v>57</v>
      </c>
      <c r="P81" s="10" t="s">
        <v>54</v>
      </c>
      <c r="Q81" s="10" t="s">
        <v>180</v>
      </c>
      <c r="R81" s="11"/>
      <c r="S81" s="11"/>
      <c r="T81" s="11"/>
      <c r="U81" s="11"/>
      <c r="V81" s="11"/>
      <c r="W81" s="11">
        <v>115</v>
      </c>
      <c r="X81" s="11">
        <v>118.1</v>
      </c>
      <c r="Y81" s="11">
        <v>121</v>
      </c>
      <c r="Z81" s="11">
        <v>123.9</v>
      </c>
      <c r="AA81" s="11">
        <v>127</v>
      </c>
      <c r="AB81" s="11">
        <v>60</v>
      </c>
      <c r="AC81" s="9">
        <f t="shared" si="0"/>
        <v>0</v>
      </c>
      <c r="AD81" s="12">
        <f t="shared" si="2"/>
        <v>0</v>
      </c>
      <c r="AE81" s="9" t="str">
        <f t="shared" si="1"/>
        <v>Tidak ada realisasi</v>
      </c>
      <c r="AF81" s="13" t="str">
        <f t="shared" si="3"/>
        <v/>
      </c>
      <c r="AG81" s="10" t="s">
        <v>123</v>
      </c>
      <c r="AH81" s="10" t="s">
        <v>670</v>
      </c>
      <c r="AI81" s="10" t="s">
        <v>202</v>
      </c>
    </row>
    <row r="82" spans="1:35" ht="30" customHeight="1" x14ac:dyDescent="0.35">
      <c r="A82" s="3" t="s">
        <v>592</v>
      </c>
      <c r="B82" s="3" t="s">
        <v>147</v>
      </c>
      <c r="C82" s="3" t="s">
        <v>575</v>
      </c>
      <c r="D82" s="3" t="s">
        <v>655</v>
      </c>
      <c r="E82" s="3" t="s">
        <v>672</v>
      </c>
      <c r="F82" s="3" t="s">
        <v>673</v>
      </c>
      <c r="G82" s="3" t="s">
        <v>86</v>
      </c>
      <c r="H82" s="3" t="s">
        <v>674</v>
      </c>
      <c r="I82" s="3" t="s">
        <v>675</v>
      </c>
      <c r="J82" s="3" t="s">
        <v>676</v>
      </c>
      <c r="K82" s="3" t="s">
        <v>53</v>
      </c>
      <c r="L82" s="3" t="s">
        <v>54</v>
      </c>
      <c r="M82" s="3" t="s">
        <v>55</v>
      </c>
      <c r="N82" s="3" t="s">
        <v>56</v>
      </c>
      <c r="O82" s="3" t="s">
        <v>79</v>
      </c>
      <c r="P82" s="3" t="s">
        <v>54</v>
      </c>
      <c r="Q82" s="3" t="s">
        <v>180</v>
      </c>
      <c r="R82" s="4">
        <v>12.75</v>
      </c>
      <c r="S82" s="4">
        <v>23.01</v>
      </c>
      <c r="T82" s="4">
        <v>15.92</v>
      </c>
      <c r="U82" s="4">
        <v>14.61</v>
      </c>
      <c r="V82" s="4">
        <v>14.48</v>
      </c>
      <c r="W82" s="4">
        <v>14.23</v>
      </c>
      <c r="X82" s="4">
        <v>13.16</v>
      </c>
      <c r="Y82" s="4">
        <v>12.08</v>
      </c>
      <c r="Z82" s="4">
        <v>11.01</v>
      </c>
      <c r="AA82" s="4">
        <v>9.93</v>
      </c>
      <c r="AB82" s="4">
        <v>0.31</v>
      </c>
      <c r="AC82" s="5">
        <f t="shared" si="0"/>
        <v>5</v>
      </c>
      <c r="AD82" s="6">
        <f t="shared" si="2"/>
        <v>1</v>
      </c>
      <c r="AE82" s="5" t="str">
        <f t="shared" si="1"/>
        <v>Realisasi memadai</v>
      </c>
      <c r="AF82" s="7">
        <f t="shared" si="3"/>
        <v>0.25</v>
      </c>
      <c r="AG82" s="3"/>
      <c r="AH82" s="3" t="s">
        <v>236</v>
      </c>
      <c r="AI82" s="3" t="s">
        <v>136</v>
      </c>
    </row>
    <row r="83" spans="1:35" s="14" customFormat="1" ht="30" customHeight="1" x14ac:dyDescent="0.35">
      <c r="A83" s="10" t="s">
        <v>603</v>
      </c>
      <c r="B83" s="10" t="s">
        <v>147</v>
      </c>
      <c r="C83" s="10" t="s">
        <v>575</v>
      </c>
      <c r="D83" s="10" t="s">
        <v>655</v>
      </c>
      <c r="E83" s="10" t="s">
        <v>678</v>
      </c>
      <c r="F83" s="10" t="s">
        <v>679</v>
      </c>
      <c r="G83" s="10" t="s">
        <v>49</v>
      </c>
      <c r="H83" s="10" t="s">
        <v>680</v>
      </c>
      <c r="I83" s="10" t="s">
        <v>681</v>
      </c>
      <c r="J83" s="10" t="s">
        <v>682</v>
      </c>
      <c r="K83" s="10" t="s">
        <v>683</v>
      </c>
      <c r="L83" s="10" t="s">
        <v>684</v>
      </c>
      <c r="M83" s="10" t="s">
        <v>55</v>
      </c>
      <c r="N83" s="10"/>
      <c r="O83" s="10" t="s">
        <v>57</v>
      </c>
      <c r="P83" s="10" t="s">
        <v>54</v>
      </c>
      <c r="Q83" s="10" t="s">
        <v>73</v>
      </c>
      <c r="R83" s="11"/>
      <c r="S83" s="11"/>
      <c r="T83" s="11"/>
      <c r="U83" s="11"/>
      <c r="V83" s="11"/>
      <c r="W83" s="11">
        <v>0.4</v>
      </c>
      <c r="X83" s="11">
        <v>0.55000000000000004</v>
      </c>
      <c r="Y83" s="11">
        <v>0.7</v>
      </c>
      <c r="Z83" s="11">
        <v>0.84</v>
      </c>
      <c r="AA83" s="11">
        <v>0.99</v>
      </c>
      <c r="AB83" s="11">
        <v>0.99</v>
      </c>
      <c r="AC83" s="9">
        <f t="shared" si="0"/>
        <v>0</v>
      </c>
      <c r="AD83" s="12">
        <f t="shared" si="2"/>
        <v>0</v>
      </c>
      <c r="AE83" s="9" t="str">
        <f t="shared" si="1"/>
        <v>Tidak ada realisasi</v>
      </c>
      <c r="AF83" s="13" t="str">
        <f t="shared" si="3"/>
        <v/>
      </c>
      <c r="AG83" s="10" t="s">
        <v>123</v>
      </c>
      <c r="AH83" s="10" t="s">
        <v>685</v>
      </c>
      <c r="AI83" s="10" t="s">
        <v>202</v>
      </c>
    </row>
    <row r="84" spans="1:35" s="14" customFormat="1" ht="30" customHeight="1" x14ac:dyDescent="0.35">
      <c r="A84" s="10" t="s">
        <v>610</v>
      </c>
      <c r="B84" s="10" t="s">
        <v>147</v>
      </c>
      <c r="C84" s="10" t="s">
        <v>575</v>
      </c>
      <c r="D84" s="10" t="s">
        <v>655</v>
      </c>
      <c r="E84" s="10" t="s">
        <v>687</v>
      </c>
      <c r="F84" s="10" t="s">
        <v>688</v>
      </c>
      <c r="G84" s="10" t="s">
        <v>86</v>
      </c>
      <c r="H84" s="10" t="s">
        <v>689</v>
      </c>
      <c r="I84" s="10" t="s">
        <v>690</v>
      </c>
      <c r="J84" s="10" t="s">
        <v>691</v>
      </c>
      <c r="K84" s="10" t="s">
        <v>692</v>
      </c>
      <c r="L84" s="10" t="s">
        <v>693</v>
      </c>
      <c r="M84" s="10" t="s">
        <v>55</v>
      </c>
      <c r="N84" s="10" t="s">
        <v>134</v>
      </c>
      <c r="O84" s="10" t="s">
        <v>73</v>
      </c>
      <c r="P84" s="10" t="s">
        <v>54</v>
      </c>
      <c r="Q84" s="10" t="s">
        <v>73</v>
      </c>
      <c r="R84" s="11"/>
      <c r="S84" s="11"/>
      <c r="T84" s="11"/>
      <c r="U84" s="11"/>
      <c r="V84" s="11"/>
      <c r="W84" s="11">
        <v>48.32</v>
      </c>
      <c r="X84" s="11">
        <v>51.55</v>
      </c>
      <c r="Y84" s="11">
        <v>54.78</v>
      </c>
      <c r="Z84" s="11">
        <v>58.01</v>
      </c>
      <c r="AA84" s="11">
        <v>61.24</v>
      </c>
      <c r="AB84" s="11">
        <v>100</v>
      </c>
      <c r="AC84" s="9">
        <f t="shared" si="0"/>
        <v>0</v>
      </c>
      <c r="AD84" s="12">
        <f t="shared" si="2"/>
        <v>0</v>
      </c>
      <c r="AE84" s="9" t="str">
        <f t="shared" si="1"/>
        <v>Tidak ada realisasi</v>
      </c>
      <c r="AF84" s="13" t="str">
        <f t="shared" si="3"/>
        <v/>
      </c>
      <c r="AG84" s="10" t="s">
        <v>123</v>
      </c>
      <c r="AH84" s="10" t="s">
        <v>692</v>
      </c>
      <c r="AI84" s="10" t="s">
        <v>136</v>
      </c>
    </row>
    <row r="85" spans="1:35" ht="30" customHeight="1" x14ac:dyDescent="0.35">
      <c r="A85" s="3" t="s">
        <v>618</v>
      </c>
      <c r="B85" s="3" t="s">
        <v>147</v>
      </c>
      <c r="C85" s="3" t="s">
        <v>575</v>
      </c>
      <c r="D85" s="3" t="s">
        <v>695</v>
      </c>
      <c r="E85" s="3" t="s">
        <v>696</v>
      </c>
      <c r="F85" s="3" t="s">
        <v>697</v>
      </c>
      <c r="G85" s="3" t="s">
        <v>49</v>
      </c>
      <c r="H85" s="3" t="s">
        <v>698</v>
      </c>
      <c r="I85" s="3" t="s">
        <v>699</v>
      </c>
      <c r="J85" s="3" t="s">
        <v>700</v>
      </c>
      <c r="K85" s="3" t="s">
        <v>701</v>
      </c>
      <c r="L85" s="3" t="s">
        <v>54</v>
      </c>
      <c r="M85" s="3" t="s">
        <v>55</v>
      </c>
      <c r="N85" s="3" t="s">
        <v>702</v>
      </c>
      <c r="O85" s="3" t="s">
        <v>79</v>
      </c>
      <c r="P85" s="3" t="s">
        <v>54</v>
      </c>
      <c r="Q85" s="3" t="s">
        <v>58</v>
      </c>
      <c r="R85" s="4">
        <v>157.03</v>
      </c>
      <c r="S85" s="4">
        <v>157.47</v>
      </c>
      <c r="T85" s="4">
        <v>148.16</v>
      </c>
      <c r="U85" s="4">
        <v>131.84</v>
      </c>
      <c r="V85" s="4">
        <v>121.35</v>
      </c>
      <c r="W85" s="4">
        <v>157.62</v>
      </c>
      <c r="X85" s="4">
        <v>154</v>
      </c>
      <c r="Y85" s="4">
        <v>151</v>
      </c>
      <c r="Z85" s="4">
        <v>149</v>
      </c>
      <c r="AA85" s="4">
        <v>147</v>
      </c>
      <c r="AB85" s="4">
        <v>134.22999999999999</v>
      </c>
      <c r="AC85" s="5">
        <f t="shared" si="0"/>
        <v>5</v>
      </c>
      <c r="AD85" s="6">
        <f t="shared" si="2"/>
        <v>1</v>
      </c>
      <c r="AE85" s="5" t="str">
        <f t="shared" si="1"/>
        <v>Realisasi memadai</v>
      </c>
      <c r="AF85" s="7">
        <f t="shared" si="3"/>
        <v>-36.27000000000001</v>
      </c>
      <c r="AG85" s="3"/>
      <c r="AH85" s="3"/>
      <c r="AI85" s="3" t="s">
        <v>202</v>
      </c>
    </row>
    <row r="86" spans="1:35" s="14" customFormat="1" ht="30" customHeight="1" x14ac:dyDescent="0.35">
      <c r="A86" s="10" t="s">
        <v>623</v>
      </c>
      <c r="B86" s="10" t="s">
        <v>147</v>
      </c>
      <c r="C86" s="10" t="s">
        <v>575</v>
      </c>
      <c r="D86" s="10" t="s">
        <v>695</v>
      </c>
      <c r="E86" s="10" t="s">
        <v>704</v>
      </c>
      <c r="F86" s="10" t="s">
        <v>705</v>
      </c>
      <c r="G86" s="10" t="s">
        <v>86</v>
      </c>
      <c r="H86" s="10" t="s">
        <v>706</v>
      </c>
      <c r="I86" s="10" t="s">
        <v>707</v>
      </c>
      <c r="J86" s="10" t="s">
        <v>708</v>
      </c>
      <c r="K86" s="10" t="s">
        <v>709</v>
      </c>
      <c r="L86" s="10" t="s">
        <v>54</v>
      </c>
      <c r="M86" s="10" t="s">
        <v>55</v>
      </c>
      <c r="N86" s="10" t="s">
        <v>617</v>
      </c>
      <c r="O86" s="10" t="s">
        <v>135</v>
      </c>
      <c r="P86" s="10" t="s">
        <v>54</v>
      </c>
      <c r="Q86" s="10" t="s">
        <v>73</v>
      </c>
      <c r="R86" s="11"/>
      <c r="S86" s="11"/>
      <c r="T86" s="11"/>
      <c r="U86" s="11"/>
      <c r="V86" s="11"/>
      <c r="W86" s="11">
        <v>34.65</v>
      </c>
      <c r="X86" s="11">
        <v>35.01</v>
      </c>
      <c r="Y86" s="11">
        <v>35.83</v>
      </c>
      <c r="Z86" s="11">
        <v>36.869999999999997</v>
      </c>
      <c r="AA86" s="11">
        <v>38.06</v>
      </c>
      <c r="AB86" s="11">
        <v>69.569999999999993</v>
      </c>
      <c r="AC86" s="9">
        <f t="shared" si="0"/>
        <v>0</v>
      </c>
      <c r="AD86" s="12">
        <f t="shared" si="2"/>
        <v>0</v>
      </c>
      <c r="AE86" s="9" t="str">
        <f t="shared" si="1"/>
        <v>Tidak ada realisasi</v>
      </c>
      <c r="AF86" s="13" t="str">
        <f t="shared" si="3"/>
        <v/>
      </c>
      <c r="AG86" s="10" t="s">
        <v>123</v>
      </c>
      <c r="AH86" s="10" t="s">
        <v>124</v>
      </c>
      <c r="AI86" s="10" t="s">
        <v>136</v>
      </c>
    </row>
    <row r="87" spans="1:35" s="14" customFormat="1" ht="30" customHeight="1" x14ac:dyDescent="0.35">
      <c r="A87" s="10" t="s">
        <v>626</v>
      </c>
      <c r="B87" s="10" t="s">
        <v>147</v>
      </c>
      <c r="C87" s="10" t="s">
        <v>575</v>
      </c>
      <c r="D87" s="10" t="s">
        <v>695</v>
      </c>
      <c r="E87" s="10" t="s">
        <v>711</v>
      </c>
      <c r="F87" s="10" t="s">
        <v>712</v>
      </c>
      <c r="G87" s="10" t="s">
        <v>86</v>
      </c>
      <c r="H87" s="10" t="s">
        <v>706</v>
      </c>
      <c r="I87" s="10" t="s">
        <v>707</v>
      </c>
      <c r="J87" s="10" t="s">
        <v>708</v>
      </c>
      <c r="K87" s="10" t="s">
        <v>709</v>
      </c>
      <c r="L87" s="10" t="s">
        <v>54</v>
      </c>
      <c r="M87" s="10" t="s">
        <v>55</v>
      </c>
      <c r="N87" s="10" t="s">
        <v>134</v>
      </c>
      <c r="O87" s="10" t="s">
        <v>135</v>
      </c>
      <c r="P87" s="10" t="s">
        <v>54</v>
      </c>
      <c r="Q87" s="10" t="s">
        <v>73</v>
      </c>
      <c r="R87" s="11"/>
      <c r="S87" s="11"/>
      <c r="T87" s="11"/>
      <c r="U87" s="11"/>
      <c r="V87" s="11"/>
      <c r="W87" s="11">
        <v>45.93</v>
      </c>
      <c r="X87" s="11">
        <v>51.17</v>
      </c>
      <c r="Y87" s="11">
        <v>51.34</v>
      </c>
      <c r="Z87" s="11">
        <v>55.45</v>
      </c>
      <c r="AA87" s="11">
        <v>54.91</v>
      </c>
      <c r="AB87" s="11">
        <v>100</v>
      </c>
      <c r="AC87" s="9">
        <f t="shared" si="0"/>
        <v>0</v>
      </c>
      <c r="AD87" s="12">
        <f t="shared" si="2"/>
        <v>0</v>
      </c>
      <c r="AE87" s="9" t="str">
        <f t="shared" si="1"/>
        <v>Tidak ada realisasi</v>
      </c>
      <c r="AF87" s="13" t="str">
        <f t="shared" si="3"/>
        <v/>
      </c>
      <c r="AG87" s="10" t="s">
        <v>123</v>
      </c>
      <c r="AH87" s="10" t="s">
        <v>124</v>
      </c>
      <c r="AI87" s="10" t="s">
        <v>136</v>
      </c>
    </row>
    <row r="88" spans="1:35" ht="14.25" customHeight="1" x14ac:dyDescent="0.35"/>
    <row r="89" spans="1:35" ht="14.25" customHeight="1" x14ac:dyDescent="0.35"/>
    <row r="90" spans="1:35" ht="14.25" customHeight="1" x14ac:dyDescent="0.35"/>
    <row r="91" spans="1:35" ht="14.25" customHeight="1" x14ac:dyDescent="0.35"/>
    <row r="92" spans="1:35" ht="14.25" customHeight="1" x14ac:dyDescent="0.35"/>
    <row r="93" spans="1:35" ht="14.25" customHeight="1" x14ac:dyDescent="0.35"/>
    <row r="94" spans="1:35" ht="14.25" customHeight="1" x14ac:dyDescent="0.35"/>
    <row r="95" spans="1:35" ht="14.25" customHeight="1" x14ac:dyDescent="0.35"/>
    <row r="96" spans="1:35"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sheetData>
  <autoFilter ref="A1:AI87" xr:uid="{00000000-0009-0000-0000-000000000000}"/>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12" customWidth="1"/>
    <col min="2" max="2" width="10" customWidth="1"/>
    <col min="3" max="3" width="32" customWidth="1"/>
    <col min="4" max="4" width="13" customWidth="1"/>
    <col min="5" max="5" width="52" customWidth="1"/>
    <col min="6" max="6" width="12" customWidth="1"/>
    <col min="7" max="7" width="9" customWidth="1"/>
    <col min="8" max="8" width="14" customWidth="1"/>
    <col min="9" max="9" width="16" customWidth="1"/>
    <col min="10" max="10" width="30" customWidth="1"/>
    <col min="11" max="26" width="8.54296875" customWidth="1"/>
  </cols>
  <sheetData>
    <row r="1" spans="1:10" ht="31.5" customHeight="1" x14ac:dyDescent="0.35">
      <c r="A1" s="1" t="s">
        <v>0</v>
      </c>
      <c r="B1" s="1" t="s">
        <v>1</v>
      </c>
      <c r="C1" s="1" t="s">
        <v>2</v>
      </c>
      <c r="D1" s="1" t="s">
        <v>3</v>
      </c>
      <c r="E1" s="1" t="s">
        <v>4</v>
      </c>
      <c r="F1" s="1" t="s">
        <v>6</v>
      </c>
      <c r="G1" s="1" t="s">
        <v>7</v>
      </c>
      <c r="H1" s="1" t="s">
        <v>8</v>
      </c>
      <c r="I1" s="1" t="s">
        <v>10</v>
      </c>
      <c r="J1" s="1" t="s">
        <v>11</v>
      </c>
    </row>
    <row r="2" spans="1:10" ht="14.25" customHeight="1" x14ac:dyDescent="0.35">
      <c r="A2" s="2" t="s">
        <v>13</v>
      </c>
      <c r="B2" s="2" t="s">
        <v>14</v>
      </c>
      <c r="C2" s="2" t="s">
        <v>16</v>
      </c>
      <c r="D2" s="2" t="s">
        <v>17</v>
      </c>
      <c r="E2" s="3" t="s">
        <v>19</v>
      </c>
      <c r="F2" s="2" t="s">
        <v>21</v>
      </c>
      <c r="G2" s="2">
        <v>2021</v>
      </c>
      <c r="H2" s="2">
        <v>157.09</v>
      </c>
      <c r="I2" s="2"/>
      <c r="J2" s="2"/>
    </row>
    <row r="3" spans="1:10" ht="14.25" customHeight="1" x14ac:dyDescent="0.35">
      <c r="A3" s="2" t="s">
        <v>13</v>
      </c>
      <c r="B3" s="2" t="s">
        <v>14</v>
      </c>
      <c r="C3" s="2" t="s">
        <v>16</v>
      </c>
      <c r="D3" s="2" t="s">
        <v>17</v>
      </c>
      <c r="E3" s="3" t="s">
        <v>19</v>
      </c>
      <c r="F3" s="2" t="s">
        <v>21</v>
      </c>
      <c r="G3" s="2">
        <v>2022</v>
      </c>
      <c r="H3" s="2">
        <v>192.59</v>
      </c>
      <c r="I3" s="2"/>
      <c r="J3" s="2"/>
    </row>
    <row r="4" spans="1:10" ht="14.25" customHeight="1" x14ac:dyDescent="0.35">
      <c r="A4" s="2" t="s">
        <v>13</v>
      </c>
      <c r="B4" s="2" t="s">
        <v>14</v>
      </c>
      <c r="C4" s="2" t="s">
        <v>16</v>
      </c>
      <c r="D4" s="2" t="s">
        <v>17</v>
      </c>
      <c r="E4" s="3" t="s">
        <v>19</v>
      </c>
      <c r="F4" s="2" t="s">
        <v>21</v>
      </c>
      <c r="G4" s="2">
        <v>2023</v>
      </c>
      <c r="H4" s="2">
        <v>201.79</v>
      </c>
      <c r="I4" s="2"/>
      <c r="J4" s="2"/>
    </row>
    <row r="5" spans="1:10" ht="14.25" customHeight="1" x14ac:dyDescent="0.35">
      <c r="A5" s="2" t="s">
        <v>13</v>
      </c>
      <c r="B5" s="2" t="s">
        <v>14</v>
      </c>
      <c r="C5" s="2" t="s">
        <v>16</v>
      </c>
      <c r="D5" s="2" t="s">
        <v>17</v>
      </c>
      <c r="E5" s="3" t="s">
        <v>19</v>
      </c>
      <c r="F5" s="2" t="s">
        <v>21</v>
      </c>
      <c r="G5" s="2">
        <v>2024</v>
      </c>
      <c r="H5" s="2">
        <v>198.68</v>
      </c>
      <c r="I5" s="2"/>
      <c r="J5" s="2"/>
    </row>
    <row r="6" spans="1:10" ht="14.25" customHeight="1" x14ac:dyDescent="0.35">
      <c r="A6" s="2" t="s">
        <v>13</v>
      </c>
      <c r="B6" s="2" t="s">
        <v>14</v>
      </c>
      <c r="C6" s="2" t="s">
        <v>16</v>
      </c>
      <c r="D6" s="2" t="s">
        <v>17</v>
      </c>
      <c r="E6" s="3" t="s">
        <v>19</v>
      </c>
      <c r="F6" s="2" t="s">
        <v>21</v>
      </c>
      <c r="G6" s="2">
        <v>2025</v>
      </c>
      <c r="H6" s="2">
        <v>208.21</v>
      </c>
      <c r="I6" s="2"/>
      <c r="J6" s="2"/>
    </row>
    <row r="7" spans="1:10" ht="14.25" customHeight="1" x14ac:dyDescent="0.35">
      <c r="A7" s="2" t="s">
        <v>13</v>
      </c>
      <c r="B7" s="2" t="s">
        <v>14</v>
      </c>
      <c r="C7" s="2" t="s">
        <v>16</v>
      </c>
      <c r="D7" s="2" t="s">
        <v>17</v>
      </c>
      <c r="E7" s="3" t="s">
        <v>19</v>
      </c>
      <c r="F7" s="2" t="s">
        <v>47</v>
      </c>
      <c r="G7" s="2">
        <v>2025</v>
      </c>
      <c r="H7" s="2">
        <v>227.1</v>
      </c>
      <c r="I7" s="2"/>
      <c r="J7" s="2"/>
    </row>
    <row r="8" spans="1:10" ht="14.25" customHeight="1" x14ac:dyDescent="0.35">
      <c r="A8" s="2" t="s">
        <v>13</v>
      </c>
      <c r="B8" s="2" t="s">
        <v>14</v>
      </c>
      <c r="C8" s="2" t="s">
        <v>16</v>
      </c>
      <c r="D8" s="2" t="s">
        <v>17</v>
      </c>
      <c r="E8" s="3" t="s">
        <v>19</v>
      </c>
      <c r="F8" s="2" t="s">
        <v>47</v>
      </c>
      <c r="G8" s="2">
        <v>2026</v>
      </c>
      <c r="H8" s="2">
        <v>251.15</v>
      </c>
      <c r="I8" s="2"/>
      <c r="J8" s="2"/>
    </row>
    <row r="9" spans="1:10" ht="14.25" customHeight="1" x14ac:dyDescent="0.35">
      <c r="A9" s="2" t="s">
        <v>13</v>
      </c>
      <c r="B9" s="2" t="s">
        <v>14</v>
      </c>
      <c r="C9" s="2" t="s">
        <v>16</v>
      </c>
      <c r="D9" s="2" t="s">
        <v>17</v>
      </c>
      <c r="E9" s="3" t="s">
        <v>19</v>
      </c>
      <c r="F9" s="2" t="s">
        <v>47</v>
      </c>
      <c r="G9" s="2">
        <v>2027</v>
      </c>
      <c r="H9" s="2">
        <v>275.2</v>
      </c>
      <c r="I9" s="2"/>
      <c r="J9" s="2"/>
    </row>
    <row r="10" spans="1:10" ht="14.25" customHeight="1" x14ac:dyDescent="0.35">
      <c r="A10" s="2" t="s">
        <v>13</v>
      </c>
      <c r="B10" s="2" t="s">
        <v>14</v>
      </c>
      <c r="C10" s="2" t="s">
        <v>16</v>
      </c>
      <c r="D10" s="2" t="s">
        <v>17</v>
      </c>
      <c r="E10" s="3" t="s">
        <v>19</v>
      </c>
      <c r="F10" s="2" t="s">
        <v>47</v>
      </c>
      <c r="G10" s="2">
        <v>2028</v>
      </c>
      <c r="H10" s="2">
        <v>299.25</v>
      </c>
      <c r="I10" s="2"/>
      <c r="J10" s="2"/>
    </row>
    <row r="11" spans="1:10" ht="14.25" customHeight="1" x14ac:dyDescent="0.35">
      <c r="A11" s="2" t="s">
        <v>13</v>
      </c>
      <c r="B11" s="2" t="s">
        <v>14</v>
      </c>
      <c r="C11" s="2" t="s">
        <v>16</v>
      </c>
      <c r="D11" s="2" t="s">
        <v>17</v>
      </c>
      <c r="E11" s="3" t="s">
        <v>19</v>
      </c>
      <c r="F11" s="2" t="s">
        <v>47</v>
      </c>
      <c r="G11" s="2">
        <v>2029</v>
      </c>
      <c r="H11" s="2">
        <v>323.3</v>
      </c>
      <c r="I11" s="2"/>
      <c r="J11" s="2"/>
    </row>
    <row r="12" spans="1:10" ht="14.25" customHeight="1" x14ac:dyDescent="0.35">
      <c r="A12" s="2" t="s">
        <v>13</v>
      </c>
      <c r="B12" s="2" t="s">
        <v>14</v>
      </c>
      <c r="C12" s="2" t="s">
        <v>16</v>
      </c>
      <c r="D12" s="2" t="s">
        <v>17</v>
      </c>
      <c r="E12" s="3" t="s">
        <v>19</v>
      </c>
      <c r="F12" s="2" t="s">
        <v>47</v>
      </c>
      <c r="G12" s="2">
        <v>2045</v>
      </c>
      <c r="H12" s="2">
        <v>1612.75</v>
      </c>
      <c r="I12" s="2"/>
      <c r="J12" s="2"/>
    </row>
    <row r="13" spans="1:10" ht="14.25" customHeight="1" x14ac:dyDescent="0.35">
      <c r="A13" s="2" t="s">
        <v>59</v>
      </c>
      <c r="B13" s="2" t="s">
        <v>14</v>
      </c>
      <c r="C13" s="2" t="s">
        <v>16</v>
      </c>
      <c r="D13" s="2" t="s">
        <v>60</v>
      </c>
      <c r="E13" s="3" t="s">
        <v>61</v>
      </c>
      <c r="F13" s="2" t="s">
        <v>21</v>
      </c>
      <c r="G13" s="2">
        <v>2024</v>
      </c>
      <c r="H13" s="2">
        <v>33.47</v>
      </c>
      <c r="I13" s="2"/>
      <c r="J13" s="2"/>
    </row>
    <row r="14" spans="1:10" ht="14.25" customHeight="1" x14ac:dyDescent="0.35">
      <c r="A14" s="2" t="s">
        <v>59</v>
      </c>
      <c r="B14" s="2" t="s">
        <v>14</v>
      </c>
      <c r="C14" s="2" t="s">
        <v>16</v>
      </c>
      <c r="D14" s="2" t="s">
        <v>60</v>
      </c>
      <c r="E14" s="3" t="s">
        <v>61</v>
      </c>
      <c r="F14" s="2" t="s">
        <v>47</v>
      </c>
      <c r="G14" s="2">
        <v>2025</v>
      </c>
      <c r="H14" s="2">
        <v>36.590000000000003</v>
      </c>
      <c r="I14" s="2"/>
      <c r="J14" s="2"/>
    </row>
    <row r="15" spans="1:10" ht="14.25" customHeight="1" x14ac:dyDescent="0.35">
      <c r="A15" s="2" t="s">
        <v>59</v>
      </c>
      <c r="B15" s="2" t="s">
        <v>14</v>
      </c>
      <c r="C15" s="2" t="s">
        <v>16</v>
      </c>
      <c r="D15" s="2" t="s">
        <v>60</v>
      </c>
      <c r="E15" s="3" t="s">
        <v>61</v>
      </c>
      <c r="F15" s="2" t="s">
        <v>47</v>
      </c>
      <c r="G15" s="2">
        <v>2026</v>
      </c>
      <c r="H15" s="2">
        <v>37.82</v>
      </c>
      <c r="I15" s="2"/>
      <c r="J15" s="2"/>
    </row>
    <row r="16" spans="1:10" ht="14.25" customHeight="1" x14ac:dyDescent="0.35">
      <c r="A16" s="2" t="s">
        <v>59</v>
      </c>
      <c r="B16" s="2" t="s">
        <v>14</v>
      </c>
      <c r="C16" s="2" t="s">
        <v>16</v>
      </c>
      <c r="D16" s="2" t="s">
        <v>60</v>
      </c>
      <c r="E16" s="3" t="s">
        <v>61</v>
      </c>
      <c r="F16" s="2" t="s">
        <v>47</v>
      </c>
      <c r="G16" s="2">
        <v>2027</v>
      </c>
      <c r="H16" s="2">
        <v>40.049999999999997</v>
      </c>
      <c r="I16" s="2"/>
      <c r="J16" s="2"/>
    </row>
    <row r="17" spans="1:10" ht="14.25" customHeight="1" x14ac:dyDescent="0.35">
      <c r="A17" s="2" t="s">
        <v>59</v>
      </c>
      <c r="B17" s="2" t="s">
        <v>14</v>
      </c>
      <c r="C17" s="2" t="s">
        <v>16</v>
      </c>
      <c r="D17" s="2" t="s">
        <v>60</v>
      </c>
      <c r="E17" s="3" t="s">
        <v>61</v>
      </c>
      <c r="F17" s="2" t="s">
        <v>47</v>
      </c>
      <c r="G17" s="2">
        <v>2028</v>
      </c>
      <c r="H17" s="2">
        <v>41.28</v>
      </c>
      <c r="I17" s="2"/>
      <c r="J17" s="2"/>
    </row>
    <row r="18" spans="1:10" ht="14.25" customHeight="1" x14ac:dyDescent="0.35">
      <c r="A18" s="2" t="s">
        <v>59</v>
      </c>
      <c r="B18" s="2" t="s">
        <v>14</v>
      </c>
      <c r="C18" s="2" t="s">
        <v>16</v>
      </c>
      <c r="D18" s="2" t="s">
        <v>60</v>
      </c>
      <c r="E18" s="3" t="s">
        <v>61</v>
      </c>
      <c r="F18" s="2" t="s">
        <v>47</v>
      </c>
      <c r="G18" s="2">
        <v>2029</v>
      </c>
      <c r="H18" s="2">
        <v>42.51</v>
      </c>
      <c r="I18" s="2"/>
      <c r="J18" s="2"/>
    </row>
    <row r="19" spans="1:10" ht="14.25" customHeight="1" x14ac:dyDescent="0.35">
      <c r="A19" s="2" t="s">
        <v>59</v>
      </c>
      <c r="B19" s="2" t="s">
        <v>14</v>
      </c>
      <c r="C19" s="2" t="s">
        <v>16</v>
      </c>
      <c r="D19" s="2" t="s">
        <v>60</v>
      </c>
      <c r="E19" s="3" t="s">
        <v>61</v>
      </c>
      <c r="F19" s="2" t="s">
        <v>47</v>
      </c>
      <c r="G19" s="2">
        <v>2045</v>
      </c>
      <c r="H19" s="2">
        <v>44.83</v>
      </c>
      <c r="I19" s="2"/>
      <c r="J19" s="2"/>
    </row>
    <row r="20" spans="1:10" ht="14.25" customHeight="1" x14ac:dyDescent="0.35">
      <c r="A20" s="2" t="s">
        <v>64</v>
      </c>
      <c r="B20" s="2" t="s">
        <v>14</v>
      </c>
      <c r="C20" s="2" t="s">
        <v>16</v>
      </c>
      <c r="D20" s="2" t="s">
        <v>66</v>
      </c>
      <c r="E20" s="3" t="s">
        <v>67</v>
      </c>
      <c r="F20" s="2" t="s">
        <v>21</v>
      </c>
      <c r="G20" s="2">
        <v>2021</v>
      </c>
      <c r="H20" s="2">
        <v>8.9</v>
      </c>
      <c r="I20" s="2"/>
      <c r="J20" s="2"/>
    </row>
    <row r="21" spans="1:10" ht="14.25" customHeight="1" x14ac:dyDescent="0.35">
      <c r="A21" s="2" t="s">
        <v>64</v>
      </c>
      <c r="B21" s="2" t="s">
        <v>14</v>
      </c>
      <c r="C21" s="2" t="s">
        <v>16</v>
      </c>
      <c r="D21" s="2" t="s">
        <v>66</v>
      </c>
      <c r="E21" s="3" t="s">
        <v>67</v>
      </c>
      <c r="F21" s="2" t="s">
        <v>21</v>
      </c>
      <c r="G21" s="2">
        <v>2022</v>
      </c>
      <c r="H21" s="2">
        <v>7.77</v>
      </c>
      <c r="I21" s="2"/>
      <c r="J21" s="2"/>
    </row>
    <row r="22" spans="1:10" ht="14.25" customHeight="1" x14ac:dyDescent="0.35">
      <c r="A22" s="2" t="s">
        <v>64</v>
      </c>
      <c r="B22" s="2" t="s">
        <v>14</v>
      </c>
      <c r="C22" s="2" t="s">
        <v>16</v>
      </c>
      <c r="D22" s="2" t="s">
        <v>66</v>
      </c>
      <c r="E22" s="3" t="s">
        <v>67</v>
      </c>
      <c r="F22" s="2" t="s">
        <v>21</v>
      </c>
      <c r="G22" s="2">
        <v>2023</v>
      </c>
      <c r="H22" s="2">
        <v>7.69</v>
      </c>
      <c r="I22" s="2"/>
      <c r="J22" s="2"/>
    </row>
    <row r="23" spans="1:10" ht="14.25" customHeight="1" x14ac:dyDescent="0.35">
      <c r="A23" s="2" t="s">
        <v>64</v>
      </c>
      <c r="B23" s="2" t="s">
        <v>14</v>
      </c>
      <c r="C23" s="2" t="s">
        <v>16</v>
      </c>
      <c r="D23" s="2" t="s">
        <v>66</v>
      </c>
      <c r="E23" s="3" t="s">
        <v>67</v>
      </c>
      <c r="F23" s="2" t="s">
        <v>21</v>
      </c>
      <c r="G23" s="2">
        <v>2024</v>
      </c>
      <c r="H23" s="2">
        <v>8.27</v>
      </c>
      <c r="I23" s="2"/>
      <c r="J23" s="2"/>
    </row>
    <row r="24" spans="1:10" ht="14.25" customHeight="1" x14ac:dyDescent="0.35">
      <c r="A24" s="2" t="s">
        <v>64</v>
      </c>
      <c r="B24" s="2" t="s">
        <v>14</v>
      </c>
      <c r="C24" s="2" t="s">
        <v>16</v>
      </c>
      <c r="D24" s="2" t="s">
        <v>66</v>
      </c>
      <c r="E24" s="3" t="s">
        <v>67</v>
      </c>
      <c r="F24" s="2" t="s">
        <v>21</v>
      </c>
      <c r="G24" s="2">
        <v>2025</v>
      </c>
      <c r="H24" s="2">
        <v>8.75</v>
      </c>
      <c r="I24" s="2"/>
      <c r="J24" s="2"/>
    </row>
    <row r="25" spans="1:10" ht="14.25" customHeight="1" x14ac:dyDescent="0.35">
      <c r="A25" s="2" t="s">
        <v>64</v>
      </c>
      <c r="B25" s="2" t="s">
        <v>14</v>
      </c>
      <c r="C25" s="2" t="s">
        <v>16</v>
      </c>
      <c r="D25" s="2" t="s">
        <v>66</v>
      </c>
      <c r="E25" s="3" t="s">
        <v>67</v>
      </c>
      <c r="F25" s="2" t="s">
        <v>47</v>
      </c>
      <c r="G25" s="2">
        <v>2025</v>
      </c>
      <c r="H25" s="2">
        <v>8.6300000000000008</v>
      </c>
      <c r="I25" s="2"/>
      <c r="J25" s="2"/>
    </row>
    <row r="26" spans="1:10" ht="14.25" customHeight="1" x14ac:dyDescent="0.35">
      <c r="A26" s="2" t="s">
        <v>64</v>
      </c>
      <c r="B26" s="2" t="s">
        <v>14</v>
      </c>
      <c r="C26" s="2" t="s">
        <v>16</v>
      </c>
      <c r="D26" s="2" t="s">
        <v>66</v>
      </c>
      <c r="E26" s="3" t="s">
        <v>67</v>
      </c>
      <c r="F26" s="2" t="s">
        <v>47</v>
      </c>
      <c r="G26" s="2">
        <v>2026</v>
      </c>
      <c r="H26" s="2">
        <v>9.11</v>
      </c>
      <c r="I26" s="2"/>
      <c r="J26" s="2"/>
    </row>
    <row r="27" spans="1:10" ht="14.25" customHeight="1" x14ac:dyDescent="0.35">
      <c r="A27" s="2" t="s">
        <v>64</v>
      </c>
      <c r="B27" s="2" t="s">
        <v>14</v>
      </c>
      <c r="C27" s="2" t="s">
        <v>16</v>
      </c>
      <c r="D27" s="2" t="s">
        <v>66</v>
      </c>
      <c r="E27" s="3" t="s">
        <v>67</v>
      </c>
      <c r="F27" s="2" t="s">
        <v>47</v>
      </c>
      <c r="G27" s="2">
        <v>2027</v>
      </c>
      <c r="H27" s="2">
        <v>9.83</v>
      </c>
      <c r="I27" s="2"/>
      <c r="J27" s="2"/>
    </row>
    <row r="28" spans="1:10" ht="14.25" customHeight="1" x14ac:dyDescent="0.35">
      <c r="A28" s="2" t="s">
        <v>64</v>
      </c>
      <c r="B28" s="2" t="s">
        <v>14</v>
      </c>
      <c r="C28" s="2" t="s">
        <v>16</v>
      </c>
      <c r="D28" s="2" t="s">
        <v>66</v>
      </c>
      <c r="E28" s="3" t="s">
        <v>67</v>
      </c>
      <c r="F28" s="2" t="s">
        <v>47</v>
      </c>
      <c r="G28" s="2">
        <v>2028</v>
      </c>
      <c r="H28" s="2">
        <v>10.55</v>
      </c>
      <c r="I28" s="2"/>
      <c r="J28" s="2"/>
    </row>
    <row r="29" spans="1:10" ht="14.25" customHeight="1" x14ac:dyDescent="0.35">
      <c r="A29" s="2" t="s">
        <v>64</v>
      </c>
      <c r="B29" s="2" t="s">
        <v>14</v>
      </c>
      <c r="C29" s="2" t="s">
        <v>16</v>
      </c>
      <c r="D29" s="2" t="s">
        <v>66</v>
      </c>
      <c r="E29" s="3" t="s">
        <v>67</v>
      </c>
      <c r="F29" s="2" t="s">
        <v>47</v>
      </c>
      <c r="G29" s="2">
        <v>2029</v>
      </c>
      <c r="H29" s="2">
        <v>11.91</v>
      </c>
      <c r="I29" s="2"/>
      <c r="J29" s="2"/>
    </row>
    <row r="30" spans="1:10" ht="14.25" customHeight="1" x14ac:dyDescent="0.35">
      <c r="A30" s="2" t="s">
        <v>64</v>
      </c>
      <c r="B30" s="2" t="s">
        <v>14</v>
      </c>
      <c r="C30" s="2" t="s">
        <v>16</v>
      </c>
      <c r="D30" s="2" t="s">
        <v>66</v>
      </c>
      <c r="E30" s="3" t="s">
        <v>67</v>
      </c>
      <c r="F30" s="2" t="s">
        <v>47</v>
      </c>
      <c r="G30" s="2">
        <v>2045</v>
      </c>
      <c r="H30" s="2">
        <v>25.26</v>
      </c>
      <c r="I30" s="2"/>
      <c r="J30" s="2"/>
    </row>
    <row r="31" spans="1:10" ht="14.25" customHeight="1" x14ac:dyDescent="0.35">
      <c r="A31" s="2" t="s">
        <v>80</v>
      </c>
      <c r="B31" s="2" t="s">
        <v>14</v>
      </c>
      <c r="C31" s="2" t="s">
        <v>16</v>
      </c>
      <c r="D31" s="2" t="s">
        <v>83</v>
      </c>
      <c r="E31" s="3" t="s">
        <v>84</v>
      </c>
      <c r="F31" s="2" t="s">
        <v>21</v>
      </c>
      <c r="G31" s="2">
        <v>2021</v>
      </c>
      <c r="H31" s="2">
        <v>7.36</v>
      </c>
      <c r="I31" s="2"/>
      <c r="J31" s="2"/>
    </row>
    <row r="32" spans="1:10" ht="14.25" customHeight="1" x14ac:dyDescent="0.35">
      <c r="A32" s="2" t="s">
        <v>80</v>
      </c>
      <c r="B32" s="2" t="s">
        <v>14</v>
      </c>
      <c r="C32" s="2" t="s">
        <v>16</v>
      </c>
      <c r="D32" s="2" t="s">
        <v>83</v>
      </c>
      <c r="E32" s="3" t="s">
        <v>84</v>
      </c>
      <c r="F32" s="2" t="s">
        <v>21</v>
      </c>
      <c r="G32" s="2">
        <v>2022</v>
      </c>
      <c r="H32" s="2">
        <v>6.77</v>
      </c>
      <c r="I32" s="2"/>
      <c r="J32" s="2"/>
    </row>
    <row r="33" spans="1:10" ht="14.25" customHeight="1" x14ac:dyDescent="0.35">
      <c r="A33" s="2" t="s">
        <v>80</v>
      </c>
      <c r="B33" s="2" t="s">
        <v>14</v>
      </c>
      <c r="C33" s="2" t="s">
        <v>16</v>
      </c>
      <c r="D33" s="2" t="s">
        <v>83</v>
      </c>
      <c r="E33" s="3" t="s">
        <v>84</v>
      </c>
      <c r="F33" s="2" t="s">
        <v>21</v>
      </c>
      <c r="G33" s="2">
        <v>2023</v>
      </c>
      <c r="H33" s="2">
        <v>6.45</v>
      </c>
      <c r="I33" s="2"/>
      <c r="J33" s="2"/>
    </row>
    <row r="34" spans="1:10" ht="14.25" customHeight="1" x14ac:dyDescent="0.35">
      <c r="A34" s="2" t="s">
        <v>80</v>
      </c>
      <c r="B34" s="2" t="s">
        <v>14</v>
      </c>
      <c r="C34" s="2" t="s">
        <v>16</v>
      </c>
      <c r="D34" s="2" t="s">
        <v>83</v>
      </c>
      <c r="E34" s="3" t="s">
        <v>84</v>
      </c>
      <c r="F34" s="2" t="s">
        <v>21</v>
      </c>
      <c r="G34" s="2">
        <v>2024</v>
      </c>
      <c r="H34" s="2">
        <v>6.32</v>
      </c>
      <c r="I34" s="2"/>
      <c r="J34" s="2"/>
    </row>
    <row r="35" spans="1:10" ht="14.25" customHeight="1" x14ac:dyDescent="0.35">
      <c r="A35" s="2" t="s">
        <v>80</v>
      </c>
      <c r="B35" s="2" t="s">
        <v>14</v>
      </c>
      <c r="C35" s="2" t="s">
        <v>16</v>
      </c>
      <c r="D35" s="2" t="s">
        <v>83</v>
      </c>
      <c r="E35" s="3" t="s">
        <v>84</v>
      </c>
      <c r="F35" s="2" t="s">
        <v>21</v>
      </c>
      <c r="G35" s="2">
        <v>2025</v>
      </c>
      <c r="H35" s="2">
        <v>5.54</v>
      </c>
      <c r="I35" s="2"/>
      <c r="J35" s="2"/>
    </row>
    <row r="36" spans="1:10" ht="14.25" customHeight="1" x14ac:dyDescent="0.35">
      <c r="A36" s="2" t="s">
        <v>80</v>
      </c>
      <c r="B36" s="2" t="s">
        <v>14</v>
      </c>
      <c r="C36" s="2" t="s">
        <v>16</v>
      </c>
      <c r="D36" s="2" t="s">
        <v>83</v>
      </c>
      <c r="E36" s="3" t="s">
        <v>84</v>
      </c>
      <c r="F36" s="2" t="s">
        <v>47</v>
      </c>
      <c r="G36" s="2">
        <v>2025</v>
      </c>
      <c r="H36" s="2">
        <v>5.07</v>
      </c>
      <c r="I36" s="2"/>
      <c r="J36" s="2"/>
    </row>
    <row r="37" spans="1:10" ht="14.25" customHeight="1" x14ac:dyDescent="0.35">
      <c r="A37" s="2" t="s">
        <v>80</v>
      </c>
      <c r="B37" s="2" t="s">
        <v>14</v>
      </c>
      <c r="C37" s="2" t="s">
        <v>16</v>
      </c>
      <c r="D37" s="2" t="s">
        <v>83</v>
      </c>
      <c r="E37" s="3" t="s">
        <v>84</v>
      </c>
      <c r="F37" s="2" t="s">
        <v>47</v>
      </c>
      <c r="G37" s="2">
        <v>2026</v>
      </c>
      <c r="H37" s="2">
        <v>5</v>
      </c>
      <c r="I37" s="2"/>
      <c r="J37" s="2"/>
    </row>
    <row r="38" spans="1:10" ht="14.25" customHeight="1" x14ac:dyDescent="0.35">
      <c r="A38" s="2" t="s">
        <v>80</v>
      </c>
      <c r="B38" s="2" t="s">
        <v>14</v>
      </c>
      <c r="C38" s="2" t="s">
        <v>16</v>
      </c>
      <c r="D38" s="2" t="s">
        <v>83</v>
      </c>
      <c r="E38" s="3" t="s">
        <v>84</v>
      </c>
      <c r="F38" s="2" t="s">
        <v>47</v>
      </c>
      <c r="G38" s="2">
        <v>2027</v>
      </c>
      <c r="H38" s="2">
        <v>4.2</v>
      </c>
      <c r="I38" s="2"/>
      <c r="J38" s="2"/>
    </row>
    <row r="39" spans="1:10" ht="14.25" customHeight="1" x14ac:dyDescent="0.35">
      <c r="A39" s="2" t="s">
        <v>80</v>
      </c>
      <c r="B39" s="2" t="s">
        <v>14</v>
      </c>
      <c r="C39" s="2" t="s">
        <v>16</v>
      </c>
      <c r="D39" s="2" t="s">
        <v>83</v>
      </c>
      <c r="E39" s="3" t="s">
        <v>84</v>
      </c>
      <c r="F39" s="2" t="s">
        <v>47</v>
      </c>
      <c r="G39" s="2">
        <v>2028</v>
      </c>
      <c r="H39" s="2">
        <v>3.77</v>
      </c>
      <c r="I39" s="2"/>
      <c r="J39" s="2"/>
    </row>
    <row r="40" spans="1:10" ht="14.25" customHeight="1" x14ac:dyDescent="0.35">
      <c r="A40" s="2" t="s">
        <v>80</v>
      </c>
      <c r="B40" s="2" t="s">
        <v>14</v>
      </c>
      <c r="C40" s="2" t="s">
        <v>16</v>
      </c>
      <c r="D40" s="2" t="s">
        <v>83</v>
      </c>
      <c r="E40" s="3" t="s">
        <v>84</v>
      </c>
      <c r="F40" s="2" t="s">
        <v>47</v>
      </c>
      <c r="G40" s="2">
        <v>2029</v>
      </c>
      <c r="H40" s="2">
        <v>3.33</v>
      </c>
      <c r="I40" s="2"/>
      <c r="J40" s="2"/>
    </row>
    <row r="41" spans="1:10" ht="14.25" customHeight="1" x14ac:dyDescent="0.35">
      <c r="A41" s="2" t="s">
        <v>80</v>
      </c>
      <c r="B41" s="2" t="s">
        <v>14</v>
      </c>
      <c r="C41" s="2" t="s">
        <v>16</v>
      </c>
      <c r="D41" s="2" t="s">
        <v>83</v>
      </c>
      <c r="E41" s="3" t="s">
        <v>84</v>
      </c>
      <c r="F41" s="2" t="s">
        <v>47</v>
      </c>
      <c r="G41" s="2">
        <v>2045</v>
      </c>
      <c r="H41" s="2">
        <v>0.54</v>
      </c>
      <c r="I41" s="2"/>
      <c r="J41" s="2"/>
    </row>
    <row r="42" spans="1:10" ht="14.25" customHeight="1" x14ac:dyDescent="0.35">
      <c r="A42" s="2" t="s">
        <v>93</v>
      </c>
      <c r="B42" s="2" t="s">
        <v>14</v>
      </c>
      <c r="C42" s="2" t="s">
        <v>16</v>
      </c>
      <c r="D42" s="2" t="s">
        <v>94</v>
      </c>
      <c r="E42" s="3" t="s">
        <v>95</v>
      </c>
      <c r="F42" s="2" t="s">
        <v>21</v>
      </c>
      <c r="G42" s="2">
        <v>2021</v>
      </c>
      <c r="H42" s="2">
        <v>0.28499999999999998</v>
      </c>
      <c r="I42" s="2"/>
      <c r="J42" s="2"/>
    </row>
    <row r="43" spans="1:10" ht="14.25" customHeight="1" x14ac:dyDescent="0.35">
      <c r="A43" s="2" t="s">
        <v>93</v>
      </c>
      <c r="B43" s="2" t="s">
        <v>14</v>
      </c>
      <c r="C43" s="2" t="s">
        <v>16</v>
      </c>
      <c r="D43" s="2" t="s">
        <v>94</v>
      </c>
      <c r="E43" s="3" t="s">
        <v>95</v>
      </c>
      <c r="F43" s="2" t="s">
        <v>21</v>
      </c>
      <c r="G43" s="2">
        <v>2022</v>
      </c>
      <c r="H43" s="2">
        <v>0.27</v>
      </c>
      <c r="I43" s="2"/>
      <c r="J43" s="2"/>
    </row>
    <row r="44" spans="1:10" ht="14.25" customHeight="1" x14ac:dyDescent="0.35">
      <c r="A44" s="2" t="s">
        <v>93</v>
      </c>
      <c r="B44" s="2" t="s">
        <v>14</v>
      </c>
      <c r="C44" s="2" t="s">
        <v>16</v>
      </c>
      <c r="D44" s="2" t="s">
        <v>94</v>
      </c>
      <c r="E44" s="3" t="s">
        <v>95</v>
      </c>
      <c r="F44" s="2" t="s">
        <v>21</v>
      </c>
      <c r="G44" s="2">
        <v>2023</v>
      </c>
      <c r="H44" s="2">
        <v>0.27700000000000002</v>
      </c>
      <c r="I44" s="2"/>
      <c r="J44" s="2"/>
    </row>
    <row r="45" spans="1:10" ht="14.25" customHeight="1" x14ac:dyDescent="0.35">
      <c r="A45" s="2" t="s">
        <v>93</v>
      </c>
      <c r="B45" s="2" t="s">
        <v>14</v>
      </c>
      <c r="C45" s="2" t="s">
        <v>16</v>
      </c>
      <c r="D45" s="2" t="s">
        <v>94</v>
      </c>
      <c r="E45" s="3" t="s">
        <v>95</v>
      </c>
      <c r="F45" s="2" t="s">
        <v>21</v>
      </c>
      <c r="G45" s="2">
        <v>2024</v>
      </c>
      <c r="H45" s="2">
        <v>0.25900000000000001</v>
      </c>
      <c r="I45" s="2"/>
      <c r="J45" s="2"/>
    </row>
    <row r="46" spans="1:10" ht="14.25" customHeight="1" x14ac:dyDescent="0.35">
      <c r="A46" s="2" t="s">
        <v>93</v>
      </c>
      <c r="B46" s="2" t="s">
        <v>14</v>
      </c>
      <c r="C46" s="2" t="s">
        <v>16</v>
      </c>
      <c r="D46" s="2" t="s">
        <v>94</v>
      </c>
      <c r="E46" s="3" t="s">
        <v>95</v>
      </c>
      <c r="F46" s="2" t="s">
        <v>21</v>
      </c>
      <c r="G46" s="2">
        <v>2025</v>
      </c>
      <c r="H46" s="2">
        <v>0.251</v>
      </c>
      <c r="I46" s="2"/>
      <c r="J46" s="2"/>
    </row>
    <row r="47" spans="1:10" ht="14.25" customHeight="1" x14ac:dyDescent="0.35">
      <c r="A47" s="2" t="s">
        <v>93</v>
      </c>
      <c r="B47" s="2" t="s">
        <v>14</v>
      </c>
      <c r="C47" s="2" t="s">
        <v>16</v>
      </c>
      <c r="D47" s="2" t="s">
        <v>94</v>
      </c>
      <c r="E47" s="3" t="s">
        <v>95</v>
      </c>
      <c r="F47" s="2" t="s">
        <v>47</v>
      </c>
      <c r="G47" s="2">
        <v>2025</v>
      </c>
      <c r="H47" s="2">
        <v>0.25600000000000001</v>
      </c>
      <c r="I47" s="2"/>
      <c r="J47" s="2"/>
    </row>
    <row r="48" spans="1:10" ht="14.25" customHeight="1" x14ac:dyDescent="0.35">
      <c r="A48" s="2" t="s">
        <v>93</v>
      </c>
      <c r="B48" s="2" t="s">
        <v>14</v>
      </c>
      <c r="C48" s="2" t="s">
        <v>16</v>
      </c>
      <c r="D48" s="2" t="s">
        <v>94</v>
      </c>
      <c r="E48" s="3" t="s">
        <v>95</v>
      </c>
      <c r="F48" s="2" t="s">
        <v>47</v>
      </c>
      <c r="G48" s="2">
        <v>2026</v>
      </c>
      <c r="H48" s="2">
        <v>0.253</v>
      </c>
      <c r="I48" s="2"/>
      <c r="J48" s="2"/>
    </row>
    <row r="49" spans="1:10" ht="14.25" customHeight="1" x14ac:dyDescent="0.35">
      <c r="A49" s="2" t="s">
        <v>93</v>
      </c>
      <c r="B49" s="2" t="s">
        <v>14</v>
      </c>
      <c r="C49" s="2" t="s">
        <v>16</v>
      </c>
      <c r="D49" s="2" t="s">
        <v>94</v>
      </c>
      <c r="E49" s="3" t="s">
        <v>95</v>
      </c>
      <c r="F49" s="2" t="s">
        <v>47</v>
      </c>
      <c r="G49" s="2">
        <v>2027</v>
      </c>
      <c r="H49" s="2">
        <v>0.251</v>
      </c>
      <c r="I49" s="2"/>
      <c r="J49" s="2"/>
    </row>
    <row r="50" spans="1:10" ht="14.25" customHeight="1" x14ac:dyDescent="0.35">
      <c r="A50" s="2" t="s">
        <v>93</v>
      </c>
      <c r="B50" s="2" t="s">
        <v>14</v>
      </c>
      <c r="C50" s="2" t="s">
        <v>16</v>
      </c>
      <c r="D50" s="2" t="s">
        <v>94</v>
      </c>
      <c r="E50" s="3" t="s">
        <v>95</v>
      </c>
      <c r="F50" s="2" t="s">
        <v>47</v>
      </c>
      <c r="G50" s="2">
        <v>2028</v>
      </c>
      <c r="H50" s="2">
        <v>0.249</v>
      </c>
      <c r="I50" s="2"/>
      <c r="J50" s="2"/>
    </row>
    <row r="51" spans="1:10" ht="14.25" customHeight="1" x14ac:dyDescent="0.35">
      <c r="A51" s="2" t="s">
        <v>93</v>
      </c>
      <c r="B51" s="2" t="s">
        <v>14</v>
      </c>
      <c r="C51" s="2" t="s">
        <v>16</v>
      </c>
      <c r="D51" s="2" t="s">
        <v>94</v>
      </c>
      <c r="E51" s="3" t="s">
        <v>95</v>
      </c>
      <c r="F51" s="2" t="s">
        <v>47</v>
      </c>
      <c r="G51" s="2">
        <v>2029</v>
      </c>
      <c r="H51" s="2">
        <v>0.246</v>
      </c>
      <c r="I51" s="2"/>
      <c r="J51" s="2"/>
    </row>
    <row r="52" spans="1:10" ht="14.25" customHeight="1" x14ac:dyDescent="0.35">
      <c r="A52" s="2" t="s">
        <v>93</v>
      </c>
      <c r="B52" s="2" t="s">
        <v>14</v>
      </c>
      <c r="C52" s="2" t="s">
        <v>16</v>
      </c>
      <c r="D52" s="2" t="s">
        <v>94</v>
      </c>
      <c r="E52" s="3" t="s">
        <v>95</v>
      </c>
      <c r="F52" s="2" t="s">
        <v>47</v>
      </c>
      <c r="G52" s="2">
        <v>2045</v>
      </c>
      <c r="H52" s="2">
        <v>0.20899999999999999</v>
      </c>
      <c r="I52" s="2"/>
      <c r="J52" s="2"/>
    </row>
    <row r="53" spans="1:10" ht="14.25" customHeight="1" x14ac:dyDescent="0.35">
      <c r="A53" s="2" t="s">
        <v>101</v>
      </c>
      <c r="B53" s="2" t="s">
        <v>14</v>
      </c>
      <c r="C53" s="2" t="s">
        <v>16</v>
      </c>
      <c r="D53" s="2" t="s">
        <v>102</v>
      </c>
      <c r="E53" s="3" t="s">
        <v>103</v>
      </c>
      <c r="F53" s="2" t="s">
        <v>21</v>
      </c>
      <c r="G53" s="2">
        <v>2021</v>
      </c>
      <c r="H53" s="2">
        <v>0.66</v>
      </c>
      <c r="I53" s="2"/>
      <c r="J53" s="2"/>
    </row>
    <row r="54" spans="1:10" ht="14.25" customHeight="1" x14ac:dyDescent="0.35">
      <c r="A54" s="2" t="s">
        <v>101</v>
      </c>
      <c r="B54" s="2" t="s">
        <v>14</v>
      </c>
      <c r="C54" s="2" t="s">
        <v>16</v>
      </c>
      <c r="D54" s="2" t="s">
        <v>102</v>
      </c>
      <c r="E54" s="3" t="s">
        <v>103</v>
      </c>
      <c r="F54" s="2" t="s">
        <v>21</v>
      </c>
      <c r="G54" s="2">
        <v>2022</v>
      </c>
      <c r="H54" s="2">
        <v>0.72</v>
      </c>
      <c r="I54" s="2"/>
      <c r="J54" s="2"/>
    </row>
    <row r="55" spans="1:10" ht="14.25" customHeight="1" x14ac:dyDescent="0.35">
      <c r="A55" s="2" t="s">
        <v>101</v>
      </c>
      <c r="B55" s="2" t="s">
        <v>14</v>
      </c>
      <c r="C55" s="2" t="s">
        <v>16</v>
      </c>
      <c r="D55" s="2" t="s">
        <v>102</v>
      </c>
      <c r="E55" s="3" t="s">
        <v>103</v>
      </c>
      <c r="F55" s="2" t="s">
        <v>21</v>
      </c>
      <c r="G55" s="2">
        <v>2023</v>
      </c>
      <c r="H55" s="2">
        <v>0.72</v>
      </c>
      <c r="I55" s="2"/>
      <c r="J55" s="2"/>
    </row>
    <row r="56" spans="1:10" ht="14.25" customHeight="1" x14ac:dyDescent="0.35">
      <c r="A56" s="2" t="s">
        <v>101</v>
      </c>
      <c r="B56" s="2" t="s">
        <v>14</v>
      </c>
      <c r="C56" s="2" t="s">
        <v>16</v>
      </c>
      <c r="D56" s="2" t="s">
        <v>102</v>
      </c>
      <c r="E56" s="3" t="s">
        <v>103</v>
      </c>
      <c r="F56" s="2" t="s">
        <v>21</v>
      </c>
      <c r="G56" s="2">
        <v>2024</v>
      </c>
      <c r="H56" s="2">
        <v>0.67</v>
      </c>
      <c r="I56" s="2"/>
      <c r="J56" s="2"/>
    </row>
    <row r="57" spans="1:10" ht="14.25" customHeight="1" x14ac:dyDescent="0.35">
      <c r="A57" s="2" t="s">
        <v>101</v>
      </c>
      <c r="B57" s="2" t="s">
        <v>14</v>
      </c>
      <c r="C57" s="2" t="s">
        <v>16</v>
      </c>
      <c r="D57" s="2" t="s">
        <v>102</v>
      </c>
      <c r="E57" s="3" t="s">
        <v>103</v>
      </c>
      <c r="F57" s="2" t="s">
        <v>21</v>
      </c>
      <c r="G57" s="2">
        <v>2025</v>
      </c>
      <c r="H57" s="2">
        <v>0.66</v>
      </c>
      <c r="I57" s="2"/>
      <c r="J57" s="2"/>
    </row>
    <row r="58" spans="1:10" ht="14.25" customHeight="1" x14ac:dyDescent="0.35">
      <c r="A58" s="2" t="s">
        <v>101</v>
      </c>
      <c r="B58" s="2" t="s">
        <v>14</v>
      </c>
      <c r="C58" s="2" t="s">
        <v>16</v>
      </c>
      <c r="D58" s="2" t="s">
        <v>102</v>
      </c>
      <c r="E58" s="3" t="s">
        <v>103</v>
      </c>
      <c r="F58" s="2" t="s">
        <v>47</v>
      </c>
      <c r="G58" s="2">
        <v>2025</v>
      </c>
      <c r="H58" s="2">
        <v>0.7</v>
      </c>
      <c r="I58" s="2"/>
      <c r="J58" s="2"/>
    </row>
    <row r="59" spans="1:10" ht="14.25" customHeight="1" x14ac:dyDescent="0.35">
      <c r="A59" s="2" t="s">
        <v>101</v>
      </c>
      <c r="B59" s="2" t="s">
        <v>14</v>
      </c>
      <c r="C59" s="2" t="s">
        <v>16</v>
      </c>
      <c r="D59" s="2" t="s">
        <v>102</v>
      </c>
      <c r="E59" s="3" t="s">
        <v>103</v>
      </c>
      <c r="F59" s="2" t="s">
        <v>47</v>
      </c>
      <c r="G59" s="2">
        <v>2026</v>
      </c>
      <c r="H59" s="2">
        <v>0.7</v>
      </c>
      <c r="I59" s="2"/>
      <c r="J59" s="2"/>
    </row>
    <row r="60" spans="1:10" ht="14.25" customHeight="1" x14ac:dyDescent="0.35">
      <c r="A60" s="2" t="s">
        <v>101</v>
      </c>
      <c r="B60" s="2" t="s">
        <v>14</v>
      </c>
      <c r="C60" s="2" t="s">
        <v>16</v>
      </c>
      <c r="D60" s="2" t="s">
        <v>102</v>
      </c>
      <c r="E60" s="3" t="s">
        <v>103</v>
      </c>
      <c r="F60" s="2" t="s">
        <v>47</v>
      </c>
      <c r="G60" s="2">
        <v>2027</v>
      </c>
      <c r="H60" s="2">
        <v>0.7</v>
      </c>
      <c r="I60" s="2"/>
      <c r="J60" s="2"/>
    </row>
    <row r="61" spans="1:10" ht="14.25" customHeight="1" x14ac:dyDescent="0.35">
      <c r="A61" s="2" t="s">
        <v>101</v>
      </c>
      <c r="B61" s="2" t="s">
        <v>14</v>
      </c>
      <c r="C61" s="2" t="s">
        <v>16</v>
      </c>
      <c r="D61" s="2" t="s">
        <v>102</v>
      </c>
      <c r="E61" s="3" t="s">
        <v>103</v>
      </c>
      <c r="F61" s="2" t="s">
        <v>47</v>
      </c>
      <c r="G61" s="2">
        <v>2028</v>
      </c>
      <c r="H61" s="2">
        <v>0.7</v>
      </c>
      <c r="I61" s="2"/>
      <c r="J61" s="2"/>
    </row>
    <row r="62" spans="1:10" ht="14.25" customHeight="1" x14ac:dyDescent="0.35">
      <c r="A62" s="2" t="s">
        <v>101</v>
      </c>
      <c r="B62" s="2" t="s">
        <v>14</v>
      </c>
      <c r="C62" s="2" t="s">
        <v>16</v>
      </c>
      <c r="D62" s="2" t="s">
        <v>102</v>
      </c>
      <c r="E62" s="3" t="s">
        <v>103</v>
      </c>
      <c r="F62" s="2" t="s">
        <v>47</v>
      </c>
      <c r="G62" s="2">
        <v>2029</v>
      </c>
      <c r="H62" s="2">
        <v>0.7</v>
      </c>
      <c r="I62" s="2"/>
      <c r="J62" s="2"/>
    </row>
    <row r="63" spans="1:10" ht="14.25" customHeight="1" x14ac:dyDescent="0.35">
      <c r="A63" s="2" t="s">
        <v>101</v>
      </c>
      <c r="B63" s="2" t="s">
        <v>14</v>
      </c>
      <c r="C63" s="2" t="s">
        <v>16</v>
      </c>
      <c r="D63" s="2" t="s">
        <v>102</v>
      </c>
      <c r="E63" s="3" t="s">
        <v>103</v>
      </c>
      <c r="F63" s="2" t="s">
        <v>47</v>
      </c>
      <c r="G63" s="2">
        <v>2045</v>
      </c>
      <c r="H63" s="2">
        <v>0.85</v>
      </c>
      <c r="I63" s="2"/>
      <c r="J63" s="2"/>
    </row>
    <row r="64" spans="1:10" ht="14.25" customHeight="1" x14ac:dyDescent="0.35">
      <c r="A64" s="2" t="s">
        <v>108</v>
      </c>
      <c r="B64" s="2" t="s">
        <v>14</v>
      </c>
      <c r="C64" s="2" t="s">
        <v>16</v>
      </c>
      <c r="D64" s="2" t="s">
        <v>110</v>
      </c>
      <c r="E64" s="3" t="s">
        <v>111</v>
      </c>
      <c r="F64" s="2" t="s">
        <v>21</v>
      </c>
      <c r="G64" s="2">
        <v>2024</v>
      </c>
      <c r="H64" s="2">
        <v>3.26</v>
      </c>
      <c r="I64" s="2"/>
      <c r="J64" s="2"/>
    </row>
    <row r="65" spans="1:10" ht="14.25" customHeight="1" x14ac:dyDescent="0.35">
      <c r="A65" s="2" t="s">
        <v>108</v>
      </c>
      <c r="B65" s="2" t="s">
        <v>14</v>
      </c>
      <c r="C65" s="2" t="s">
        <v>16</v>
      </c>
      <c r="D65" s="2" t="s">
        <v>110</v>
      </c>
      <c r="E65" s="3" t="s">
        <v>111</v>
      </c>
      <c r="F65" s="2" t="s">
        <v>21</v>
      </c>
      <c r="G65" s="2">
        <v>2025</v>
      </c>
      <c r="H65" s="2">
        <v>3.29</v>
      </c>
      <c r="I65" s="2"/>
      <c r="J65" s="2"/>
    </row>
    <row r="66" spans="1:10" ht="14.25" customHeight="1" x14ac:dyDescent="0.35">
      <c r="A66" s="2" t="s">
        <v>108</v>
      </c>
      <c r="B66" s="2" t="s">
        <v>14</v>
      </c>
      <c r="C66" s="2" t="s">
        <v>16</v>
      </c>
      <c r="D66" s="2" t="s">
        <v>110</v>
      </c>
      <c r="E66" s="3" t="s">
        <v>111</v>
      </c>
      <c r="F66" s="2" t="s">
        <v>47</v>
      </c>
      <c r="G66" s="2">
        <v>2025</v>
      </c>
      <c r="H66" s="2">
        <v>3.34</v>
      </c>
      <c r="I66" s="2"/>
      <c r="J66" s="2"/>
    </row>
    <row r="67" spans="1:10" ht="14.25" customHeight="1" x14ac:dyDescent="0.35">
      <c r="A67" s="2" t="s">
        <v>108</v>
      </c>
      <c r="B67" s="2" t="s">
        <v>14</v>
      </c>
      <c r="C67" s="2" t="s">
        <v>16</v>
      </c>
      <c r="D67" s="2" t="s">
        <v>110</v>
      </c>
      <c r="E67" s="3" t="s">
        <v>111</v>
      </c>
      <c r="F67" s="2" t="s">
        <v>47</v>
      </c>
      <c r="G67" s="2">
        <v>2026</v>
      </c>
      <c r="H67" s="2">
        <v>3.38</v>
      </c>
      <c r="I67" s="2"/>
      <c r="J67" s="2"/>
    </row>
    <row r="68" spans="1:10" ht="14.25" customHeight="1" x14ac:dyDescent="0.35">
      <c r="A68" s="2" t="s">
        <v>108</v>
      </c>
      <c r="B68" s="2" t="s">
        <v>14</v>
      </c>
      <c r="C68" s="2" t="s">
        <v>16</v>
      </c>
      <c r="D68" s="2" t="s">
        <v>110</v>
      </c>
      <c r="E68" s="3" t="s">
        <v>111</v>
      </c>
      <c r="F68" s="2" t="s">
        <v>47</v>
      </c>
      <c r="G68" s="2">
        <v>2027</v>
      </c>
      <c r="H68" s="2">
        <v>3.42</v>
      </c>
      <c r="I68" s="2"/>
      <c r="J68" s="2"/>
    </row>
    <row r="69" spans="1:10" ht="14.25" customHeight="1" x14ac:dyDescent="0.35">
      <c r="A69" s="2" t="s">
        <v>108</v>
      </c>
      <c r="B69" s="2" t="s">
        <v>14</v>
      </c>
      <c r="C69" s="2" t="s">
        <v>16</v>
      </c>
      <c r="D69" s="2" t="s">
        <v>110</v>
      </c>
      <c r="E69" s="3" t="s">
        <v>111</v>
      </c>
      <c r="F69" s="2" t="s">
        <v>47</v>
      </c>
      <c r="G69" s="2">
        <v>2028</v>
      </c>
      <c r="H69" s="2">
        <v>3.46</v>
      </c>
      <c r="I69" s="2"/>
      <c r="J69" s="2"/>
    </row>
    <row r="70" spans="1:10" ht="14.25" customHeight="1" x14ac:dyDescent="0.35">
      <c r="A70" s="2" t="s">
        <v>108</v>
      </c>
      <c r="B70" s="2" t="s">
        <v>14</v>
      </c>
      <c r="C70" s="2" t="s">
        <v>16</v>
      </c>
      <c r="D70" s="2" t="s">
        <v>110</v>
      </c>
      <c r="E70" s="3" t="s">
        <v>111</v>
      </c>
      <c r="F70" s="2" t="s">
        <v>47</v>
      </c>
      <c r="G70" s="2">
        <v>2029</v>
      </c>
      <c r="H70" s="2">
        <v>3.57</v>
      </c>
      <c r="I70" s="2"/>
      <c r="J70" s="2"/>
    </row>
    <row r="71" spans="1:10" ht="14.25" customHeight="1" x14ac:dyDescent="0.35">
      <c r="A71" s="2" t="s">
        <v>108</v>
      </c>
      <c r="B71" s="2" t="s">
        <v>14</v>
      </c>
      <c r="C71" s="2" t="s">
        <v>16</v>
      </c>
      <c r="D71" s="2" t="s">
        <v>110</v>
      </c>
      <c r="E71" s="3" t="s">
        <v>111</v>
      </c>
      <c r="F71" s="2" t="s">
        <v>47</v>
      </c>
      <c r="G71" s="2">
        <v>2045</v>
      </c>
      <c r="H71" s="2">
        <v>4.5</v>
      </c>
      <c r="I71" s="2"/>
      <c r="J71" s="2"/>
    </row>
    <row r="72" spans="1:10" ht="14.25" customHeight="1" x14ac:dyDescent="0.35">
      <c r="A72" s="2" t="s">
        <v>114</v>
      </c>
      <c r="B72" s="2" t="s">
        <v>14</v>
      </c>
      <c r="C72" s="2" t="s">
        <v>16</v>
      </c>
      <c r="D72" s="2" t="s">
        <v>116</v>
      </c>
      <c r="E72" s="3" t="s">
        <v>117</v>
      </c>
      <c r="F72" s="2" t="s">
        <v>47</v>
      </c>
      <c r="G72" s="2">
        <v>2025</v>
      </c>
      <c r="H72" s="2">
        <v>0.56000000000000005</v>
      </c>
      <c r="I72" s="2"/>
      <c r="J72" s="2"/>
    </row>
    <row r="73" spans="1:10" ht="14.25" customHeight="1" x14ac:dyDescent="0.35">
      <c r="A73" s="2" t="s">
        <v>114</v>
      </c>
      <c r="B73" s="2" t="s">
        <v>14</v>
      </c>
      <c r="C73" s="2" t="s">
        <v>16</v>
      </c>
      <c r="D73" s="2" t="s">
        <v>116</v>
      </c>
      <c r="E73" s="3" t="s">
        <v>117</v>
      </c>
      <c r="F73" s="2" t="s">
        <v>47</v>
      </c>
      <c r="G73" s="2">
        <v>2026</v>
      </c>
      <c r="H73" s="2">
        <v>0.56999999999999995</v>
      </c>
      <c r="I73" s="2"/>
      <c r="J73" s="2"/>
    </row>
    <row r="74" spans="1:10" ht="14.25" customHeight="1" x14ac:dyDescent="0.35">
      <c r="A74" s="2" t="s">
        <v>114</v>
      </c>
      <c r="B74" s="2" t="s">
        <v>14</v>
      </c>
      <c r="C74" s="2" t="s">
        <v>16</v>
      </c>
      <c r="D74" s="2" t="s">
        <v>116</v>
      </c>
      <c r="E74" s="3" t="s">
        <v>117</v>
      </c>
      <c r="F74" s="2" t="s">
        <v>47</v>
      </c>
      <c r="G74" s="2">
        <v>2027</v>
      </c>
      <c r="H74" s="2">
        <v>0.57999999999999996</v>
      </c>
      <c r="I74" s="2"/>
      <c r="J74" s="2"/>
    </row>
    <row r="75" spans="1:10" ht="14.25" customHeight="1" x14ac:dyDescent="0.35">
      <c r="A75" s="2" t="s">
        <v>114</v>
      </c>
      <c r="B75" s="2" t="s">
        <v>14</v>
      </c>
      <c r="C75" s="2" t="s">
        <v>16</v>
      </c>
      <c r="D75" s="2" t="s">
        <v>116</v>
      </c>
      <c r="E75" s="3" t="s">
        <v>117</v>
      </c>
      <c r="F75" s="2" t="s">
        <v>47</v>
      </c>
      <c r="G75" s="2">
        <v>2028</v>
      </c>
      <c r="H75" s="2">
        <v>0.57999999999999996</v>
      </c>
      <c r="I75" s="2"/>
      <c r="J75" s="2"/>
    </row>
    <row r="76" spans="1:10" ht="14.25" customHeight="1" x14ac:dyDescent="0.35">
      <c r="A76" s="2" t="s">
        <v>114</v>
      </c>
      <c r="B76" s="2" t="s">
        <v>14</v>
      </c>
      <c r="C76" s="2" t="s">
        <v>16</v>
      </c>
      <c r="D76" s="2" t="s">
        <v>116</v>
      </c>
      <c r="E76" s="3" t="s">
        <v>117</v>
      </c>
      <c r="F76" s="2" t="s">
        <v>47</v>
      </c>
      <c r="G76" s="2">
        <v>2029</v>
      </c>
      <c r="H76" s="2">
        <v>0.59</v>
      </c>
      <c r="I76" s="2"/>
      <c r="J76" s="2"/>
    </row>
    <row r="77" spans="1:10" ht="14.25" customHeight="1" x14ac:dyDescent="0.35">
      <c r="A77" s="2" t="s">
        <v>114</v>
      </c>
      <c r="B77" s="2" t="s">
        <v>14</v>
      </c>
      <c r="C77" s="2" t="s">
        <v>16</v>
      </c>
      <c r="D77" s="2" t="s">
        <v>116</v>
      </c>
      <c r="E77" s="3" t="s">
        <v>117</v>
      </c>
      <c r="F77" s="2" t="s">
        <v>47</v>
      </c>
      <c r="G77" s="2">
        <v>2045</v>
      </c>
      <c r="H77" s="2">
        <v>0.71</v>
      </c>
      <c r="I77" s="2"/>
      <c r="J77" s="2"/>
    </row>
    <row r="78" spans="1:10" ht="14.25" customHeight="1" x14ac:dyDescent="0.35">
      <c r="A78" s="2" t="s">
        <v>126</v>
      </c>
      <c r="B78" s="2" t="s">
        <v>14</v>
      </c>
      <c r="C78" s="2" t="s">
        <v>16</v>
      </c>
      <c r="D78" s="2" t="s">
        <v>128</v>
      </c>
      <c r="E78" s="3" t="s">
        <v>129</v>
      </c>
      <c r="F78" s="2" t="s">
        <v>21</v>
      </c>
      <c r="G78" s="2">
        <v>2021</v>
      </c>
      <c r="H78" s="2">
        <v>81.599999999999994</v>
      </c>
      <c r="I78" s="2"/>
      <c r="J78" s="2"/>
    </row>
    <row r="79" spans="1:10" ht="14.25" customHeight="1" x14ac:dyDescent="0.35">
      <c r="A79" s="2" t="s">
        <v>126</v>
      </c>
      <c r="B79" s="2" t="s">
        <v>14</v>
      </c>
      <c r="C79" s="2" t="s">
        <v>16</v>
      </c>
      <c r="D79" s="2" t="s">
        <v>128</v>
      </c>
      <c r="E79" s="3" t="s">
        <v>129</v>
      </c>
      <c r="F79" s="2" t="s">
        <v>21</v>
      </c>
      <c r="G79" s="2">
        <v>2022</v>
      </c>
      <c r="H79" s="2">
        <v>87.5</v>
      </c>
      <c r="I79" s="2"/>
      <c r="J79" s="2"/>
    </row>
    <row r="80" spans="1:10" ht="14.25" customHeight="1" x14ac:dyDescent="0.35">
      <c r="A80" s="2" t="s">
        <v>126</v>
      </c>
      <c r="B80" s="2" t="s">
        <v>14</v>
      </c>
      <c r="C80" s="2" t="s">
        <v>16</v>
      </c>
      <c r="D80" s="2" t="s">
        <v>128</v>
      </c>
      <c r="E80" s="3" t="s">
        <v>129</v>
      </c>
      <c r="F80" s="2" t="s">
        <v>21</v>
      </c>
      <c r="G80" s="2">
        <v>2023</v>
      </c>
      <c r="H80" s="2">
        <v>101.1</v>
      </c>
      <c r="I80" s="2"/>
      <c r="J80" s="2"/>
    </row>
    <row r="81" spans="1:10" ht="14.25" customHeight="1" x14ac:dyDescent="0.35">
      <c r="A81" s="2" t="s">
        <v>126</v>
      </c>
      <c r="B81" s="2" t="s">
        <v>14</v>
      </c>
      <c r="C81" s="2" t="s">
        <v>16</v>
      </c>
      <c r="D81" s="2" t="s">
        <v>128</v>
      </c>
      <c r="E81" s="3" t="s">
        <v>129</v>
      </c>
      <c r="F81" s="2" t="s">
        <v>47</v>
      </c>
      <c r="G81" s="2">
        <v>2025</v>
      </c>
      <c r="H81" s="2">
        <v>46.96</v>
      </c>
      <c r="I81" s="2"/>
      <c r="J81" s="2"/>
    </row>
    <row r="82" spans="1:10" ht="14.25" customHeight="1" x14ac:dyDescent="0.35">
      <c r="A82" s="2" t="s">
        <v>126</v>
      </c>
      <c r="B82" s="2" t="s">
        <v>14</v>
      </c>
      <c r="C82" s="2" t="s">
        <v>16</v>
      </c>
      <c r="D82" s="2" t="s">
        <v>128</v>
      </c>
      <c r="E82" s="3" t="s">
        <v>129</v>
      </c>
      <c r="F82" s="2" t="s">
        <v>47</v>
      </c>
      <c r="G82" s="2">
        <v>2026</v>
      </c>
      <c r="H82" s="2">
        <v>60.27</v>
      </c>
      <c r="I82" s="2"/>
      <c r="J82" s="2"/>
    </row>
    <row r="83" spans="1:10" ht="14.25" customHeight="1" x14ac:dyDescent="0.35">
      <c r="A83" s="2" t="s">
        <v>126</v>
      </c>
      <c r="B83" s="2" t="s">
        <v>14</v>
      </c>
      <c r="C83" s="2" t="s">
        <v>16</v>
      </c>
      <c r="D83" s="2" t="s">
        <v>128</v>
      </c>
      <c r="E83" s="3" t="s">
        <v>129</v>
      </c>
      <c r="F83" s="2" t="s">
        <v>47</v>
      </c>
      <c r="G83" s="2">
        <v>2027</v>
      </c>
      <c r="H83" s="2">
        <v>63.46</v>
      </c>
      <c r="I83" s="2"/>
      <c r="J83" s="2"/>
    </row>
    <row r="84" spans="1:10" ht="14.25" customHeight="1" x14ac:dyDescent="0.35">
      <c r="A84" s="2" t="s">
        <v>126</v>
      </c>
      <c r="B84" s="2" t="s">
        <v>14</v>
      </c>
      <c r="C84" s="2" t="s">
        <v>16</v>
      </c>
      <c r="D84" s="2" t="s">
        <v>128</v>
      </c>
      <c r="E84" s="3" t="s">
        <v>129</v>
      </c>
      <c r="F84" s="2" t="s">
        <v>47</v>
      </c>
      <c r="G84" s="2">
        <v>2028</v>
      </c>
      <c r="H84" s="2">
        <v>66.66</v>
      </c>
      <c r="I84" s="2"/>
      <c r="J84" s="2"/>
    </row>
    <row r="85" spans="1:10" ht="14.25" customHeight="1" x14ac:dyDescent="0.35">
      <c r="A85" s="2" t="s">
        <v>126</v>
      </c>
      <c r="B85" s="2" t="s">
        <v>14</v>
      </c>
      <c r="C85" s="2" t="s">
        <v>16</v>
      </c>
      <c r="D85" s="2" t="s">
        <v>128</v>
      </c>
      <c r="E85" s="3" t="s">
        <v>129</v>
      </c>
      <c r="F85" s="2" t="s">
        <v>47</v>
      </c>
      <c r="G85" s="2">
        <v>2029</v>
      </c>
      <c r="H85" s="2">
        <v>69.849999999999994</v>
      </c>
      <c r="I85" s="2"/>
      <c r="J85" s="2"/>
    </row>
    <row r="86" spans="1:10" ht="14.25" customHeight="1" x14ac:dyDescent="0.35">
      <c r="A86" s="2" t="s">
        <v>126</v>
      </c>
      <c r="B86" s="2" t="s">
        <v>14</v>
      </c>
      <c r="C86" s="2" t="s">
        <v>16</v>
      </c>
      <c r="D86" s="2" t="s">
        <v>128</v>
      </c>
      <c r="E86" s="3" t="s">
        <v>129</v>
      </c>
      <c r="F86" s="2" t="s">
        <v>47</v>
      </c>
      <c r="G86" s="2">
        <v>2045</v>
      </c>
      <c r="H86" s="2">
        <v>100</v>
      </c>
      <c r="I86" s="2"/>
      <c r="J86" s="2"/>
    </row>
    <row r="87" spans="1:10" ht="14.25" customHeight="1" x14ac:dyDescent="0.35">
      <c r="A87" s="2" t="s">
        <v>137</v>
      </c>
      <c r="B87" s="2" t="s">
        <v>14</v>
      </c>
      <c r="C87" s="2" t="s">
        <v>16</v>
      </c>
      <c r="D87" s="2" t="s">
        <v>138</v>
      </c>
      <c r="E87" s="3" t="s">
        <v>139</v>
      </c>
      <c r="F87" s="2" t="s">
        <v>21</v>
      </c>
      <c r="G87" s="2">
        <v>2021</v>
      </c>
      <c r="H87" s="2">
        <v>80.95</v>
      </c>
      <c r="I87" s="2"/>
      <c r="J87" s="2"/>
    </row>
    <row r="88" spans="1:10" ht="14.25" customHeight="1" x14ac:dyDescent="0.35">
      <c r="A88" s="2" t="s">
        <v>137</v>
      </c>
      <c r="B88" s="2" t="s">
        <v>14</v>
      </c>
      <c r="C88" s="2" t="s">
        <v>16</v>
      </c>
      <c r="D88" s="2" t="s">
        <v>138</v>
      </c>
      <c r="E88" s="3" t="s">
        <v>139</v>
      </c>
      <c r="F88" s="2" t="s">
        <v>21</v>
      </c>
      <c r="G88" s="2">
        <v>2022</v>
      </c>
      <c r="H88" s="2">
        <v>80.67</v>
      </c>
      <c r="I88" s="2"/>
      <c r="J88" s="2"/>
    </row>
    <row r="89" spans="1:10" ht="14.25" customHeight="1" x14ac:dyDescent="0.35">
      <c r="A89" s="2" t="s">
        <v>137</v>
      </c>
      <c r="B89" s="2" t="s">
        <v>14</v>
      </c>
      <c r="C89" s="2" t="s">
        <v>16</v>
      </c>
      <c r="D89" s="2" t="s">
        <v>138</v>
      </c>
      <c r="E89" s="3" t="s">
        <v>139</v>
      </c>
      <c r="F89" s="2" t="s">
        <v>21</v>
      </c>
      <c r="G89" s="2">
        <v>2023</v>
      </c>
      <c r="H89" s="2">
        <v>80.77</v>
      </c>
      <c r="I89" s="2"/>
      <c r="J89" s="2"/>
    </row>
    <row r="90" spans="1:10" ht="14.25" customHeight="1" x14ac:dyDescent="0.35">
      <c r="A90" s="2" t="s">
        <v>137</v>
      </c>
      <c r="B90" s="2" t="s">
        <v>14</v>
      </c>
      <c r="C90" s="2" t="s">
        <v>16</v>
      </c>
      <c r="D90" s="2" t="s">
        <v>138</v>
      </c>
      <c r="E90" s="3" t="s">
        <v>139</v>
      </c>
      <c r="F90" s="2" t="s">
        <v>21</v>
      </c>
      <c r="G90" s="2">
        <v>2024</v>
      </c>
      <c r="H90" s="2">
        <v>79.95</v>
      </c>
      <c r="I90" s="2"/>
      <c r="J90" s="2"/>
    </row>
    <row r="91" spans="1:10" ht="14.25" customHeight="1" x14ac:dyDescent="0.35">
      <c r="A91" s="2" t="s">
        <v>137</v>
      </c>
      <c r="B91" s="2" t="s">
        <v>14</v>
      </c>
      <c r="C91" s="2" t="s">
        <v>16</v>
      </c>
      <c r="D91" s="2" t="s">
        <v>138</v>
      </c>
      <c r="E91" s="3" t="s">
        <v>139</v>
      </c>
      <c r="F91" s="2" t="s">
        <v>21</v>
      </c>
      <c r="G91" s="2">
        <v>2025</v>
      </c>
      <c r="H91" s="2">
        <v>85.99</v>
      </c>
      <c r="I91" s="2"/>
      <c r="J91" s="2"/>
    </row>
    <row r="92" spans="1:10" ht="14.25" customHeight="1" x14ac:dyDescent="0.35">
      <c r="A92" s="2" t="s">
        <v>137</v>
      </c>
      <c r="B92" s="2" t="s">
        <v>14</v>
      </c>
      <c r="C92" s="2" t="s">
        <v>16</v>
      </c>
      <c r="D92" s="2" t="s">
        <v>138</v>
      </c>
      <c r="E92" s="3" t="s">
        <v>139</v>
      </c>
      <c r="F92" s="2" t="s">
        <v>47</v>
      </c>
      <c r="G92" s="2">
        <v>2025</v>
      </c>
      <c r="H92" s="2">
        <v>77.77</v>
      </c>
      <c r="I92" s="2"/>
      <c r="J92" s="2"/>
    </row>
    <row r="93" spans="1:10" ht="14.25" customHeight="1" x14ac:dyDescent="0.35">
      <c r="A93" s="2" t="s">
        <v>137</v>
      </c>
      <c r="B93" s="2" t="s">
        <v>14</v>
      </c>
      <c r="C93" s="2" t="s">
        <v>16</v>
      </c>
      <c r="D93" s="2" t="s">
        <v>138</v>
      </c>
      <c r="E93" s="3" t="s">
        <v>139</v>
      </c>
      <c r="F93" s="2" t="s">
        <v>47</v>
      </c>
      <c r="G93" s="2">
        <v>2026</v>
      </c>
      <c r="H93" s="2">
        <v>77.97</v>
      </c>
      <c r="I93" s="2"/>
      <c r="J93" s="2"/>
    </row>
    <row r="94" spans="1:10" ht="14.25" customHeight="1" x14ac:dyDescent="0.35">
      <c r="A94" s="2" t="s">
        <v>137</v>
      </c>
      <c r="B94" s="2" t="s">
        <v>14</v>
      </c>
      <c r="C94" s="2" t="s">
        <v>16</v>
      </c>
      <c r="D94" s="2" t="s">
        <v>138</v>
      </c>
      <c r="E94" s="3" t="s">
        <v>139</v>
      </c>
      <c r="F94" s="2" t="s">
        <v>47</v>
      </c>
      <c r="G94" s="2">
        <v>2027</v>
      </c>
      <c r="H94" s="2">
        <v>78.17</v>
      </c>
      <c r="I94" s="2"/>
      <c r="J94" s="2"/>
    </row>
    <row r="95" spans="1:10" ht="14.25" customHeight="1" x14ac:dyDescent="0.35">
      <c r="A95" s="2" t="s">
        <v>137</v>
      </c>
      <c r="B95" s="2" t="s">
        <v>14</v>
      </c>
      <c r="C95" s="2" t="s">
        <v>16</v>
      </c>
      <c r="D95" s="2" t="s">
        <v>138</v>
      </c>
      <c r="E95" s="3" t="s">
        <v>139</v>
      </c>
      <c r="F95" s="2" t="s">
        <v>47</v>
      </c>
      <c r="G95" s="2">
        <v>2028</v>
      </c>
      <c r="H95" s="2">
        <v>78.37</v>
      </c>
      <c r="I95" s="2"/>
      <c r="J95" s="2"/>
    </row>
    <row r="96" spans="1:10" ht="14.25" customHeight="1" x14ac:dyDescent="0.35">
      <c r="A96" s="2" t="s">
        <v>137</v>
      </c>
      <c r="B96" s="2" t="s">
        <v>14</v>
      </c>
      <c r="C96" s="2" t="s">
        <v>16</v>
      </c>
      <c r="D96" s="2" t="s">
        <v>138</v>
      </c>
      <c r="E96" s="3" t="s">
        <v>139</v>
      </c>
      <c r="F96" s="2" t="s">
        <v>47</v>
      </c>
      <c r="G96" s="2">
        <v>2029</v>
      </c>
      <c r="H96" s="2">
        <v>78.569999999999993</v>
      </c>
      <c r="I96" s="2"/>
      <c r="J96" s="2"/>
    </row>
    <row r="97" spans="1:10" ht="14.25" customHeight="1" x14ac:dyDescent="0.35">
      <c r="A97" s="2" t="s">
        <v>137</v>
      </c>
      <c r="B97" s="2" t="s">
        <v>14</v>
      </c>
      <c r="C97" s="2" t="s">
        <v>16</v>
      </c>
      <c r="D97" s="2" t="s">
        <v>138</v>
      </c>
      <c r="E97" s="3" t="s">
        <v>139</v>
      </c>
      <c r="F97" s="2" t="s">
        <v>47</v>
      </c>
      <c r="G97" s="2">
        <v>2045</v>
      </c>
      <c r="H97" s="2">
        <v>84.64</v>
      </c>
      <c r="I97" s="2"/>
      <c r="J97" s="2"/>
    </row>
    <row r="98" spans="1:10" ht="14.25" customHeight="1" x14ac:dyDescent="0.35">
      <c r="A98" s="2" t="s">
        <v>146</v>
      </c>
      <c r="B98" s="2" t="s">
        <v>147</v>
      </c>
      <c r="C98" s="2" t="s">
        <v>148</v>
      </c>
      <c r="D98" s="2" t="s">
        <v>17</v>
      </c>
      <c r="E98" s="3" t="s">
        <v>150</v>
      </c>
      <c r="F98" s="2" t="s">
        <v>21</v>
      </c>
      <c r="G98" s="2">
        <v>2021</v>
      </c>
      <c r="H98" s="2">
        <v>73.489999999999995</v>
      </c>
      <c r="I98" s="2"/>
      <c r="J98" s="2"/>
    </row>
    <row r="99" spans="1:10" ht="14.25" customHeight="1" x14ac:dyDescent="0.35">
      <c r="A99" s="2" t="s">
        <v>146</v>
      </c>
      <c r="B99" s="2" t="s">
        <v>147</v>
      </c>
      <c r="C99" s="2" t="s">
        <v>148</v>
      </c>
      <c r="D99" s="2" t="s">
        <v>17</v>
      </c>
      <c r="E99" s="3" t="s">
        <v>150</v>
      </c>
      <c r="F99" s="2" t="s">
        <v>21</v>
      </c>
      <c r="G99" s="2">
        <v>2022</v>
      </c>
      <c r="H99" s="2">
        <v>73.510000000000005</v>
      </c>
      <c r="I99" s="2"/>
      <c r="J99" s="2"/>
    </row>
    <row r="100" spans="1:10" ht="14.25" customHeight="1" x14ac:dyDescent="0.35">
      <c r="A100" s="2" t="s">
        <v>146</v>
      </c>
      <c r="B100" s="2" t="s">
        <v>147</v>
      </c>
      <c r="C100" s="2" t="s">
        <v>148</v>
      </c>
      <c r="D100" s="2" t="s">
        <v>17</v>
      </c>
      <c r="E100" s="3" t="s">
        <v>150</v>
      </c>
      <c r="F100" s="2" t="s">
        <v>21</v>
      </c>
      <c r="G100" s="2">
        <v>2023</v>
      </c>
      <c r="H100" s="2">
        <v>73.540000000000006</v>
      </c>
      <c r="I100" s="2"/>
      <c r="J100" s="2"/>
    </row>
    <row r="101" spans="1:10" ht="14.25" customHeight="1" x14ac:dyDescent="0.35">
      <c r="A101" s="2" t="s">
        <v>146</v>
      </c>
      <c r="B101" s="2" t="s">
        <v>147</v>
      </c>
      <c r="C101" s="2" t="s">
        <v>148</v>
      </c>
      <c r="D101" s="2" t="s">
        <v>17</v>
      </c>
      <c r="E101" s="3" t="s">
        <v>150</v>
      </c>
      <c r="F101" s="2" t="s">
        <v>21</v>
      </c>
      <c r="G101" s="2">
        <v>2024</v>
      </c>
      <c r="H101" s="2">
        <v>73.569999999999993</v>
      </c>
      <c r="I101" s="2"/>
      <c r="J101" s="2"/>
    </row>
    <row r="102" spans="1:10" ht="14.25" customHeight="1" x14ac:dyDescent="0.35">
      <c r="A102" s="2" t="s">
        <v>146</v>
      </c>
      <c r="B102" s="2" t="s">
        <v>147</v>
      </c>
      <c r="C102" s="2" t="s">
        <v>148</v>
      </c>
      <c r="D102" s="2" t="s">
        <v>17</v>
      </c>
      <c r="E102" s="3" t="s">
        <v>150</v>
      </c>
      <c r="F102" s="2" t="s">
        <v>21</v>
      </c>
      <c r="G102" s="2">
        <v>2025</v>
      </c>
      <c r="H102" s="2">
        <v>73.680000000000007</v>
      </c>
      <c r="I102" s="2"/>
      <c r="J102" s="2"/>
    </row>
    <row r="103" spans="1:10" ht="14.25" customHeight="1" x14ac:dyDescent="0.35">
      <c r="A103" s="2" t="s">
        <v>146</v>
      </c>
      <c r="B103" s="2" t="s">
        <v>147</v>
      </c>
      <c r="C103" s="2" t="s">
        <v>148</v>
      </c>
      <c r="D103" s="2" t="s">
        <v>17</v>
      </c>
      <c r="E103" s="3" t="s">
        <v>150</v>
      </c>
      <c r="F103" s="2" t="s">
        <v>47</v>
      </c>
      <c r="G103" s="2">
        <v>2025</v>
      </c>
      <c r="H103" s="2">
        <v>73.959999999999994</v>
      </c>
      <c r="I103" s="2"/>
      <c r="J103" s="2"/>
    </row>
    <row r="104" spans="1:10" ht="14.25" customHeight="1" x14ac:dyDescent="0.35">
      <c r="A104" s="2" t="s">
        <v>146</v>
      </c>
      <c r="B104" s="2" t="s">
        <v>147</v>
      </c>
      <c r="C104" s="2" t="s">
        <v>148</v>
      </c>
      <c r="D104" s="2" t="s">
        <v>17</v>
      </c>
      <c r="E104" s="3" t="s">
        <v>150</v>
      </c>
      <c r="F104" s="2" t="s">
        <v>47</v>
      </c>
      <c r="G104" s="2">
        <v>2026</v>
      </c>
      <c r="H104" s="2">
        <v>74.16</v>
      </c>
      <c r="I104" s="2"/>
      <c r="J104" s="2"/>
    </row>
    <row r="105" spans="1:10" ht="14.25" customHeight="1" x14ac:dyDescent="0.35">
      <c r="A105" s="2" t="s">
        <v>146</v>
      </c>
      <c r="B105" s="2" t="s">
        <v>147</v>
      </c>
      <c r="C105" s="2" t="s">
        <v>148</v>
      </c>
      <c r="D105" s="2" t="s">
        <v>17</v>
      </c>
      <c r="E105" s="3" t="s">
        <v>150</v>
      </c>
      <c r="F105" s="2" t="s">
        <v>47</v>
      </c>
      <c r="G105" s="2">
        <v>2027</v>
      </c>
      <c r="H105" s="2">
        <v>74.37</v>
      </c>
      <c r="I105" s="2"/>
      <c r="J105" s="2"/>
    </row>
    <row r="106" spans="1:10" ht="14.25" customHeight="1" x14ac:dyDescent="0.35">
      <c r="A106" s="2" t="s">
        <v>146</v>
      </c>
      <c r="B106" s="2" t="s">
        <v>147</v>
      </c>
      <c r="C106" s="2" t="s">
        <v>148</v>
      </c>
      <c r="D106" s="2" t="s">
        <v>17</v>
      </c>
      <c r="E106" s="3" t="s">
        <v>150</v>
      </c>
      <c r="F106" s="2" t="s">
        <v>47</v>
      </c>
      <c r="G106" s="2">
        <v>2028</v>
      </c>
      <c r="H106" s="2">
        <v>74.569999999999993</v>
      </c>
      <c r="I106" s="2"/>
      <c r="J106" s="2"/>
    </row>
    <row r="107" spans="1:10" ht="14.25" customHeight="1" x14ac:dyDescent="0.35">
      <c r="A107" s="2" t="s">
        <v>146</v>
      </c>
      <c r="B107" s="2" t="s">
        <v>147</v>
      </c>
      <c r="C107" s="2" t="s">
        <v>148</v>
      </c>
      <c r="D107" s="2" t="s">
        <v>17</v>
      </c>
      <c r="E107" s="3" t="s">
        <v>150</v>
      </c>
      <c r="F107" s="2" t="s">
        <v>47</v>
      </c>
      <c r="G107" s="2">
        <v>2029</v>
      </c>
      <c r="H107" s="2">
        <v>74.77</v>
      </c>
      <c r="I107" s="2"/>
      <c r="J107" s="2"/>
    </row>
    <row r="108" spans="1:10" ht="14.25" customHeight="1" x14ac:dyDescent="0.35">
      <c r="A108" s="2" t="s">
        <v>146</v>
      </c>
      <c r="B108" s="2" t="s">
        <v>147</v>
      </c>
      <c r="C108" s="2" t="s">
        <v>148</v>
      </c>
      <c r="D108" s="2" t="s">
        <v>17</v>
      </c>
      <c r="E108" s="3" t="s">
        <v>150</v>
      </c>
      <c r="F108" s="2" t="s">
        <v>47</v>
      </c>
      <c r="G108" s="2">
        <v>2045</v>
      </c>
      <c r="H108" s="2">
        <v>79.349999999999994</v>
      </c>
      <c r="I108" s="2"/>
      <c r="J108" s="2"/>
    </row>
    <row r="109" spans="1:10" ht="14.25" customHeight="1" x14ac:dyDescent="0.35">
      <c r="A109" s="2" t="s">
        <v>156</v>
      </c>
      <c r="B109" s="2" t="s">
        <v>147</v>
      </c>
      <c r="C109" s="2" t="s">
        <v>148</v>
      </c>
      <c r="D109" s="2" t="s">
        <v>157</v>
      </c>
      <c r="E109" s="3" t="s">
        <v>158</v>
      </c>
      <c r="F109" s="2" t="s">
        <v>47</v>
      </c>
      <c r="G109" s="2">
        <v>2025</v>
      </c>
      <c r="H109" s="2">
        <v>122</v>
      </c>
      <c r="I109" s="2"/>
      <c r="J109" s="2"/>
    </row>
    <row r="110" spans="1:10" ht="14.25" customHeight="1" x14ac:dyDescent="0.35">
      <c r="A110" s="2" t="s">
        <v>156</v>
      </c>
      <c r="B110" s="2" t="s">
        <v>147</v>
      </c>
      <c r="C110" s="2" t="s">
        <v>148</v>
      </c>
      <c r="D110" s="2" t="s">
        <v>157</v>
      </c>
      <c r="E110" s="3" t="s">
        <v>158</v>
      </c>
      <c r="F110" s="2" t="s">
        <v>47</v>
      </c>
      <c r="G110" s="2">
        <v>2026</v>
      </c>
      <c r="H110" s="2">
        <v>109</v>
      </c>
      <c r="I110" s="2"/>
      <c r="J110" s="2"/>
    </row>
    <row r="111" spans="1:10" ht="14.25" customHeight="1" x14ac:dyDescent="0.35">
      <c r="A111" s="2" t="s">
        <v>156</v>
      </c>
      <c r="B111" s="2" t="s">
        <v>147</v>
      </c>
      <c r="C111" s="2" t="s">
        <v>148</v>
      </c>
      <c r="D111" s="2" t="s">
        <v>157</v>
      </c>
      <c r="E111" s="3" t="s">
        <v>158</v>
      </c>
      <c r="F111" s="2" t="s">
        <v>47</v>
      </c>
      <c r="G111" s="2">
        <v>2027</v>
      </c>
      <c r="H111" s="2">
        <v>97</v>
      </c>
      <c r="I111" s="2"/>
      <c r="J111" s="2"/>
    </row>
    <row r="112" spans="1:10" ht="14.25" customHeight="1" x14ac:dyDescent="0.35">
      <c r="A112" s="2" t="s">
        <v>156</v>
      </c>
      <c r="B112" s="2" t="s">
        <v>147</v>
      </c>
      <c r="C112" s="2" t="s">
        <v>148</v>
      </c>
      <c r="D112" s="2" t="s">
        <v>157</v>
      </c>
      <c r="E112" s="3" t="s">
        <v>158</v>
      </c>
      <c r="F112" s="2" t="s">
        <v>47</v>
      </c>
      <c r="G112" s="2">
        <v>2028</v>
      </c>
      <c r="H112" s="2">
        <v>86</v>
      </c>
      <c r="I112" s="2"/>
      <c r="J112" s="2"/>
    </row>
    <row r="113" spans="1:10" ht="14.25" customHeight="1" x14ac:dyDescent="0.35">
      <c r="A113" s="2" t="s">
        <v>156</v>
      </c>
      <c r="B113" s="2" t="s">
        <v>147</v>
      </c>
      <c r="C113" s="2" t="s">
        <v>148</v>
      </c>
      <c r="D113" s="2" t="s">
        <v>157</v>
      </c>
      <c r="E113" s="3" t="s">
        <v>158</v>
      </c>
      <c r="F113" s="2" t="s">
        <v>47</v>
      </c>
      <c r="G113" s="2">
        <v>2029</v>
      </c>
      <c r="H113" s="2">
        <v>77</v>
      </c>
      <c r="I113" s="2"/>
      <c r="J113" s="2"/>
    </row>
    <row r="114" spans="1:10" ht="14.25" customHeight="1" x14ac:dyDescent="0.35">
      <c r="A114" s="2" t="s">
        <v>156</v>
      </c>
      <c r="B114" s="2" t="s">
        <v>147</v>
      </c>
      <c r="C114" s="2" t="s">
        <v>148</v>
      </c>
      <c r="D114" s="2" t="s">
        <v>157</v>
      </c>
      <c r="E114" s="3" t="s">
        <v>158</v>
      </c>
      <c r="F114" s="2" t="s">
        <v>47</v>
      </c>
      <c r="G114" s="2">
        <v>2045</v>
      </c>
      <c r="H114" s="2">
        <v>16</v>
      </c>
      <c r="I114" s="2"/>
      <c r="J114" s="2"/>
    </row>
    <row r="115" spans="1:10" ht="14.25" customHeight="1" x14ac:dyDescent="0.35">
      <c r="A115" s="2" t="s">
        <v>165</v>
      </c>
      <c r="B115" s="2" t="s">
        <v>147</v>
      </c>
      <c r="C115" s="2" t="s">
        <v>148</v>
      </c>
      <c r="D115" s="2" t="s">
        <v>166</v>
      </c>
      <c r="E115" s="3" t="s">
        <v>167</v>
      </c>
      <c r="F115" s="2" t="s">
        <v>21</v>
      </c>
      <c r="G115" s="2">
        <v>2021</v>
      </c>
      <c r="H115" s="2">
        <v>27.5</v>
      </c>
      <c r="I115" s="2"/>
      <c r="J115" s="2"/>
    </row>
    <row r="116" spans="1:10" ht="14.25" customHeight="1" x14ac:dyDescent="0.35">
      <c r="A116" s="2" t="s">
        <v>165</v>
      </c>
      <c r="B116" s="2" t="s">
        <v>147</v>
      </c>
      <c r="C116" s="2" t="s">
        <v>148</v>
      </c>
      <c r="D116" s="2" t="s">
        <v>166</v>
      </c>
      <c r="E116" s="3" t="s">
        <v>167</v>
      </c>
      <c r="F116" s="2" t="s">
        <v>21</v>
      </c>
      <c r="G116" s="2">
        <v>2022</v>
      </c>
      <c r="H116" s="2">
        <v>22.1</v>
      </c>
      <c r="I116" s="2"/>
      <c r="J116" s="2"/>
    </row>
    <row r="117" spans="1:10" ht="14.25" customHeight="1" x14ac:dyDescent="0.35">
      <c r="A117" s="2" t="s">
        <v>165</v>
      </c>
      <c r="B117" s="2" t="s">
        <v>147</v>
      </c>
      <c r="C117" s="2" t="s">
        <v>148</v>
      </c>
      <c r="D117" s="2" t="s">
        <v>166</v>
      </c>
      <c r="E117" s="3" t="s">
        <v>167</v>
      </c>
      <c r="F117" s="2" t="s">
        <v>21</v>
      </c>
      <c r="G117" s="2">
        <v>2023</v>
      </c>
      <c r="H117" s="2">
        <v>17.399999999999999</v>
      </c>
      <c r="I117" s="2"/>
      <c r="J117" s="2"/>
    </row>
    <row r="118" spans="1:10" ht="14.25" customHeight="1" x14ac:dyDescent="0.35">
      <c r="A118" s="2" t="s">
        <v>165</v>
      </c>
      <c r="B118" s="2" t="s">
        <v>147</v>
      </c>
      <c r="C118" s="2" t="s">
        <v>148</v>
      </c>
      <c r="D118" s="2" t="s">
        <v>166</v>
      </c>
      <c r="E118" s="3" t="s">
        <v>167</v>
      </c>
      <c r="F118" s="2" t="s">
        <v>21</v>
      </c>
      <c r="G118" s="2">
        <v>2024</v>
      </c>
      <c r="H118" s="2">
        <v>17.600000000000001</v>
      </c>
      <c r="I118" s="2"/>
      <c r="J118" s="2"/>
    </row>
    <row r="119" spans="1:10" ht="14.25" customHeight="1" x14ac:dyDescent="0.35">
      <c r="A119" s="2" t="s">
        <v>165</v>
      </c>
      <c r="B119" s="2" t="s">
        <v>147</v>
      </c>
      <c r="C119" s="2" t="s">
        <v>148</v>
      </c>
      <c r="D119" s="2" t="s">
        <v>166</v>
      </c>
      <c r="E119" s="3" t="s">
        <v>167</v>
      </c>
      <c r="F119" s="2" t="s">
        <v>47</v>
      </c>
      <c r="G119" s="2">
        <v>2025</v>
      </c>
      <c r="H119" s="2">
        <v>15.5</v>
      </c>
      <c r="I119" s="2"/>
      <c r="J119" s="2"/>
    </row>
    <row r="120" spans="1:10" ht="14.25" customHeight="1" x14ac:dyDescent="0.35">
      <c r="A120" s="2" t="s">
        <v>165</v>
      </c>
      <c r="B120" s="2" t="s">
        <v>147</v>
      </c>
      <c r="C120" s="2" t="s">
        <v>148</v>
      </c>
      <c r="D120" s="2" t="s">
        <v>166</v>
      </c>
      <c r="E120" s="3" t="s">
        <v>167</v>
      </c>
      <c r="F120" s="2" t="s">
        <v>47</v>
      </c>
      <c r="G120" s="2">
        <v>2026</v>
      </c>
      <c r="H120" s="2">
        <v>14.5</v>
      </c>
      <c r="I120" s="2"/>
      <c r="J120" s="2"/>
    </row>
    <row r="121" spans="1:10" ht="14.25" customHeight="1" x14ac:dyDescent="0.35">
      <c r="A121" s="2" t="s">
        <v>165</v>
      </c>
      <c r="B121" s="2" t="s">
        <v>147</v>
      </c>
      <c r="C121" s="2" t="s">
        <v>148</v>
      </c>
      <c r="D121" s="2" t="s">
        <v>166</v>
      </c>
      <c r="E121" s="3" t="s">
        <v>167</v>
      </c>
      <c r="F121" s="2" t="s">
        <v>47</v>
      </c>
      <c r="G121" s="2">
        <v>2027</v>
      </c>
      <c r="H121" s="2">
        <v>13.5</v>
      </c>
      <c r="I121" s="2"/>
      <c r="J121" s="2"/>
    </row>
    <row r="122" spans="1:10" ht="14.25" customHeight="1" x14ac:dyDescent="0.35">
      <c r="A122" s="2" t="s">
        <v>165</v>
      </c>
      <c r="B122" s="2" t="s">
        <v>147</v>
      </c>
      <c r="C122" s="2" t="s">
        <v>148</v>
      </c>
      <c r="D122" s="2" t="s">
        <v>166</v>
      </c>
      <c r="E122" s="3" t="s">
        <v>167</v>
      </c>
      <c r="F122" s="2" t="s">
        <v>47</v>
      </c>
      <c r="G122" s="2">
        <v>2028</v>
      </c>
      <c r="H122" s="2">
        <v>12.5</v>
      </c>
      <c r="I122" s="2"/>
      <c r="J122" s="2"/>
    </row>
    <row r="123" spans="1:10" ht="14.25" customHeight="1" x14ac:dyDescent="0.35">
      <c r="A123" s="2" t="s">
        <v>165</v>
      </c>
      <c r="B123" s="2" t="s">
        <v>147</v>
      </c>
      <c r="C123" s="2" t="s">
        <v>148</v>
      </c>
      <c r="D123" s="2" t="s">
        <v>166</v>
      </c>
      <c r="E123" s="3" t="s">
        <v>167</v>
      </c>
      <c r="F123" s="2" t="s">
        <v>47</v>
      </c>
      <c r="G123" s="2">
        <v>2029</v>
      </c>
      <c r="H123" s="2">
        <v>11.4</v>
      </c>
      <c r="I123" s="2"/>
      <c r="J123" s="2"/>
    </row>
    <row r="124" spans="1:10" ht="14.25" customHeight="1" x14ac:dyDescent="0.35">
      <c r="A124" s="2" t="s">
        <v>165</v>
      </c>
      <c r="B124" s="2" t="s">
        <v>147</v>
      </c>
      <c r="C124" s="2" t="s">
        <v>148</v>
      </c>
      <c r="D124" s="2" t="s">
        <v>166</v>
      </c>
      <c r="E124" s="3" t="s">
        <v>167</v>
      </c>
      <c r="F124" s="2" t="s">
        <v>47</v>
      </c>
      <c r="G124" s="2">
        <v>2045</v>
      </c>
      <c r="H124" s="2">
        <v>3.6</v>
      </c>
      <c r="I124" s="2"/>
      <c r="J124" s="2"/>
    </row>
    <row r="125" spans="1:10" ht="14.25" customHeight="1" x14ac:dyDescent="0.35">
      <c r="A125" s="2" t="s">
        <v>174</v>
      </c>
      <c r="B125" s="2" t="s">
        <v>147</v>
      </c>
      <c r="C125" s="2" t="s">
        <v>148</v>
      </c>
      <c r="D125" s="2" t="s">
        <v>66</v>
      </c>
      <c r="E125" s="3" t="s">
        <v>175</v>
      </c>
      <c r="F125" s="2" t="s">
        <v>47</v>
      </c>
      <c r="G125" s="2">
        <v>2025</v>
      </c>
      <c r="H125" s="2">
        <v>90</v>
      </c>
      <c r="I125" s="2"/>
      <c r="J125" s="2"/>
    </row>
    <row r="126" spans="1:10" ht="14.25" customHeight="1" x14ac:dyDescent="0.35">
      <c r="A126" s="2" t="s">
        <v>174</v>
      </c>
      <c r="B126" s="2" t="s">
        <v>147</v>
      </c>
      <c r="C126" s="2" t="s">
        <v>148</v>
      </c>
      <c r="D126" s="2" t="s">
        <v>66</v>
      </c>
      <c r="E126" s="3" t="s">
        <v>175</v>
      </c>
      <c r="F126" s="2" t="s">
        <v>47</v>
      </c>
      <c r="G126" s="2">
        <v>2026</v>
      </c>
      <c r="H126" s="2">
        <v>90</v>
      </c>
      <c r="I126" s="2"/>
      <c r="J126" s="2"/>
    </row>
    <row r="127" spans="1:10" ht="14.25" customHeight="1" x14ac:dyDescent="0.35">
      <c r="A127" s="2" t="s">
        <v>174</v>
      </c>
      <c r="B127" s="2" t="s">
        <v>147</v>
      </c>
      <c r="C127" s="2" t="s">
        <v>148</v>
      </c>
      <c r="D127" s="2" t="s">
        <v>66</v>
      </c>
      <c r="E127" s="3" t="s">
        <v>175</v>
      </c>
      <c r="F127" s="2" t="s">
        <v>47</v>
      </c>
      <c r="G127" s="2">
        <v>2027</v>
      </c>
      <c r="H127" s="2">
        <v>90</v>
      </c>
      <c r="I127" s="2"/>
      <c r="J127" s="2"/>
    </row>
    <row r="128" spans="1:10" ht="14.25" customHeight="1" x14ac:dyDescent="0.35">
      <c r="A128" s="2" t="s">
        <v>174</v>
      </c>
      <c r="B128" s="2" t="s">
        <v>147</v>
      </c>
      <c r="C128" s="2" t="s">
        <v>148</v>
      </c>
      <c r="D128" s="2" t="s">
        <v>66</v>
      </c>
      <c r="E128" s="3" t="s">
        <v>175</v>
      </c>
      <c r="F128" s="2" t="s">
        <v>47</v>
      </c>
      <c r="G128" s="2">
        <v>2028</v>
      </c>
      <c r="H128" s="2">
        <v>90</v>
      </c>
      <c r="I128" s="2"/>
      <c r="J128" s="2"/>
    </row>
    <row r="129" spans="1:10" ht="14.25" customHeight="1" x14ac:dyDescent="0.35">
      <c r="A129" s="2" t="s">
        <v>174</v>
      </c>
      <c r="B129" s="2" t="s">
        <v>147</v>
      </c>
      <c r="C129" s="2" t="s">
        <v>148</v>
      </c>
      <c r="D129" s="2" t="s">
        <v>66</v>
      </c>
      <c r="E129" s="3" t="s">
        <v>175</v>
      </c>
      <c r="F129" s="2" t="s">
        <v>47</v>
      </c>
      <c r="G129" s="2">
        <v>2029</v>
      </c>
      <c r="H129" s="2">
        <v>90</v>
      </c>
      <c r="I129" s="2"/>
      <c r="J129" s="2"/>
    </row>
    <row r="130" spans="1:10" ht="14.25" customHeight="1" x14ac:dyDescent="0.35">
      <c r="A130" s="2" t="s">
        <v>174</v>
      </c>
      <c r="B130" s="2" t="s">
        <v>147</v>
      </c>
      <c r="C130" s="2" t="s">
        <v>148</v>
      </c>
      <c r="D130" s="2" t="s">
        <v>66</v>
      </c>
      <c r="E130" s="3" t="s">
        <v>175</v>
      </c>
      <c r="F130" s="2" t="s">
        <v>47</v>
      </c>
      <c r="G130" s="2">
        <v>2045</v>
      </c>
      <c r="H130" s="2">
        <v>95</v>
      </c>
      <c r="I130" s="2"/>
      <c r="J130" s="2"/>
    </row>
    <row r="131" spans="1:10" ht="14.25" customHeight="1" x14ac:dyDescent="0.35">
      <c r="A131" s="2" t="s">
        <v>185</v>
      </c>
      <c r="B131" s="2" t="s">
        <v>147</v>
      </c>
      <c r="C131" s="2" t="s">
        <v>148</v>
      </c>
      <c r="D131" s="2" t="s">
        <v>83</v>
      </c>
      <c r="E131" s="3" t="s">
        <v>186</v>
      </c>
      <c r="F131" s="2" t="s">
        <v>47</v>
      </c>
      <c r="G131" s="2">
        <v>2025</v>
      </c>
      <c r="H131" s="2">
        <v>98.6</v>
      </c>
      <c r="I131" s="2"/>
      <c r="J131" s="2"/>
    </row>
    <row r="132" spans="1:10" ht="14.25" customHeight="1" x14ac:dyDescent="0.35">
      <c r="A132" s="2" t="s">
        <v>185</v>
      </c>
      <c r="B132" s="2" t="s">
        <v>147</v>
      </c>
      <c r="C132" s="2" t="s">
        <v>148</v>
      </c>
      <c r="D132" s="2" t="s">
        <v>83</v>
      </c>
      <c r="E132" s="3" t="s">
        <v>186</v>
      </c>
      <c r="F132" s="2" t="s">
        <v>47</v>
      </c>
      <c r="G132" s="2">
        <v>2026</v>
      </c>
      <c r="H132" s="2">
        <v>98.7</v>
      </c>
      <c r="I132" s="2"/>
      <c r="J132" s="2"/>
    </row>
    <row r="133" spans="1:10" ht="14.25" customHeight="1" x14ac:dyDescent="0.35">
      <c r="A133" s="2" t="s">
        <v>185</v>
      </c>
      <c r="B133" s="2" t="s">
        <v>147</v>
      </c>
      <c r="C133" s="2" t="s">
        <v>148</v>
      </c>
      <c r="D133" s="2" t="s">
        <v>83</v>
      </c>
      <c r="E133" s="3" t="s">
        <v>186</v>
      </c>
      <c r="F133" s="2" t="s">
        <v>47</v>
      </c>
      <c r="G133" s="2">
        <v>2027</v>
      </c>
      <c r="H133" s="2">
        <v>98.8</v>
      </c>
      <c r="I133" s="2"/>
      <c r="J133" s="2"/>
    </row>
    <row r="134" spans="1:10" ht="14.25" customHeight="1" x14ac:dyDescent="0.35">
      <c r="A134" s="2" t="s">
        <v>185</v>
      </c>
      <c r="B134" s="2" t="s">
        <v>147</v>
      </c>
      <c r="C134" s="2" t="s">
        <v>148</v>
      </c>
      <c r="D134" s="2" t="s">
        <v>83</v>
      </c>
      <c r="E134" s="3" t="s">
        <v>186</v>
      </c>
      <c r="F134" s="2" t="s">
        <v>47</v>
      </c>
      <c r="G134" s="2">
        <v>2028</v>
      </c>
      <c r="H134" s="2">
        <v>99</v>
      </c>
      <c r="I134" s="2"/>
      <c r="J134" s="2"/>
    </row>
    <row r="135" spans="1:10" ht="14.25" customHeight="1" x14ac:dyDescent="0.35">
      <c r="A135" s="2" t="s">
        <v>185</v>
      </c>
      <c r="B135" s="2" t="s">
        <v>147</v>
      </c>
      <c r="C135" s="2" t="s">
        <v>148</v>
      </c>
      <c r="D135" s="2" t="s">
        <v>83</v>
      </c>
      <c r="E135" s="3" t="s">
        <v>186</v>
      </c>
      <c r="F135" s="2" t="s">
        <v>47</v>
      </c>
      <c r="G135" s="2">
        <v>2029</v>
      </c>
      <c r="H135" s="2">
        <v>99.1</v>
      </c>
      <c r="I135" s="2"/>
      <c r="J135" s="2"/>
    </row>
    <row r="136" spans="1:10" ht="14.25" customHeight="1" x14ac:dyDescent="0.35">
      <c r="A136" s="2" t="s">
        <v>185</v>
      </c>
      <c r="B136" s="2" t="s">
        <v>147</v>
      </c>
      <c r="C136" s="2" t="s">
        <v>148</v>
      </c>
      <c r="D136" s="2" t="s">
        <v>83</v>
      </c>
      <c r="E136" s="3" t="s">
        <v>186</v>
      </c>
      <c r="F136" s="2" t="s">
        <v>47</v>
      </c>
      <c r="G136" s="2">
        <v>2045</v>
      </c>
      <c r="H136" s="2">
        <v>99.5</v>
      </c>
      <c r="I136" s="2"/>
      <c r="J136" s="2"/>
    </row>
    <row r="137" spans="1:10" ht="14.25" customHeight="1" x14ac:dyDescent="0.35">
      <c r="A137" s="2" t="s">
        <v>193</v>
      </c>
      <c r="B137" s="2" t="s">
        <v>147</v>
      </c>
      <c r="C137" s="2" t="s">
        <v>148</v>
      </c>
      <c r="D137" s="2" t="s">
        <v>195</v>
      </c>
      <c r="E137" s="3" t="s">
        <v>196</v>
      </c>
      <c r="F137" s="2" t="s">
        <v>47</v>
      </c>
      <c r="G137" s="2">
        <v>2025</v>
      </c>
      <c r="H137" s="2">
        <v>20</v>
      </c>
      <c r="I137" s="2"/>
      <c r="J137" s="2"/>
    </row>
    <row r="138" spans="1:10" ht="14.25" customHeight="1" x14ac:dyDescent="0.35">
      <c r="A138" s="2" t="s">
        <v>193</v>
      </c>
      <c r="B138" s="2" t="s">
        <v>147</v>
      </c>
      <c r="C138" s="2" t="s">
        <v>148</v>
      </c>
      <c r="D138" s="2" t="s">
        <v>195</v>
      </c>
      <c r="E138" s="3" t="s">
        <v>196</v>
      </c>
      <c r="F138" s="2" t="s">
        <v>47</v>
      </c>
      <c r="G138" s="2">
        <v>2026</v>
      </c>
      <c r="H138" s="2">
        <v>30</v>
      </c>
      <c r="I138" s="2"/>
      <c r="J138" s="2"/>
    </row>
    <row r="139" spans="1:10" ht="14.25" customHeight="1" x14ac:dyDescent="0.35">
      <c r="A139" s="2" t="s">
        <v>193</v>
      </c>
      <c r="B139" s="2" t="s">
        <v>147</v>
      </c>
      <c r="C139" s="2" t="s">
        <v>148</v>
      </c>
      <c r="D139" s="2" t="s">
        <v>195</v>
      </c>
      <c r="E139" s="3" t="s">
        <v>196</v>
      </c>
      <c r="F139" s="2" t="s">
        <v>47</v>
      </c>
      <c r="G139" s="2">
        <v>2027</v>
      </c>
      <c r="H139" s="2">
        <v>40</v>
      </c>
      <c r="I139" s="2"/>
      <c r="J139" s="2"/>
    </row>
    <row r="140" spans="1:10" ht="14.25" customHeight="1" x14ac:dyDescent="0.35">
      <c r="A140" s="2" t="s">
        <v>193</v>
      </c>
      <c r="B140" s="2" t="s">
        <v>147</v>
      </c>
      <c r="C140" s="2" t="s">
        <v>148</v>
      </c>
      <c r="D140" s="2" t="s">
        <v>195</v>
      </c>
      <c r="E140" s="3" t="s">
        <v>196</v>
      </c>
      <c r="F140" s="2" t="s">
        <v>47</v>
      </c>
      <c r="G140" s="2">
        <v>2028</v>
      </c>
      <c r="H140" s="2">
        <v>50</v>
      </c>
      <c r="I140" s="2"/>
      <c r="J140" s="2"/>
    </row>
    <row r="141" spans="1:10" ht="14.25" customHeight="1" x14ac:dyDescent="0.35">
      <c r="A141" s="2" t="s">
        <v>193</v>
      </c>
      <c r="B141" s="2" t="s">
        <v>147</v>
      </c>
      <c r="C141" s="2" t="s">
        <v>148</v>
      </c>
      <c r="D141" s="2" t="s">
        <v>195</v>
      </c>
      <c r="E141" s="3" t="s">
        <v>196</v>
      </c>
      <c r="F141" s="2" t="s">
        <v>47</v>
      </c>
      <c r="G141" s="2">
        <v>2029</v>
      </c>
      <c r="H141" s="2">
        <v>60</v>
      </c>
      <c r="I141" s="2"/>
      <c r="J141" s="2"/>
    </row>
    <row r="142" spans="1:10" ht="14.25" customHeight="1" x14ac:dyDescent="0.35">
      <c r="A142" s="2" t="s">
        <v>193</v>
      </c>
      <c r="B142" s="2" t="s">
        <v>147</v>
      </c>
      <c r="C142" s="2" t="s">
        <v>148</v>
      </c>
      <c r="D142" s="2" t="s">
        <v>195</v>
      </c>
      <c r="E142" s="3" t="s">
        <v>196</v>
      </c>
      <c r="F142" s="2" t="s">
        <v>47</v>
      </c>
      <c r="G142" s="2">
        <v>2045</v>
      </c>
      <c r="H142" s="2">
        <v>80</v>
      </c>
      <c r="I142" s="2"/>
      <c r="J142" s="2"/>
    </row>
    <row r="143" spans="1:10" ht="14.25" customHeight="1" x14ac:dyDescent="0.35">
      <c r="A143" s="2" t="s">
        <v>203</v>
      </c>
      <c r="B143" s="2" t="s">
        <v>147</v>
      </c>
      <c r="C143" s="2" t="s">
        <v>148</v>
      </c>
      <c r="D143" s="2" t="s">
        <v>204</v>
      </c>
      <c r="E143" s="3" t="s">
        <v>205</v>
      </c>
      <c r="F143" s="2" t="s">
        <v>47</v>
      </c>
      <c r="G143" s="2">
        <v>2025</v>
      </c>
      <c r="H143" s="2">
        <v>20</v>
      </c>
      <c r="I143" s="2"/>
      <c r="J143" s="2"/>
    </row>
    <row r="144" spans="1:10" ht="14.25" customHeight="1" x14ac:dyDescent="0.35">
      <c r="A144" s="2" t="s">
        <v>203</v>
      </c>
      <c r="B144" s="2" t="s">
        <v>147</v>
      </c>
      <c r="C144" s="2" t="s">
        <v>148</v>
      </c>
      <c r="D144" s="2" t="s">
        <v>204</v>
      </c>
      <c r="E144" s="3" t="s">
        <v>205</v>
      </c>
      <c r="F144" s="2" t="s">
        <v>47</v>
      </c>
      <c r="G144" s="2">
        <v>2026</v>
      </c>
      <c r="H144" s="2">
        <v>25</v>
      </c>
      <c r="I144" s="2"/>
      <c r="J144" s="2"/>
    </row>
    <row r="145" spans="1:10" ht="14.25" customHeight="1" x14ac:dyDescent="0.35">
      <c r="A145" s="2" t="s">
        <v>203</v>
      </c>
      <c r="B145" s="2" t="s">
        <v>147</v>
      </c>
      <c r="C145" s="2" t="s">
        <v>148</v>
      </c>
      <c r="D145" s="2" t="s">
        <v>204</v>
      </c>
      <c r="E145" s="3" t="s">
        <v>205</v>
      </c>
      <c r="F145" s="2" t="s">
        <v>47</v>
      </c>
      <c r="G145" s="2">
        <v>2027</v>
      </c>
      <c r="H145" s="2">
        <v>30</v>
      </c>
      <c r="I145" s="2"/>
      <c r="J145" s="2"/>
    </row>
    <row r="146" spans="1:10" ht="14.25" customHeight="1" x14ac:dyDescent="0.35">
      <c r="A146" s="2" t="s">
        <v>203</v>
      </c>
      <c r="B146" s="2" t="s">
        <v>147</v>
      </c>
      <c r="C146" s="2" t="s">
        <v>148</v>
      </c>
      <c r="D146" s="2" t="s">
        <v>204</v>
      </c>
      <c r="E146" s="3" t="s">
        <v>205</v>
      </c>
      <c r="F146" s="2" t="s">
        <v>47</v>
      </c>
      <c r="G146" s="2">
        <v>2028</v>
      </c>
      <c r="H146" s="2">
        <v>35</v>
      </c>
      <c r="I146" s="2"/>
      <c r="J146" s="2"/>
    </row>
    <row r="147" spans="1:10" ht="14.25" customHeight="1" x14ac:dyDescent="0.35">
      <c r="A147" s="2" t="s">
        <v>203</v>
      </c>
      <c r="B147" s="2" t="s">
        <v>147</v>
      </c>
      <c r="C147" s="2" t="s">
        <v>148</v>
      </c>
      <c r="D147" s="2" t="s">
        <v>204</v>
      </c>
      <c r="E147" s="3" t="s">
        <v>205</v>
      </c>
      <c r="F147" s="2" t="s">
        <v>47</v>
      </c>
      <c r="G147" s="2">
        <v>2029</v>
      </c>
      <c r="H147" s="2">
        <v>40</v>
      </c>
      <c r="I147" s="2"/>
      <c r="J147" s="2"/>
    </row>
    <row r="148" spans="1:10" ht="14.25" customHeight="1" x14ac:dyDescent="0.35">
      <c r="A148" s="2" t="s">
        <v>203</v>
      </c>
      <c r="B148" s="2" t="s">
        <v>147</v>
      </c>
      <c r="C148" s="2" t="s">
        <v>148</v>
      </c>
      <c r="D148" s="2" t="s">
        <v>204</v>
      </c>
      <c r="E148" s="3" t="s">
        <v>205</v>
      </c>
      <c r="F148" s="2" t="s">
        <v>47</v>
      </c>
      <c r="G148" s="2">
        <v>2045</v>
      </c>
      <c r="H148" s="2">
        <v>60</v>
      </c>
      <c r="I148" s="2"/>
      <c r="J148" s="2"/>
    </row>
    <row r="149" spans="1:10" ht="14.25" customHeight="1" x14ac:dyDescent="0.35">
      <c r="A149" s="2" t="s">
        <v>214</v>
      </c>
      <c r="B149" s="2" t="s">
        <v>147</v>
      </c>
      <c r="C149" s="2" t="s">
        <v>148</v>
      </c>
      <c r="D149" s="2" t="s">
        <v>215</v>
      </c>
      <c r="E149" s="3" t="s">
        <v>216</v>
      </c>
      <c r="F149" s="2" t="s">
        <v>21</v>
      </c>
      <c r="G149" s="2">
        <v>2021</v>
      </c>
      <c r="H149" s="2">
        <v>9.11</v>
      </c>
      <c r="I149" s="2"/>
      <c r="J149" s="2"/>
    </row>
    <row r="150" spans="1:10" ht="14.25" customHeight="1" x14ac:dyDescent="0.35">
      <c r="A150" s="2" t="s">
        <v>214</v>
      </c>
      <c r="B150" s="2" t="s">
        <v>147</v>
      </c>
      <c r="C150" s="2" t="s">
        <v>148</v>
      </c>
      <c r="D150" s="2" t="s">
        <v>215</v>
      </c>
      <c r="E150" s="3" t="s">
        <v>216</v>
      </c>
      <c r="F150" s="2" t="s">
        <v>21</v>
      </c>
      <c r="G150" s="2">
        <v>2022</v>
      </c>
      <c r="H150" s="2">
        <v>9.27</v>
      </c>
      <c r="I150" s="2"/>
      <c r="J150" s="2"/>
    </row>
    <row r="151" spans="1:10" ht="14.25" customHeight="1" x14ac:dyDescent="0.35">
      <c r="A151" s="2" t="s">
        <v>214</v>
      </c>
      <c r="B151" s="2" t="s">
        <v>147</v>
      </c>
      <c r="C151" s="2" t="s">
        <v>148</v>
      </c>
      <c r="D151" s="2" t="s">
        <v>215</v>
      </c>
      <c r="E151" s="3" t="s">
        <v>216</v>
      </c>
      <c r="F151" s="2" t="s">
        <v>21</v>
      </c>
      <c r="G151" s="2">
        <v>2023</v>
      </c>
      <c r="H151" s="2">
        <v>9.34</v>
      </c>
      <c r="I151" s="2"/>
      <c r="J151" s="2"/>
    </row>
    <row r="152" spans="1:10" ht="14.25" customHeight="1" x14ac:dyDescent="0.35">
      <c r="A152" s="2" t="s">
        <v>214</v>
      </c>
      <c r="B152" s="2" t="s">
        <v>147</v>
      </c>
      <c r="C152" s="2" t="s">
        <v>148</v>
      </c>
      <c r="D152" s="2" t="s">
        <v>215</v>
      </c>
      <c r="E152" s="3" t="s">
        <v>216</v>
      </c>
      <c r="F152" s="2" t="s">
        <v>21</v>
      </c>
      <c r="G152" s="2">
        <v>2024</v>
      </c>
      <c r="H152" s="2">
        <v>9.35</v>
      </c>
      <c r="I152" s="2"/>
      <c r="J152" s="2"/>
    </row>
    <row r="153" spans="1:10" ht="14.25" customHeight="1" x14ac:dyDescent="0.35">
      <c r="A153" s="2" t="s">
        <v>214</v>
      </c>
      <c r="B153" s="2" t="s">
        <v>147</v>
      </c>
      <c r="C153" s="2" t="s">
        <v>148</v>
      </c>
      <c r="D153" s="2" t="s">
        <v>215</v>
      </c>
      <c r="E153" s="3" t="s">
        <v>216</v>
      </c>
      <c r="F153" s="2" t="s">
        <v>21</v>
      </c>
      <c r="G153" s="2">
        <v>2025</v>
      </c>
      <c r="H153" s="2">
        <v>9.44</v>
      </c>
      <c r="I153" s="2"/>
      <c r="J153" s="2"/>
    </row>
    <row r="154" spans="1:10" ht="14.25" customHeight="1" x14ac:dyDescent="0.35">
      <c r="A154" s="2" t="s">
        <v>214</v>
      </c>
      <c r="B154" s="2" t="s">
        <v>147</v>
      </c>
      <c r="C154" s="2" t="s">
        <v>148</v>
      </c>
      <c r="D154" s="2" t="s">
        <v>215</v>
      </c>
      <c r="E154" s="3" t="s">
        <v>216</v>
      </c>
      <c r="F154" s="2" t="s">
        <v>47</v>
      </c>
      <c r="G154" s="2">
        <v>2025</v>
      </c>
      <c r="H154" s="2">
        <v>9.6999999999999993</v>
      </c>
      <c r="I154" s="2"/>
      <c r="J154" s="2"/>
    </row>
    <row r="155" spans="1:10" ht="14.25" customHeight="1" x14ac:dyDescent="0.35">
      <c r="A155" s="2" t="s">
        <v>214</v>
      </c>
      <c r="B155" s="2" t="s">
        <v>147</v>
      </c>
      <c r="C155" s="2" t="s">
        <v>148</v>
      </c>
      <c r="D155" s="2" t="s">
        <v>215</v>
      </c>
      <c r="E155" s="3" t="s">
        <v>216</v>
      </c>
      <c r="F155" s="2" t="s">
        <v>47</v>
      </c>
      <c r="G155" s="2">
        <v>2026</v>
      </c>
      <c r="H155" s="2">
        <v>9.83</v>
      </c>
      <c r="I155" s="2"/>
      <c r="J155" s="2"/>
    </row>
    <row r="156" spans="1:10" ht="14.25" customHeight="1" x14ac:dyDescent="0.35">
      <c r="A156" s="2" t="s">
        <v>214</v>
      </c>
      <c r="B156" s="2" t="s">
        <v>147</v>
      </c>
      <c r="C156" s="2" t="s">
        <v>148</v>
      </c>
      <c r="D156" s="2" t="s">
        <v>215</v>
      </c>
      <c r="E156" s="3" t="s">
        <v>216</v>
      </c>
      <c r="F156" s="2" t="s">
        <v>47</v>
      </c>
      <c r="G156" s="2">
        <v>2027</v>
      </c>
      <c r="H156" s="2">
        <v>9.9499999999999993</v>
      </c>
      <c r="I156" s="2"/>
      <c r="J156" s="2"/>
    </row>
    <row r="157" spans="1:10" ht="14.25" customHeight="1" x14ac:dyDescent="0.35">
      <c r="A157" s="2" t="s">
        <v>214</v>
      </c>
      <c r="B157" s="2" t="s">
        <v>147</v>
      </c>
      <c r="C157" s="2" t="s">
        <v>148</v>
      </c>
      <c r="D157" s="2" t="s">
        <v>215</v>
      </c>
      <c r="E157" s="3" t="s">
        <v>216</v>
      </c>
      <c r="F157" s="2" t="s">
        <v>47</v>
      </c>
      <c r="G157" s="2">
        <v>2028</v>
      </c>
      <c r="H157" s="2">
        <v>10.08</v>
      </c>
      <c r="I157" s="2"/>
      <c r="J157" s="2"/>
    </row>
    <row r="158" spans="1:10" ht="14.25" customHeight="1" x14ac:dyDescent="0.35">
      <c r="A158" s="2" t="s">
        <v>214</v>
      </c>
      <c r="B158" s="2" t="s">
        <v>147</v>
      </c>
      <c r="C158" s="2" t="s">
        <v>148</v>
      </c>
      <c r="D158" s="2" t="s">
        <v>215</v>
      </c>
      <c r="E158" s="3" t="s">
        <v>216</v>
      </c>
      <c r="F158" s="2" t="s">
        <v>47</v>
      </c>
      <c r="G158" s="2">
        <v>2029</v>
      </c>
      <c r="H158" s="2">
        <v>10.199999999999999</v>
      </c>
      <c r="I158" s="2"/>
      <c r="J158" s="2"/>
    </row>
    <row r="159" spans="1:10" ht="14.25" customHeight="1" x14ac:dyDescent="0.35">
      <c r="A159" s="2" t="s">
        <v>214</v>
      </c>
      <c r="B159" s="2" t="s">
        <v>147</v>
      </c>
      <c r="C159" s="2" t="s">
        <v>148</v>
      </c>
      <c r="D159" s="2" t="s">
        <v>215</v>
      </c>
      <c r="E159" s="3" t="s">
        <v>216</v>
      </c>
      <c r="F159" s="2" t="s">
        <v>47</v>
      </c>
      <c r="G159" s="2">
        <v>2045</v>
      </c>
      <c r="H159" s="2">
        <v>12.59</v>
      </c>
      <c r="I159" s="2"/>
      <c r="J159" s="2"/>
    </row>
    <row r="160" spans="1:10" ht="14.25" customHeight="1" x14ac:dyDescent="0.35">
      <c r="A160" s="2" t="s">
        <v>222</v>
      </c>
      <c r="B160" s="2" t="s">
        <v>147</v>
      </c>
      <c r="C160" s="2" t="s">
        <v>148</v>
      </c>
      <c r="D160" s="2" t="s">
        <v>223</v>
      </c>
      <c r="E160" s="3" t="s">
        <v>224</v>
      </c>
      <c r="F160" s="2" t="s">
        <v>21</v>
      </c>
      <c r="G160" s="2">
        <v>2021</v>
      </c>
      <c r="H160" s="2">
        <v>12.94</v>
      </c>
      <c r="I160" s="2"/>
      <c r="J160" s="2"/>
    </row>
    <row r="161" spans="1:10" ht="14.25" customHeight="1" x14ac:dyDescent="0.35">
      <c r="A161" s="2" t="s">
        <v>222</v>
      </c>
      <c r="B161" s="2" t="s">
        <v>147</v>
      </c>
      <c r="C161" s="2" t="s">
        <v>148</v>
      </c>
      <c r="D161" s="2" t="s">
        <v>223</v>
      </c>
      <c r="E161" s="3" t="s">
        <v>224</v>
      </c>
      <c r="F161" s="2" t="s">
        <v>21</v>
      </c>
      <c r="G161" s="2">
        <v>2022</v>
      </c>
      <c r="H161" s="2">
        <v>13.06</v>
      </c>
      <c r="I161" s="2"/>
      <c r="J161" s="2"/>
    </row>
    <row r="162" spans="1:10" ht="14.25" customHeight="1" x14ac:dyDescent="0.35">
      <c r="A162" s="2" t="s">
        <v>222</v>
      </c>
      <c r="B162" s="2" t="s">
        <v>147</v>
      </c>
      <c r="C162" s="2" t="s">
        <v>148</v>
      </c>
      <c r="D162" s="2" t="s">
        <v>223</v>
      </c>
      <c r="E162" s="3" t="s">
        <v>224</v>
      </c>
      <c r="F162" s="2" t="s">
        <v>21</v>
      </c>
      <c r="G162" s="2">
        <v>2023</v>
      </c>
      <c r="H162" s="2">
        <v>13.2</v>
      </c>
      <c r="I162" s="2"/>
      <c r="J162" s="2"/>
    </row>
    <row r="163" spans="1:10" ht="14.25" customHeight="1" x14ac:dyDescent="0.35">
      <c r="A163" s="2" t="s">
        <v>222</v>
      </c>
      <c r="B163" s="2" t="s">
        <v>147</v>
      </c>
      <c r="C163" s="2" t="s">
        <v>148</v>
      </c>
      <c r="D163" s="2" t="s">
        <v>223</v>
      </c>
      <c r="E163" s="3" t="s">
        <v>224</v>
      </c>
      <c r="F163" s="2" t="s">
        <v>21</v>
      </c>
      <c r="G163" s="2">
        <v>2024</v>
      </c>
      <c r="H163" s="2">
        <v>13.21</v>
      </c>
      <c r="I163" s="2"/>
      <c r="J163" s="2"/>
    </row>
    <row r="164" spans="1:10" ht="14.25" customHeight="1" x14ac:dyDescent="0.35">
      <c r="A164" s="2" t="s">
        <v>222</v>
      </c>
      <c r="B164" s="2" t="s">
        <v>147</v>
      </c>
      <c r="C164" s="2" t="s">
        <v>148</v>
      </c>
      <c r="D164" s="2" t="s">
        <v>223</v>
      </c>
      <c r="E164" s="3" t="s">
        <v>224</v>
      </c>
      <c r="F164" s="2" t="s">
        <v>21</v>
      </c>
      <c r="G164" s="2">
        <v>2025</v>
      </c>
      <c r="H164" s="2">
        <v>13.31</v>
      </c>
      <c r="I164" s="2"/>
      <c r="J164" s="2"/>
    </row>
    <row r="165" spans="1:10" ht="14.25" customHeight="1" x14ac:dyDescent="0.35">
      <c r="A165" s="2" t="s">
        <v>222</v>
      </c>
      <c r="B165" s="2" t="s">
        <v>147</v>
      </c>
      <c r="C165" s="2" t="s">
        <v>148</v>
      </c>
      <c r="D165" s="2" t="s">
        <v>223</v>
      </c>
      <c r="E165" s="3" t="s">
        <v>224</v>
      </c>
      <c r="F165" s="2" t="s">
        <v>47</v>
      </c>
      <c r="G165" s="2">
        <v>2025</v>
      </c>
      <c r="H165" s="2">
        <v>13.32</v>
      </c>
      <c r="I165" s="2"/>
      <c r="J165" s="2"/>
    </row>
    <row r="166" spans="1:10" ht="14.25" customHeight="1" x14ac:dyDescent="0.35">
      <c r="A166" s="2" t="s">
        <v>222</v>
      </c>
      <c r="B166" s="2" t="s">
        <v>147</v>
      </c>
      <c r="C166" s="2" t="s">
        <v>148</v>
      </c>
      <c r="D166" s="2" t="s">
        <v>223</v>
      </c>
      <c r="E166" s="3" t="s">
        <v>224</v>
      </c>
      <c r="F166" s="2" t="s">
        <v>47</v>
      </c>
      <c r="G166" s="2">
        <v>2026</v>
      </c>
      <c r="H166" s="2">
        <v>13.38</v>
      </c>
      <c r="I166" s="2"/>
      <c r="J166" s="2"/>
    </row>
    <row r="167" spans="1:10" ht="14.25" customHeight="1" x14ac:dyDescent="0.35">
      <c r="A167" s="2" t="s">
        <v>222</v>
      </c>
      <c r="B167" s="2" t="s">
        <v>147</v>
      </c>
      <c r="C167" s="2" t="s">
        <v>148</v>
      </c>
      <c r="D167" s="2" t="s">
        <v>223</v>
      </c>
      <c r="E167" s="3" t="s">
        <v>224</v>
      </c>
      <c r="F167" s="2" t="s">
        <v>47</v>
      </c>
      <c r="G167" s="2">
        <v>2027</v>
      </c>
      <c r="H167" s="2">
        <v>13.45</v>
      </c>
      <c r="I167" s="2"/>
      <c r="J167" s="2"/>
    </row>
    <row r="168" spans="1:10" ht="14.25" customHeight="1" x14ac:dyDescent="0.35">
      <c r="A168" s="2" t="s">
        <v>222</v>
      </c>
      <c r="B168" s="2" t="s">
        <v>147</v>
      </c>
      <c r="C168" s="2" t="s">
        <v>148</v>
      </c>
      <c r="D168" s="2" t="s">
        <v>223</v>
      </c>
      <c r="E168" s="3" t="s">
        <v>224</v>
      </c>
      <c r="F168" s="2" t="s">
        <v>47</v>
      </c>
      <c r="G168" s="2">
        <v>2028</v>
      </c>
      <c r="H168" s="2">
        <v>13.51</v>
      </c>
      <c r="I168" s="2"/>
      <c r="J168" s="2"/>
    </row>
    <row r="169" spans="1:10" ht="14.25" customHeight="1" x14ac:dyDescent="0.35">
      <c r="A169" s="2" t="s">
        <v>222</v>
      </c>
      <c r="B169" s="2" t="s">
        <v>147</v>
      </c>
      <c r="C169" s="2" t="s">
        <v>148</v>
      </c>
      <c r="D169" s="2" t="s">
        <v>223</v>
      </c>
      <c r="E169" s="3" t="s">
        <v>224</v>
      </c>
      <c r="F169" s="2" t="s">
        <v>47</v>
      </c>
      <c r="G169" s="2">
        <v>2029</v>
      </c>
      <c r="H169" s="2">
        <v>13.57</v>
      </c>
      <c r="I169" s="2"/>
      <c r="J169" s="2"/>
    </row>
    <row r="170" spans="1:10" ht="14.25" customHeight="1" x14ac:dyDescent="0.35">
      <c r="A170" s="2" t="s">
        <v>222</v>
      </c>
      <c r="B170" s="2" t="s">
        <v>147</v>
      </c>
      <c r="C170" s="2" t="s">
        <v>148</v>
      </c>
      <c r="D170" s="2" t="s">
        <v>223</v>
      </c>
      <c r="E170" s="3" t="s">
        <v>224</v>
      </c>
      <c r="F170" s="2" t="s">
        <v>47</v>
      </c>
      <c r="G170" s="2">
        <v>2045</v>
      </c>
      <c r="H170" s="2">
        <v>14.8</v>
      </c>
      <c r="I170" s="2"/>
      <c r="J170" s="2"/>
    </row>
    <row r="171" spans="1:10" ht="14.25" customHeight="1" x14ac:dyDescent="0.35">
      <c r="A171" s="2" t="s">
        <v>228</v>
      </c>
      <c r="B171" s="2" t="s">
        <v>147</v>
      </c>
      <c r="C171" s="2" t="s">
        <v>148</v>
      </c>
      <c r="D171" s="2" t="s">
        <v>102</v>
      </c>
      <c r="E171" s="3" t="s">
        <v>229</v>
      </c>
      <c r="F171" s="2" t="s">
        <v>21</v>
      </c>
      <c r="G171" s="2">
        <v>2021</v>
      </c>
      <c r="H171" s="2">
        <v>11.24</v>
      </c>
      <c r="I171" s="2"/>
      <c r="J171" s="2"/>
    </row>
    <row r="172" spans="1:10" ht="14.25" customHeight="1" x14ac:dyDescent="0.35">
      <c r="A172" s="2" t="s">
        <v>228</v>
      </c>
      <c r="B172" s="2" t="s">
        <v>147</v>
      </c>
      <c r="C172" s="2" t="s">
        <v>148</v>
      </c>
      <c r="D172" s="2" t="s">
        <v>102</v>
      </c>
      <c r="E172" s="3" t="s">
        <v>229</v>
      </c>
      <c r="F172" s="2" t="s">
        <v>21</v>
      </c>
      <c r="G172" s="2">
        <v>2022</v>
      </c>
      <c r="H172" s="2">
        <v>11.45</v>
      </c>
      <c r="I172" s="2"/>
      <c r="J172" s="2"/>
    </row>
    <row r="173" spans="1:10" ht="14.25" customHeight="1" x14ac:dyDescent="0.35">
      <c r="A173" s="2" t="s">
        <v>228</v>
      </c>
      <c r="B173" s="2" t="s">
        <v>147</v>
      </c>
      <c r="C173" s="2" t="s">
        <v>148</v>
      </c>
      <c r="D173" s="2" t="s">
        <v>102</v>
      </c>
      <c r="E173" s="3" t="s">
        <v>229</v>
      </c>
      <c r="F173" s="2" t="s">
        <v>21</v>
      </c>
      <c r="G173" s="2">
        <v>2023</v>
      </c>
      <c r="H173" s="2">
        <v>11.77</v>
      </c>
      <c r="I173" s="2"/>
      <c r="J173" s="2"/>
    </row>
    <row r="174" spans="1:10" ht="14.25" customHeight="1" x14ac:dyDescent="0.35">
      <c r="A174" s="2" t="s">
        <v>228</v>
      </c>
      <c r="B174" s="2" t="s">
        <v>147</v>
      </c>
      <c r="C174" s="2" t="s">
        <v>148</v>
      </c>
      <c r="D174" s="2" t="s">
        <v>102</v>
      </c>
      <c r="E174" s="3" t="s">
        <v>229</v>
      </c>
      <c r="F174" s="2" t="s">
        <v>21</v>
      </c>
      <c r="G174" s="2">
        <v>2024</v>
      </c>
      <c r="H174" s="2">
        <v>11.34</v>
      </c>
      <c r="I174" s="2"/>
      <c r="J174" s="2"/>
    </row>
    <row r="175" spans="1:10" ht="14.25" customHeight="1" x14ac:dyDescent="0.35">
      <c r="A175" s="2" t="s">
        <v>228</v>
      </c>
      <c r="B175" s="2" t="s">
        <v>147</v>
      </c>
      <c r="C175" s="2" t="s">
        <v>148</v>
      </c>
      <c r="D175" s="2" t="s">
        <v>102</v>
      </c>
      <c r="E175" s="3" t="s">
        <v>229</v>
      </c>
      <c r="F175" s="2" t="s">
        <v>21</v>
      </c>
      <c r="G175" s="2">
        <v>2025</v>
      </c>
      <c r="H175" s="2">
        <v>12.9</v>
      </c>
      <c r="I175" s="2"/>
      <c r="J175" s="2"/>
    </row>
    <row r="176" spans="1:10" ht="14.25" customHeight="1" x14ac:dyDescent="0.35">
      <c r="A176" s="2" t="s">
        <v>228</v>
      </c>
      <c r="B176" s="2" t="s">
        <v>147</v>
      </c>
      <c r="C176" s="2" t="s">
        <v>148</v>
      </c>
      <c r="D176" s="2" t="s">
        <v>102</v>
      </c>
      <c r="E176" s="3" t="s">
        <v>229</v>
      </c>
      <c r="F176" s="2" t="s">
        <v>47</v>
      </c>
      <c r="G176" s="2">
        <v>2025</v>
      </c>
      <c r="H176" s="2">
        <v>14.68</v>
      </c>
      <c r="I176" s="2"/>
      <c r="J176" s="2"/>
    </row>
    <row r="177" spans="1:10" ht="14.25" customHeight="1" x14ac:dyDescent="0.35">
      <c r="A177" s="2" t="s">
        <v>228</v>
      </c>
      <c r="B177" s="2" t="s">
        <v>147</v>
      </c>
      <c r="C177" s="2" t="s">
        <v>148</v>
      </c>
      <c r="D177" s="2" t="s">
        <v>102</v>
      </c>
      <c r="E177" s="3" t="s">
        <v>229</v>
      </c>
      <c r="F177" s="2" t="s">
        <v>47</v>
      </c>
      <c r="G177" s="2">
        <v>2026</v>
      </c>
      <c r="H177" s="2">
        <v>15.19</v>
      </c>
      <c r="I177" s="2"/>
      <c r="J177" s="2"/>
    </row>
    <row r="178" spans="1:10" ht="14.25" customHeight="1" x14ac:dyDescent="0.35">
      <c r="A178" s="2" t="s">
        <v>228</v>
      </c>
      <c r="B178" s="2" t="s">
        <v>147</v>
      </c>
      <c r="C178" s="2" t="s">
        <v>148</v>
      </c>
      <c r="D178" s="2" t="s">
        <v>102</v>
      </c>
      <c r="E178" s="3" t="s">
        <v>229</v>
      </c>
      <c r="F178" s="2" t="s">
        <v>47</v>
      </c>
      <c r="G178" s="2">
        <v>2027</v>
      </c>
      <c r="H178" s="2">
        <v>15.45</v>
      </c>
      <c r="I178" s="2"/>
      <c r="J178" s="2"/>
    </row>
    <row r="179" spans="1:10" ht="14.25" customHeight="1" x14ac:dyDescent="0.35">
      <c r="A179" s="2" t="s">
        <v>228</v>
      </c>
      <c r="B179" s="2" t="s">
        <v>147</v>
      </c>
      <c r="C179" s="2" t="s">
        <v>148</v>
      </c>
      <c r="D179" s="2" t="s">
        <v>102</v>
      </c>
      <c r="E179" s="3" t="s">
        <v>229</v>
      </c>
      <c r="F179" s="2" t="s">
        <v>47</v>
      </c>
      <c r="G179" s="2">
        <v>2028</v>
      </c>
      <c r="H179" s="2">
        <v>16.25</v>
      </c>
      <c r="I179" s="2"/>
      <c r="J179" s="2"/>
    </row>
    <row r="180" spans="1:10" ht="14.25" customHeight="1" x14ac:dyDescent="0.35">
      <c r="A180" s="2" t="s">
        <v>228</v>
      </c>
      <c r="B180" s="2" t="s">
        <v>147</v>
      </c>
      <c r="C180" s="2" t="s">
        <v>148</v>
      </c>
      <c r="D180" s="2" t="s">
        <v>102</v>
      </c>
      <c r="E180" s="3" t="s">
        <v>229</v>
      </c>
      <c r="F180" s="2" t="s">
        <v>47</v>
      </c>
      <c r="G180" s="2">
        <v>2029</v>
      </c>
      <c r="H180" s="2">
        <v>16.8</v>
      </c>
      <c r="I180" s="2"/>
      <c r="J180" s="2"/>
    </row>
    <row r="181" spans="1:10" ht="14.25" customHeight="1" x14ac:dyDescent="0.35">
      <c r="A181" s="2" t="s">
        <v>228</v>
      </c>
      <c r="B181" s="2" t="s">
        <v>147</v>
      </c>
      <c r="C181" s="2" t="s">
        <v>148</v>
      </c>
      <c r="D181" s="2" t="s">
        <v>102</v>
      </c>
      <c r="E181" s="3" t="s">
        <v>229</v>
      </c>
      <c r="F181" s="2" t="s">
        <v>47</v>
      </c>
      <c r="G181" s="2">
        <v>2045</v>
      </c>
      <c r="H181" s="2"/>
      <c r="I181" s="2" t="s">
        <v>234</v>
      </c>
      <c r="J181" s="2" t="s">
        <v>285</v>
      </c>
    </row>
    <row r="182" spans="1:10" ht="14.25" customHeight="1" x14ac:dyDescent="0.35">
      <c r="A182" s="2" t="s">
        <v>238</v>
      </c>
      <c r="B182" s="2" t="s">
        <v>147</v>
      </c>
      <c r="C182" s="2" t="s">
        <v>148</v>
      </c>
      <c r="D182" s="2" t="s">
        <v>110</v>
      </c>
      <c r="E182" s="3" t="s">
        <v>239</v>
      </c>
      <c r="F182" s="2" t="s">
        <v>47</v>
      </c>
      <c r="G182" s="2">
        <v>2025</v>
      </c>
      <c r="H182" s="2">
        <v>77.180000000000007</v>
      </c>
      <c r="I182" s="2"/>
      <c r="J182" s="2"/>
    </row>
    <row r="183" spans="1:10" ht="14.25" customHeight="1" x14ac:dyDescent="0.35">
      <c r="A183" s="2" t="s">
        <v>238</v>
      </c>
      <c r="B183" s="2" t="s">
        <v>147</v>
      </c>
      <c r="C183" s="2" t="s">
        <v>148</v>
      </c>
      <c r="D183" s="2" t="s">
        <v>110</v>
      </c>
      <c r="E183" s="3" t="s">
        <v>239</v>
      </c>
      <c r="F183" s="2" t="s">
        <v>47</v>
      </c>
      <c r="G183" s="2">
        <v>2026</v>
      </c>
      <c r="H183" s="2">
        <v>77.97</v>
      </c>
      <c r="I183" s="2"/>
      <c r="J183" s="2"/>
    </row>
    <row r="184" spans="1:10" ht="14.25" customHeight="1" x14ac:dyDescent="0.35">
      <c r="A184" s="2" t="s">
        <v>238</v>
      </c>
      <c r="B184" s="2" t="s">
        <v>147</v>
      </c>
      <c r="C184" s="2" t="s">
        <v>148</v>
      </c>
      <c r="D184" s="2" t="s">
        <v>110</v>
      </c>
      <c r="E184" s="3" t="s">
        <v>239</v>
      </c>
      <c r="F184" s="2" t="s">
        <v>47</v>
      </c>
      <c r="G184" s="2">
        <v>2027</v>
      </c>
      <c r="H184" s="2">
        <v>78.77</v>
      </c>
      <c r="I184" s="2"/>
      <c r="J184" s="2"/>
    </row>
    <row r="185" spans="1:10" ht="14.25" customHeight="1" x14ac:dyDescent="0.35">
      <c r="A185" s="2" t="s">
        <v>238</v>
      </c>
      <c r="B185" s="2" t="s">
        <v>147</v>
      </c>
      <c r="C185" s="2" t="s">
        <v>148</v>
      </c>
      <c r="D185" s="2" t="s">
        <v>110</v>
      </c>
      <c r="E185" s="3" t="s">
        <v>239</v>
      </c>
      <c r="F185" s="2" t="s">
        <v>47</v>
      </c>
      <c r="G185" s="2">
        <v>2028</v>
      </c>
      <c r="H185" s="2">
        <v>79.56</v>
      </c>
      <c r="I185" s="2"/>
      <c r="J185" s="2"/>
    </row>
    <row r="186" spans="1:10" ht="14.25" customHeight="1" x14ac:dyDescent="0.35">
      <c r="A186" s="2" t="s">
        <v>238</v>
      </c>
      <c r="B186" s="2" t="s">
        <v>147</v>
      </c>
      <c r="C186" s="2" t="s">
        <v>148</v>
      </c>
      <c r="D186" s="2" t="s">
        <v>110</v>
      </c>
      <c r="E186" s="3" t="s">
        <v>239</v>
      </c>
      <c r="F186" s="2" t="s">
        <v>47</v>
      </c>
      <c r="G186" s="2">
        <v>2029</v>
      </c>
      <c r="H186" s="2">
        <v>80.349999999999994</v>
      </c>
      <c r="I186" s="2"/>
      <c r="J186" s="2"/>
    </row>
    <row r="187" spans="1:10" ht="14.25" customHeight="1" x14ac:dyDescent="0.35">
      <c r="A187" s="2" t="s">
        <v>238</v>
      </c>
      <c r="B187" s="2" t="s">
        <v>147</v>
      </c>
      <c r="C187" s="2" t="s">
        <v>148</v>
      </c>
      <c r="D187" s="2" t="s">
        <v>110</v>
      </c>
      <c r="E187" s="3" t="s">
        <v>239</v>
      </c>
      <c r="F187" s="2" t="s">
        <v>47</v>
      </c>
      <c r="G187" s="2">
        <v>2045</v>
      </c>
      <c r="H187" s="2">
        <v>85</v>
      </c>
      <c r="I187" s="2"/>
      <c r="J187" s="2"/>
    </row>
    <row r="188" spans="1:10" ht="14.25" customHeight="1" x14ac:dyDescent="0.35">
      <c r="A188" s="2" t="s">
        <v>247</v>
      </c>
      <c r="B188" s="2" t="s">
        <v>147</v>
      </c>
      <c r="C188" s="2" t="s">
        <v>148</v>
      </c>
      <c r="D188" s="2" t="s">
        <v>116</v>
      </c>
      <c r="E188" s="3" t="s">
        <v>84</v>
      </c>
      <c r="F188" s="2" t="s">
        <v>21</v>
      </c>
      <c r="G188" s="2">
        <v>2021</v>
      </c>
      <c r="H188" s="2">
        <v>7.36</v>
      </c>
      <c r="I188" s="2"/>
      <c r="J188" s="2"/>
    </row>
    <row r="189" spans="1:10" ht="14.25" customHeight="1" x14ac:dyDescent="0.35">
      <c r="A189" s="2" t="s">
        <v>247</v>
      </c>
      <c r="B189" s="2" t="s">
        <v>147</v>
      </c>
      <c r="C189" s="2" t="s">
        <v>148</v>
      </c>
      <c r="D189" s="2" t="s">
        <v>116</v>
      </c>
      <c r="E189" s="3" t="s">
        <v>84</v>
      </c>
      <c r="F189" s="2" t="s">
        <v>21</v>
      </c>
      <c r="G189" s="2">
        <v>2022</v>
      </c>
      <c r="H189" s="2">
        <v>6.77</v>
      </c>
      <c r="I189" s="2"/>
      <c r="J189" s="2"/>
    </row>
    <row r="190" spans="1:10" ht="14.25" customHeight="1" x14ac:dyDescent="0.35">
      <c r="A190" s="2" t="s">
        <v>247</v>
      </c>
      <c r="B190" s="2" t="s">
        <v>147</v>
      </c>
      <c r="C190" s="2" t="s">
        <v>148</v>
      </c>
      <c r="D190" s="2" t="s">
        <v>116</v>
      </c>
      <c r="E190" s="3" t="s">
        <v>84</v>
      </c>
      <c r="F190" s="2" t="s">
        <v>21</v>
      </c>
      <c r="G190" s="2">
        <v>2023</v>
      </c>
      <c r="H190" s="2">
        <v>6.45</v>
      </c>
      <c r="I190" s="2"/>
      <c r="J190" s="2"/>
    </row>
    <row r="191" spans="1:10" ht="14.25" customHeight="1" x14ac:dyDescent="0.35">
      <c r="A191" s="2" t="s">
        <v>247</v>
      </c>
      <c r="B191" s="2" t="s">
        <v>147</v>
      </c>
      <c r="C191" s="2" t="s">
        <v>148</v>
      </c>
      <c r="D191" s="2" t="s">
        <v>116</v>
      </c>
      <c r="E191" s="3" t="s">
        <v>84</v>
      </c>
      <c r="F191" s="2" t="s">
        <v>21</v>
      </c>
      <c r="G191" s="2">
        <v>2024</v>
      </c>
      <c r="H191" s="2">
        <v>6.32</v>
      </c>
      <c r="I191" s="2"/>
      <c r="J191" s="2"/>
    </row>
    <row r="192" spans="1:10" ht="14.25" customHeight="1" x14ac:dyDescent="0.35">
      <c r="A192" s="2" t="s">
        <v>247</v>
      </c>
      <c r="B192" s="2" t="s">
        <v>147</v>
      </c>
      <c r="C192" s="2" t="s">
        <v>148</v>
      </c>
      <c r="D192" s="2" t="s">
        <v>116</v>
      </c>
      <c r="E192" s="3" t="s">
        <v>84</v>
      </c>
      <c r="F192" s="2" t="s">
        <v>21</v>
      </c>
      <c r="G192" s="2">
        <v>2025</v>
      </c>
      <c r="H192" s="2">
        <v>5.54</v>
      </c>
      <c r="I192" s="2"/>
      <c r="J192" s="2"/>
    </row>
    <row r="193" spans="1:10" ht="14.25" customHeight="1" x14ac:dyDescent="0.35">
      <c r="A193" s="2" t="s">
        <v>247</v>
      </c>
      <c r="B193" s="2" t="s">
        <v>147</v>
      </c>
      <c r="C193" s="2" t="s">
        <v>148</v>
      </c>
      <c r="D193" s="2" t="s">
        <v>116</v>
      </c>
      <c r="E193" s="3" t="s">
        <v>84</v>
      </c>
      <c r="F193" s="2" t="s">
        <v>47</v>
      </c>
      <c r="G193" s="2">
        <v>2025</v>
      </c>
      <c r="H193" s="2">
        <v>5.07</v>
      </c>
      <c r="I193" s="2"/>
      <c r="J193" s="2"/>
    </row>
    <row r="194" spans="1:10" ht="14.25" customHeight="1" x14ac:dyDescent="0.35">
      <c r="A194" s="2" t="s">
        <v>247</v>
      </c>
      <c r="B194" s="2" t="s">
        <v>147</v>
      </c>
      <c r="C194" s="2" t="s">
        <v>148</v>
      </c>
      <c r="D194" s="2" t="s">
        <v>116</v>
      </c>
      <c r="E194" s="3" t="s">
        <v>84</v>
      </c>
      <c r="F194" s="2" t="s">
        <v>47</v>
      </c>
      <c r="G194" s="2">
        <v>2026</v>
      </c>
      <c r="H194" s="2">
        <v>5</v>
      </c>
      <c r="I194" s="2"/>
      <c r="J194" s="2"/>
    </row>
    <row r="195" spans="1:10" ht="14.25" customHeight="1" x14ac:dyDescent="0.35">
      <c r="A195" s="2" t="s">
        <v>247</v>
      </c>
      <c r="B195" s="2" t="s">
        <v>147</v>
      </c>
      <c r="C195" s="2" t="s">
        <v>148</v>
      </c>
      <c r="D195" s="2" t="s">
        <v>116</v>
      </c>
      <c r="E195" s="3" t="s">
        <v>84</v>
      </c>
      <c r="F195" s="2" t="s">
        <v>47</v>
      </c>
      <c r="G195" s="2">
        <v>2027</v>
      </c>
      <c r="H195" s="2">
        <v>4.2</v>
      </c>
      <c r="I195" s="2"/>
      <c r="J195" s="2"/>
    </row>
    <row r="196" spans="1:10" ht="14.25" customHeight="1" x14ac:dyDescent="0.35">
      <c r="A196" s="2" t="s">
        <v>247</v>
      </c>
      <c r="B196" s="2" t="s">
        <v>147</v>
      </c>
      <c r="C196" s="2" t="s">
        <v>148</v>
      </c>
      <c r="D196" s="2" t="s">
        <v>116</v>
      </c>
      <c r="E196" s="3" t="s">
        <v>84</v>
      </c>
      <c r="F196" s="2" t="s">
        <v>47</v>
      </c>
      <c r="G196" s="2">
        <v>2028</v>
      </c>
      <c r="H196" s="2">
        <v>3.77</v>
      </c>
      <c r="I196" s="2"/>
      <c r="J196" s="2"/>
    </row>
    <row r="197" spans="1:10" ht="14.25" customHeight="1" x14ac:dyDescent="0.35">
      <c r="A197" s="2" t="s">
        <v>247</v>
      </c>
      <c r="B197" s="2" t="s">
        <v>147</v>
      </c>
      <c r="C197" s="2" t="s">
        <v>148</v>
      </c>
      <c r="D197" s="2" t="s">
        <v>116</v>
      </c>
      <c r="E197" s="3" t="s">
        <v>84</v>
      </c>
      <c r="F197" s="2" t="s">
        <v>47</v>
      </c>
      <c r="G197" s="2">
        <v>2029</v>
      </c>
      <c r="H197" s="2">
        <v>3.33</v>
      </c>
      <c r="I197" s="2"/>
      <c r="J197" s="2"/>
    </row>
    <row r="198" spans="1:10" ht="14.25" customHeight="1" x14ac:dyDescent="0.35">
      <c r="A198" s="2" t="s">
        <v>247</v>
      </c>
      <c r="B198" s="2" t="s">
        <v>147</v>
      </c>
      <c r="C198" s="2" t="s">
        <v>148</v>
      </c>
      <c r="D198" s="2" t="s">
        <v>116</v>
      </c>
      <c r="E198" s="3" t="s">
        <v>84</v>
      </c>
      <c r="F198" s="2" t="s">
        <v>47</v>
      </c>
      <c r="G198" s="2">
        <v>2045</v>
      </c>
      <c r="H198" s="2">
        <v>0.54</v>
      </c>
      <c r="I198" s="2"/>
      <c r="J198" s="2"/>
    </row>
    <row r="199" spans="1:10" ht="14.25" customHeight="1" x14ac:dyDescent="0.35">
      <c r="A199" s="2" t="s">
        <v>251</v>
      </c>
      <c r="B199" s="2" t="s">
        <v>147</v>
      </c>
      <c r="C199" s="2" t="s">
        <v>148</v>
      </c>
      <c r="D199" s="2" t="s">
        <v>128</v>
      </c>
      <c r="E199" s="3" t="s">
        <v>252</v>
      </c>
      <c r="F199" s="2" t="s">
        <v>47</v>
      </c>
      <c r="G199" s="2">
        <v>2025</v>
      </c>
      <c r="H199" s="2">
        <v>98.6</v>
      </c>
      <c r="I199" s="2"/>
      <c r="J199" s="2"/>
    </row>
    <row r="200" spans="1:10" ht="14.25" customHeight="1" x14ac:dyDescent="0.35">
      <c r="A200" s="2" t="s">
        <v>251</v>
      </c>
      <c r="B200" s="2" t="s">
        <v>147</v>
      </c>
      <c r="C200" s="2" t="s">
        <v>148</v>
      </c>
      <c r="D200" s="2" t="s">
        <v>128</v>
      </c>
      <c r="E200" s="3" t="s">
        <v>252</v>
      </c>
      <c r="F200" s="2" t="s">
        <v>47</v>
      </c>
      <c r="G200" s="2">
        <v>2026</v>
      </c>
      <c r="H200" s="2">
        <v>98.7</v>
      </c>
      <c r="I200" s="2"/>
      <c r="J200" s="2"/>
    </row>
    <row r="201" spans="1:10" ht="14.25" customHeight="1" x14ac:dyDescent="0.35">
      <c r="A201" s="2" t="s">
        <v>251</v>
      </c>
      <c r="B201" s="2" t="s">
        <v>147</v>
      </c>
      <c r="C201" s="2" t="s">
        <v>148</v>
      </c>
      <c r="D201" s="2" t="s">
        <v>128</v>
      </c>
      <c r="E201" s="3" t="s">
        <v>252</v>
      </c>
      <c r="F201" s="2" t="s">
        <v>47</v>
      </c>
      <c r="G201" s="2">
        <v>2027</v>
      </c>
      <c r="H201" s="2">
        <v>98.8</v>
      </c>
      <c r="I201" s="2"/>
      <c r="J201" s="2"/>
    </row>
    <row r="202" spans="1:10" ht="14.25" customHeight="1" x14ac:dyDescent="0.35">
      <c r="A202" s="2" t="s">
        <v>251</v>
      </c>
      <c r="B202" s="2" t="s">
        <v>147</v>
      </c>
      <c r="C202" s="2" t="s">
        <v>148</v>
      </c>
      <c r="D202" s="2" t="s">
        <v>128</v>
      </c>
      <c r="E202" s="3" t="s">
        <v>252</v>
      </c>
      <c r="F202" s="2" t="s">
        <v>47</v>
      </c>
      <c r="G202" s="2">
        <v>2028</v>
      </c>
      <c r="H202" s="2">
        <v>98.9</v>
      </c>
      <c r="I202" s="2"/>
      <c r="J202" s="2"/>
    </row>
    <row r="203" spans="1:10" ht="14.25" customHeight="1" x14ac:dyDescent="0.35">
      <c r="A203" s="2" t="s">
        <v>251</v>
      </c>
      <c r="B203" s="2" t="s">
        <v>147</v>
      </c>
      <c r="C203" s="2" t="s">
        <v>148</v>
      </c>
      <c r="D203" s="2" t="s">
        <v>128</v>
      </c>
      <c r="E203" s="3" t="s">
        <v>252</v>
      </c>
      <c r="F203" s="2" t="s">
        <v>47</v>
      </c>
      <c r="G203" s="2">
        <v>2029</v>
      </c>
      <c r="H203" s="2">
        <v>99</v>
      </c>
      <c r="I203" s="2"/>
      <c r="J203" s="2"/>
    </row>
    <row r="204" spans="1:10" ht="14.25" customHeight="1" x14ac:dyDescent="0.35">
      <c r="A204" s="2" t="s">
        <v>251</v>
      </c>
      <c r="B204" s="2" t="s">
        <v>147</v>
      </c>
      <c r="C204" s="2" t="s">
        <v>148</v>
      </c>
      <c r="D204" s="2" t="s">
        <v>128</v>
      </c>
      <c r="E204" s="3" t="s">
        <v>252</v>
      </c>
      <c r="F204" s="2" t="s">
        <v>47</v>
      </c>
      <c r="G204" s="2">
        <v>2045</v>
      </c>
      <c r="H204" s="2">
        <v>95.32</v>
      </c>
      <c r="I204" s="2"/>
      <c r="J204" s="2"/>
    </row>
    <row r="205" spans="1:10" ht="14.25" customHeight="1" x14ac:dyDescent="0.35">
      <c r="A205" s="2" t="s">
        <v>259</v>
      </c>
      <c r="B205" s="2" t="s">
        <v>147</v>
      </c>
      <c r="C205" s="2" t="s">
        <v>148</v>
      </c>
      <c r="D205" s="2" t="s">
        <v>138</v>
      </c>
      <c r="E205" s="3" t="s">
        <v>260</v>
      </c>
      <c r="F205" s="2" t="s">
        <v>47</v>
      </c>
      <c r="G205" s="2">
        <v>2025</v>
      </c>
      <c r="H205" s="2">
        <v>40</v>
      </c>
      <c r="I205" s="2"/>
      <c r="J205" s="2"/>
    </row>
    <row r="206" spans="1:10" ht="14.25" customHeight="1" x14ac:dyDescent="0.35">
      <c r="A206" s="2" t="s">
        <v>259</v>
      </c>
      <c r="B206" s="2" t="s">
        <v>147</v>
      </c>
      <c r="C206" s="2" t="s">
        <v>148</v>
      </c>
      <c r="D206" s="2" t="s">
        <v>138</v>
      </c>
      <c r="E206" s="3" t="s">
        <v>260</v>
      </c>
      <c r="F206" s="2" t="s">
        <v>47</v>
      </c>
      <c r="G206" s="2">
        <v>2026</v>
      </c>
      <c r="H206" s="2">
        <v>42.5</v>
      </c>
      <c r="I206" s="2"/>
      <c r="J206" s="2"/>
    </row>
    <row r="207" spans="1:10" ht="14.25" customHeight="1" x14ac:dyDescent="0.35">
      <c r="A207" s="2" t="s">
        <v>259</v>
      </c>
      <c r="B207" s="2" t="s">
        <v>147</v>
      </c>
      <c r="C207" s="2" t="s">
        <v>148</v>
      </c>
      <c r="D207" s="2" t="s">
        <v>138</v>
      </c>
      <c r="E207" s="3" t="s">
        <v>260</v>
      </c>
      <c r="F207" s="2" t="s">
        <v>47</v>
      </c>
      <c r="G207" s="2">
        <v>2027</v>
      </c>
      <c r="H207" s="2">
        <v>45</v>
      </c>
      <c r="I207" s="2"/>
      <c r="J207" s="2"/>
    </row>
    <row r="208" spans="1:10" ht="14.25" customHeight="1" x14ac:dyDescent="0.35">
      <c r="A208" s="2" t="s">
        <v>259</v>
      </c>
      <c r="B208" s="2" t="s">
        <v>147</v>
      </c>
      <c r="C208" s="2" t="s">
        <v>148</v>
      </c>
      <c r="D208" s="2" t="s">
        <v>138</v>
      </c>
      <c r="E208" s="3" t="s">
        <v>260</v>
      </c>
      <c r="F208" s="2" t="s">
        <v>47</v>
      </c>
      <c r="G208" s="2">
        <v>2028</v>
      </c>
      <c r="H208" s="2">
        <v>47.5</v>
      </c>
      <c r="I208" s="2"/>
      <c r="J208" s="2"/>
    </row>
    <row r="209" spans="1:10" ht="14.25" customHeight="1" x14ac:dyDescent="0.35">
      <c r="A209" s="2" t="s">
        <v>259</v>
      </c>
      <c r="B209" s="2" t="s">
        <v>147</v>
      </c>
      <c r="C209" s="2" t="s">
        <v>148</v>
      </c>
      <c r="D209" s="2" t="s">
        <v>138</v>
      </c>
      <c r="E209" s="3" t="s">
        <v>260</v>
      </c>
      <c r="F209" s="2" t="s">
        <v>47</v>
      </c>
      <c r="G209" s="2">
        <v>2029</v>
      </c>
      <c r="H209" s="2">
        <v>50</v>
      </c>
      <c r="I209" s="2"/>
      <c r="J209" s="2"/>
    </row>
    <row r="210" spans="1:10" ht="14.25" customHeight="1" x14ac:dyDescent="0.35">
      <c r="A210" s="2" t="s">
        <v>259</v>
      </c>
      <c r="B210" s="2" t="s">
        <v>147</v>
      </c>
      <c r="C210" s="2" t="s">
        <v>148</v>
      </c>
      <c r="D210" s="2" t="s">
        <v>138</v>
      </c>
      <c r="E210" s="3" t="s">
        <v>260</v>
      </c>
      <c r="F210" s="2" t="s">
        <v>47</v>
      </c>
      <c r="G210" s="2">
        <v>2045</v>
      </c>
      <c r="H210" s="2">
        <v>80</v>
      </c>
      <c r="I210" s="2"/>
      <c r="J210" s="2"/>
    </row>
    <row r="211" spans="1:10" ht="14.25" customHeight="1" x14ac:dyDescent="0.35">
      <c r="A211" s="2" t="s">
        <v>267</v>
      </c>
      <c r="B211" s="2" t="s">
        <v>147</v>
      </c>
      <c r="C211" s="2" t="s">
        <v>268</v>
      </c>
      <c r="D211" s="2" t="s">
        <v>270</v>
      </c>
      <c r="E211" s="3" t="s">
        <v>271</v>
      </c>
      <c r="F211" s="2" t="s">
        <v>21</v>
      </c>
      <c r="G211" s="2">
        <v>2021</v>
      </c>
      <c r="H211" s="2">
        <v>8.9</v>
      </c>
      <c r="I211" s="2"/>
      <c r="J211" s="2"/>
    </row>
    <row r="212" spans="1:10" ht="14.25" customHeight="1" x14ac:dyDescent="0.35">
      <c r="A212" s="2" t="s">
        <v>267</v>
      </c>
      <c r="B212" s="2" t="s">
        <v>147</v>
      </c>
      <c r="C212" s="2" t="s">
        <v>268</v>
      </c>
      <c r="D212" s="2" t="s">
        <v>270</v>
      </c>
      <c r="E212" s="3" t="s">
        <v>271</v>
      </c>
      <c r="F212" s="2" t="s">
        <v>21</v>
      </c>
      <c r="G212" s="2">
        <v>2022</v>
      </c>
      <c r="H212" s="2">
        <v>7.77</v>
      </c>
      <c r="I212" s="2"/>
      <c r="J212" s="2"/>
    </row>
    <row r="213" spans="1:10" ht="14.25" customHeight="1" x14ac:dyDescent="0.35">
      <c r="A213" s="2" t="s">
        <v>267</v>
      </c>
      <c r="B213" s="2" t="s">
        <v>147</v>
      </c>
      <c r="C213" s="2" t="s">
        <v>268</v>
      </c>
      <c r="D213" s="2" t="s">
        <v>270</v>
      </c>
      <c r="E213" s="3" t="s">
        <v>271</v>
      </c>
      <c r="F213" s="2" t="s">
        <v>21</v>
      </c>
      <c r="G213" s="2">
        <v>2023</v>
      </c>
      <c r="H213" s="2">
        <v>7.69</v>
      </c>
      <c r="I213" s="2"/>
      <c r="J213" s="2"/>
    </row>
    <row r="214" spans="1:10" ht="14.25" customHeight="1" x14ac:dyDescent="0.35">
      <c r="A214" s="2" t="s">
        <v>267</v>
      </c>
      <c r="B214" s="2" t="s">
        <v>147</v>
      </c>
      <c r="C214" s="2" t="s">
        <v>268</v>
      </c>
      <c r="D214" s="2" t="s">
        <v>270</v>
      </c>
      <c r="E214" s="3" t="s">
        <v>271</v>
      </c>
      <c r="F214" s="2" t="s">
        <v>21</v>
      </c>
      <c r="G214" s="2">
        <v>2024</v>
      </c>
      <c r="H214" s="2">
        <v>8.27</v>
      </c>
      <c r="I214" s="2"/>
      <c r="J214" s="2"/>
    </row>
    <row r="215" spans="1:10" ht="14.25" customHeight="1" x14ac:dyDescent="0.35">
      <c r="A215" s="2" t="s">
        <v>267</v>
      </c>
      <c r="B215" s="2" t="s">
        <v>147</v>
      </c>
      <c r="C215" s="2" t="s">
        <v>268</v>
      </c>
      <c r="D215" s="2" t="s">
        <v>270</v>
      </c>
      <c r="E215" s="3" t="s">
        <v>271</v>
      </c>
      <c r="F215" s="2" t="s">
        <v>21</v>
      </c>
      <c r="G215" s="2">
        <v>2025</v>
      </c>
      <c r="H215" s="2">
        <v>8.75</v>
      </c>
      <c r="I215" s="2"/>
      <c r="J215" s="2"/>
    </row>
    <row r="216" spans="1:10" ht="14.25" customHeight="1" x14ac:dyDescent="0.35">
      <c r="A216" s="2" t="s">
        <v>267</v>
      </c>
      <c r="B216" s="2" t="s">
        <v>147</v>
      </c>
      <c r="C216" s="2" t="s">
        <v>268</v>
      </c>
      <c r="D216" s="2" t="s">
        <v>270</v>
      </c>
      <c r="E216" s="3" t="s">
        <v>271</v>
      </c>
      <c r="F216" s="2" t="s">
        <v>47</v>
      </c>
      <c r="G216" s="2">
        <v>2025</v>
      </c>
      <c r="H216" s="2">
        <v>8.6300000000000008</v>
      </c>
      <c r="I216" s="2"/>
      <c r="J216" s="2"/>
    </row>
    <row r="217" spans="1:10" ht="14.25" customHeight="1" x14ac:dyDescent="0.35">
      <c r="A217" s="2" t="s">
        <v>267</v>
      </c>
      <c r="B217" s="2" t="s">
        <v>147</v>
      </c>
      <c r="C217" s="2" t="s">
        <v>268</v>
      </c>
      <c r="D217" s="2" t="s">
        <v>270</v>
      </c>
      <c r="E217" s="3" t="s">
        <v>271</v>
      </c>
      <c r="F217" s="2" t="s">
        <v>47</v>
      </c>
      <c r="G217" s="2">
        <v>2026</v>
      </c>
      <c r="H217" s="2">
        <v>9.11</v>
      </c>
      <c r="I217" s="2"/>
      <c r="J217" s="2"/>
    </row>
    <row r="218" spans="1:10" ht="14.25" customHeight="1" x14ac:dyDescent="0.35">
      <c r="A218" s="2" t="s">
        <v>267</v>
      </c>
      <c r="B218" s="2" t="s">
        <v>147</v>
      </c>
      <c r="C218" s="2" t="s">
        <v>268</v>
      </c>
      <c r="D218" s="2" t="s">
        <v>270</v>
      </c>
      <c r="E218" s="3" t="s">
        <v>271</v>
      </c>
      <c r="F218" s="2" t="s">
        <v>47</v>
      </c>
      <c r="G218" s="2">
        <v>2027</v>
      </c>
      <c r="H218" s="2">
        <v>9.83</v>
      </c>
      <c r="I218" s="2"/>
      <c r="J218" s="2"/>
    </row>
    <row r="219" spans="1:10" ht="14.25" customHeight="1" x14ac:dyDescent="0.35">
      <c r="A219" s="2" t="s">
        <v>267</v>
      </c>
      <c r="B219" s="2" t="s">
        <v>147</v>
      </c>
      <c r="C219" s="2" t="s">
        <v>268</v>
      </c>
      <c r="D219" s="2" t="s">
        <v>270</v>
      </c>
      <c r="E219" s="3" t="s">
        <v>271</v>
      </c>
      <c r="F219" s="2" t="s">
        <v>47</v>
      </c>
      <c r="G219" s="2">
        <v>2028</v>
      </c>
      <c r="H219" s="2">
        <v>10.55</v>
      </c>
      <c r="I219" s="2"/>
      <c r="J219" s="2"/>
    </row>
    <row r="220" spans="1:10" ht="14.25" customHeight="1" x14ac:dyDescent="0.35">
      <c r="A220" s="2" t="s">
        <v>267</v>
      </c>
      <c r="B220" s="2" t="s">
        <v>147</v>
      </c>
      <c r="C220" s="2" t="s">
        <v>268</v>
      </c>
      <c r="D220" s="2" t="s">
        <v>270</v>
      </c>
      <c r="E220" s="3" t="s">
        <v>271</v>
      </c>
      <c r="F220" s="2" t="s">
        <v>47</v>
      </c>
      <c r="G220" s="2">
        <v>2029</v>
      </c>
      <c r="H220" s="2">
        <v>11.91</v>
      </c>
      <c r="I220" s="2"/>
      <c r="J220" s="2"/>
    </row>
    <row r="221" spans="1:10" ht="14.25" customHeight="1" x14ac:dyDescent="0.35">
      <c r="A221" s="2" t="s">
        <v>267</v>
      </c>
      <c r="B221" s="2" t="s">
        <v>147</v>
      </c>
      <c r="C221" s="2" t="s">
        <v>268</v>
      </c>
      <c r="D221" s="2" t="s">
        <v>270</v>
      </c>
      <c r="E221" s="3" t="s">
        <v>271</v>
      </c>
      <c r="F221" s="2" t="s">
        <v>47</v>
      </c>
      <c r="G221" s="2">
        <v>2045</v>
      </c>
      <c r="H221" s="2">
        <v>25.26</v>
      </c>
      <c r="I221" s="2"/>
      <c r="J221" s="2"/>
    </row>
    <row r="222" spans="1:10" ht="14.25" customHeight="1" x14ac:dyDescent="0.35">
      <c r="A222" s="2" t="s">
        <v>273</v>
      </c>
      <c r="B222" s="2" t="s">
        <v>147</v>
      </c>
      <c r="C222" s="2" t="s">
        <v>268</v>
      </c>
      <c r="D222" s="2" t="s">
        <v>274</v>
      </c>
      <c r="E222" s="3" t="s">
        <v>275</v>
      </c>
      <c r="F222" s="2" t="s">
        <v>21</v>
      </c>
      <c r="G222" s="2">
        <v>2021</v>
      </c>
      <c r="H222" s="2">
        <v>3.43</v>
      </c>
      <c r="I222" s="2"/>
      <c r="J222" s="2"/>
    </row>
    <row r="223" spans="1:10" ht="14.25" customHeight="1" x14ac:dyDescent="0.35">
      <c r="A223" s="2" t="s">
        <v>273</v>
      </c>
      <c r="B223" s="2" t="s">
        <v>147</v>
      </c>
      <c r="C223" s="2" t="s">
        <v>268</v>
      </c>
      <c r="D223" s="2" t="s">
        <v>274</v>
      </c>
      <c r="E223" s="3" t="s">
        <v>275</v>
      </c>
      <c r="F223" s="2" t="s">
        <v>21</v>
      </c>
      <c r="G223" s="2">
        <v>2022</v>
      </c>
      <c r="H223" s="2">
        <v>3.74</v>
      </c>
      <c r="I223" s="2"/>
      <c r="J223" s="2"/>
    </row>
    <row r="224" spans="1:10" ht="14.25" customHeight="1" x14ac:dyDescent="0.35">
      <c r="A224" s="2" t="s">
        <v>273</v>
      </c>
      <c r="B224" s="2" t="s">
        <v>147</v>
      </c>
      <c r="C224" s="2" t="s">
        <v>268</v>
      </c>
      <c r="D224" s="2" t="s">
        <v>274</v>
      </c>
      <c r="E224" s="3" t="s">
        <v>275</v>
      </c>
      <c r="F224" s="2" t="s">
        <v>21</v>
      </c>
      <c r="G224" s="2">
        <v>2023</v>
      </c>
      <c r="H224" s="2">
        <v>4.32</v>
      </c>
      <c r="I224" s="2"/>
      <c r="J224" s="2"/>
    </row>
    <row r="225" spans="1:10" ht="14.25" customHeight="1" x14ac:dyDescent="0.35">
      <c r="A225" s="2" t="s">
        <v>273</v>
      </c>
      <c r="B225" s="2" t="s">
        <v>147</v>
      </c>
      <c r="C225" s="2" t="s">
        <v>268</v>
      </c>
      <c r="D225" s="2" t="s">
        <v>274</v>
      </c>
      <c r="E225" s="3" t="s">
        <v>275</v>
      </c>
      <c r="F225" s="2" t="s">
        <v>21</v>
      </c>
      <c r="G225" s="2">
        <v>2024</v>
      </c>
      <c r="H225" s="2">
        <v>1.75</v>
      </c>
      <c r="I225" s="2"/>
      <c r="J225" s="2"/>
    </row>
    <row r="226" spans="1:10" ht="14.25" customHeight="1" x14ac:dyDescent="0.35">
      <c r="A226" s="2" t="s">
        <v>273</v>
      </c>
      <c r="B226" s="2" t="s">
        <v>147</v>
      </c>
      <c r="C226" s="2" t="s">
        <v>268</v>
      </c>
      <c r="D226" s="2" t="s">
        <v>274</v>
      </c>
      <c r="E226" s="3" t="s">
        <v>275</v>
      </c>
      <c r="F226" s="2" t="s">
        <v>21</v>
      </c>
      <c r="G226" s="2">
        <v>2025</v>
      </c>
      <c r="H226" s="2">
        <v>2.6</v>
      </c>
      <c r="I226" s="2"/>
      <c r="J226" s="2"/>
    </row>
    <row r="227" spans="1:10" ht="14.25" customHeight="1" x14ac:dyDescent="0.35">
      <c r="A227" s="2" t="s">
        <v>273</v>
      </c>
      <c r="B227" s="2" t="s">
        <v>147</v>
      </c>
      <c r="C227" s="2" t="s">
        <v>268</v>
      </c>
      <c r="D227" s="2" t="s">
        <v>274</v>
      </c>
      <c r="E227" s="3" t="s">
        <v>275</v>
      </c>
      <c r="F227" s="2" t="s">
        <v>47</v>
      </c>
      <c r="G227" s="2">
        <v>2025</v>
      </c>
      <c r="H227" s="2">
        <v>3.5</v>
      </c>
      <c r="I227" s="2"/>
      <c r="J227" s="2"/>
    </row>
    <row r="228" spans="1:10" ht="14.25" customHeight="1" x14ac:dyDescent="0.35">
      <c r="A228" s="2" t="s">
        <v>273</v>
      </c>
      <c r="B228" s="2" t="s">
        <v>147</v>
      </c>
      <c r="C228" s="2" t="s">
        <v>268</v>
      </c>
      <c r="D228" s="2" t="s">
        <v>274</v>
      </c>
      <c r="E228" s="3" t="s">
        <v>275</v>
      </c>
      <c r="F228" s="2" t="s">
        <v>47</v>
      </c>
      <c r="G228" s="2">
        <v>2026</v>
      </c>
      <c r="H228" s="2">
        <v>3.6</v>
      </c>
      <c r="I228" s="2"/>
      <c r="J228" s="2"/>
    </row>
    <row r="229" spans="1:10" ht="14.25" customHeight="1" x14ac:dyDescent="0.35">
      <c r="A229" s="2" t="s">
        <v>273</v>
      </c>
      <c r="B229" s="2" t="s">
        <v>147</v>
      </c>
      <c r="C229" s="2" t="s">
        <v>268</v>
      </c>
      <c r="D229" s="2" t="s">
        <v>274</v>
      </c>
      <c r="E229" s="3" t="s">
        <v>275</v>
      </c>
      <c r="F229" s="2" t="s">
        <v>47</v>
      </c>
      <c r="G229" s="2">
        <v>2027</v>
      </c>
      <c r="H229" s="2">
        <v>3.65</v>
      </c>
      <c r="I229" s="2"/>
      <c r="J229" s="2"/>
    </row>
    <row r="230" spans="1:10" ht="14.25" customHeight="1" x14ac:dyDescent="0.35">
      <c r="A230" s="2" t="s">
        <v>273</v>
      </c>
      <c r="B230" s="2" t="s">
        <v>147</v>
      </c>
      <c r="C230" s="2" t="s">
        <v>268</v>
      </c>
      <c r="D230" s="2" t="s">
        <v>274</v>
      </c>
      <c r="E230" s="3" t="s">
        <v>275</v>
      </c>
      <c r="F230" s="2" t="s">
        <v>47</v>
      </c>
      <c r="G230" s="2">
        <v>2028</v>
      </c>
      <c r="H230" s="2">
        <v>3.7</v>
      </c>
      <c r="I230" s="2"/>
      <c r="J230" s="2"/>
    </row>
    <row r="231" spans="1:10" ht="14.25" customHeight="1" x14ac:dyDescent="0.35">
      <c r="A231" s="2" t="s">
        <v>273</v>
      </c>
      <c r="B231" s="2" t="s">
        <v>147</v>
      </c>
      <c r="C231" s="2" t="s">
        <v>268</v>
      </c>
      <c r="D231" s="2" t="s">
        <v>274</v>
      </c>
      <c r="E231" s="3" t="s">
        <v>275</v>
      </c>
      <c r="F231" s="2" t="s">
        <v>47</v>
      </c>
      <c r="G231" s="2">
        <v>2029</v>
      </c>
      <c r="H231" s="2">
        <v>3.75</v>
      </c>
      <c r="I231" s="2"/>
      <c r="J231" s="2"/>
    </row>
    <row r="232" spans="1:10" ht="14.25" customHeight="1" x14ac:dyDescent="0.35">
      <c r="A232" s="2" t="s">
        <v>279</v>
      </c>
      <c r="B232" s="2" t="s">
        <v>147</v>
      </c>
      <c r="C232" s="2" t="s">
        <v>268</v>
      </c>
      <c r="D232" s="2" t="s">
        <v>280</v>
      </c>
      <c r="E232" s="3" t="s">
        <v>281</v>
      </c>
      <c r="F232" s="2" t="s">
        <v>21</v>
      </c>
      <c r="G232" s="2">
        <v>2021</v>
      </c>
      <c r="H232" s="2">
        <v>2.3199999999999998</v>
      </c>
      <c r="I232" s="2"/>
      <c r="J232" s="2"/>
    </row>
    <row r="233" spans="1:10" ht="14.25" customHeight="1" x14ac:dyDescent="0.35">
      <c r="A233" s="2" t="s">
        <v>279</v>
      </c>
      <c r="B233" s="2" t="s">
        <v>147</v>
      </c>
      <c r="C233" s="2" t="s">
        <v>268</v>
      </c>
      <c r="D233" s="2" t="s">
        <v>280</v>
      </c>
      <c r="E233" s="3" t="s">
        <v>281</v>
      </c>
      <c r="F233" s="2" t="s">
        <v>21</v>
      </c>
      <c r="G233" s="2">
        <v>2022</v>
      </c>
      <c r="H233" s="2">
        <v>3.83</v>
      </c>
      <c r="I233" s="2"/>
      <c r="J233" s="2"/>
    </row>
    <row r="234" spans="1:10" ht="14.25" customHeight="1" x14ac:dyDescent="0.35">
      <c r="A234" s="2" t="s">
        <v>279</v>
      </c>
      <c r="B234" s="2" t="s">
        <v>147</v>
      </c>
      <c r="C234" s="2" t="s">
        <v>268</v>
      </c>
      <c r="D234" s="2" t="s">
        <v>280</v>
      </c>
      <c r="E234" s="3" t="s">
        <v>281</v>
      </c>
      <c r="F234" s="2" t="s">
        <v>21</v>
      </c>
      <c r="G234" s="2">
        <v>2023</v>
      </c>
      <c r="H234" s="2">
        <v>1.67</v>
      </c>
      <c r="I234" s="2"/>
      <c r="J234" s="2"/>
    </row>
    <row r="235" spans="1:10" ht="14.25" customHeight="1" x14ac:dyDescent="0.35">
      <c r="A235" s="2" t="s">
        <v>279</v>
      </c>
      <c r="B235" s="2" t="s">
        <v>147</v>
      </c>
      <c r="C235" s="2" t="s">
        <v>268</v>
      </c>
      <c r="D235" s="2" t="s">
        <v>280</v>
      </c>
      <c r="E235" s="3" t="s">
        <v>281</v>
      </c>
      <c r="F235" s="2" t="s">
        <v>21</v>
      </c>
      <c r="G235" s="2">
        <v>2024</v>
      </c>
      <c r="H235" s="2">
        <v>3.37</v>
      </c>
      <c r="I235" s="2"/>
      <c r="J235" s="2"/>
    </row>
    <row r="236" spans="1:10" ht="14.25" customHeight="1" x14ac:dyDescent="0.35">
      <c r="A236" s="2" t="s">
        <v>279</v>
      </c>
      <c r="B236" s="2" t="s">
        <v>147</v>
      </c>
      <c r="C236" s="2" t="s">
        <v>268</v>
      </c>
      <c r="D236" s="2" t="s">
        <v>280</v>
      </c>
      <c r="E236" s="3" t="s">
        <v>281</v>
      </c>
      <c r="F236" s="2" t="s">
        <v>21</v>
      </c>
      <c r="G236" s="2">
        <v>2025</v>
      </c>
      <c r="H236" s="2">
        <v>8.8800000000000008</v>
      </c>
      <c r="I236" s="2"/>
      <c r="J236" s="2"/>
    </row>
    <row r="237" spans="1:10" ht="14.25" customHeight="1" x14ac:dyDescent="0.35">
      <c r="A237" s="2" t="s">
        <v>284</v>
      </c>
      <c r="B237" s="2" t="s">
        <v>147</v>
      </c>
      <c r="C237" s="2" t="s">
        <v>268</v>
      </c>
      <c r="D237" s="2" t="s">
        <v>286</v>
      </c>
      <c r="E237" s="3" t="s">
        <v>287</v>
      </c>
      <c r="F237" s="2" t="s">
        <v>21</v>
      </c>
      <c r="G237" s="2">
        <v>2021</v>
      </c>
      <c r="H237" s="2">
        <v>1.5</v>
      </c>
      <c r="I237" s="2"/>
      <c r="J237" s="2"/>
    </row>
    <row r="238" spans="1:10" ht="14.25" customHeight="1" x14ac:dyDescent="0.35">
      <c r="A238" s="2" t="s">
        <v>284</v>
      </c>
      <c r="B238" s="2" t="s">
        <v>147</v>
      </c>
      <c r="C238" s="2" t="s">
        <v>268</v>
      </c>
      <c r="D238" s="2" t="s">
        <v>286</v>
      </c>
      <c r="E238" s="3" t="s">
        <v>287</v>
      </c>
      <c r="F238" s="2" t="s">
        <v>21</v>
      </c>
      <c r="G238" s="2">
        <v>2022</v>
      </c>
      <c r="H238" s="2">
        <v>1.38</v>
      </c>
      <c r="I238" s="2"/>
      <c r="J238" s="2"/>
    </row>
    <row r="239" spans="1:10" ht="14.25" customHeight="1" x14ac:dyDescent="0.35">
      <c r="A239" s="2" t="s">
        <v>284</v>
      </c>
      <c r="B239" s="2" t="s">
        <v>147</v>
      </c>
      <c r="C239" s="2" t="s">
        <v>268</v>
      </c>
      <c r="D239" s="2" t="s">
        <v>286</v>
      </c>
      <c r="E239" s="3" t="s">
        <v>287</v>
      </c>
      <c r="F239" s="2" t="s">
        <v>21</v>
      </c>
      <c r="G239" s="2">
        <v>2023</v>
      </c>
      <c r="H239" s="2">
        <v>1.45</v>
      </c>
      <c r="I239" s="2"/>
      <c r="J239" s="2"/>
    </row>
    <row r="240" spans="1:10" ht="14.25" customHeight="1" x14ac:dyDescent="0.35">
      <c r="A240" s="2" t="s">
        <v>284</v>
      </c>
      <c r="B240" s="2" t="s">
        <v>147</v>
      </c>
      <c r="C240" s="2" t="s">
        <v>268</v>
      </c>
      <c r="D240" s="2" t="s">
        <v>286</v>
      </c>
      <c r="E240" s="3" t="s">
        <v>287</v>
      </c>
      <c r="F240" s="2" t="s">
        <v>21</v>
      </c>
      <c r="G240" s="2">
        <v>2024</v>
      </c>
      <c r="H240" s="2">
        <v>1.65</v>
      </c>
      <c r="I240" s="2"/>
      <c r="J240" s="2"/>
    </row>
    <row r="241" spans="1:10" ht="14.25" customHeight="1" x14ac:dyDescent="0.35">
      <c r="A241" s="2" t="s">
        <v>284</v>
      </c>
      <c r="B241" s="2" t="s">
        <v>147</v>
      </c>
      <c r="C241" s="2" t="s">
        <v>268</v>
      </c>
      <c r="D241" s="2" t="s">
        <v>286</v>
      </c>
      <c r="E241" s="3" t="s">
        <v>287</v>
      </c>
      <c r="F241" s="2" t="s">
        <v>21</v>
      </c>
      <c r="G241" s="2">
        <v>2025</v>
      </c>
      <c r="H241" s="2">
        <v>1.77</v>
      </c>
      <c r="I241" s="2"/>
      <c r="J241" s="2"/>
    </row>
    <row r="242" spans="1:10" ht="14.25" customHeight="1" x14ac:dyDescent="0.35">
      <c r="A242" s="2" t="s">
        <v>284</v>
      </c>
      <c r="B242" s="2" t="s">
        <v>147</v>
      </c>
      <c r="C242" s="2" t="s">
        <v>268</v>
      </c>
      <c r="D242" s="2" t="s">
        <v>286</v>
      </c>
      <c r="E242" s="3" t="s">
        <v>287</v>
      </c>
      <c r="F242" s="2" t="s">
        <v>47</v>
      </c>
      <c r="G242" s="2">
        <v>2025</v>
      </c>
      <c r="H242" s="2">
        <v>1.75</v>
      </c>
      <c r="I242" s="2"/>
      <c r="J242" s="2"/>
    </row>
    <row r="243" spans="1:10" ht="14.25" customHeight="1" x14ac:dyDescent="0.35">
      <c r="A243" s="2" t="s">
        <v>284</v>
      </c>
      <c r="B243" s="2" t="s">
        <v>147</v>
      </c>
      <c r="C243" s="2" t="s">
        <v>268</v>
      </c>
      <c r="D243" s="2" t="s">
        <v>286</v>
      </c>
      <c r="E243" s="3" t="s">
        <v>287</v>
      </c>
      <c r="F243" s="2" t="s">
        <v>47</v>
      </c>
      <c r="G243" s="2">
        <v>2026</v>
      </c>
      <c r="H243" s="2">
        <v>1.88</v>
      </c>
      <c r="I243" s="2"/>
      <c r="J243" s="2"/>
    </row>
    <row r="244" spans="1:10" ht="14.25" customHeight="1" x14ac:dyDescent="0.35">
      <c r="A244" s="2" t="s">
        <v>284</v>
      </c>
      <c r="B244" s="2" t="s">
        <v>147</v>
      </c>
      <c r="C244" s="2" t="s">
        <v>268</v>
      </c>
      <c r="D244" s="2" t="s">
        <v>286</v>
      </c>
      <c r="E244" s="3" t="s">
        <v>287</v>
      </c>
      <c r="F244" s="2" t="s">
        <v>47</v>
      </c>
      <c r="G244" s="2">
        <v>2027</v>
      </c>
      <c r="H244" s="2">
        <v>2.02</v>
      </c>
      <c r="I244" s="2"/>
      <c r="J244" s="2"/>
    </row>
    <row r="245" spans="1:10" ht="14.25" customHeight="1" x14ac:dyDescent="0.35">
      <c r="A245" s="2" t="s">
        <v>284</v>
      </c>
      <c r="B245" s="2" t="s">
        <v>147</v>
      </c>
      <c r="C245" s="2" t="s">
        <v>268</v>
      </c>
      <c r="D245" s="2" t="s">
        <v>286</v>
      </c>
      <c r="E245" s="3" t="s">
        <v>287</v>
      </c>
      <c r="F245" s="2" t="s">
        <v>47</v>
      </c>
      <c r="G245" s="2">
        <v>2028</v>
      </c>
      <c r="H245" s="2">
        <v>2.17</v>
      </c>
      <c r="I245" s="2"/>
      <c r="J245" s="2"/>
    </row>
    <row r="246" spans="1:10" ht="14.25" customHeight="1" x14ac:dyDescent="0.35">
      <c r="A246" s="2" t="s">
        <v>284</v>
      </c>
      <c r="B246" s="2" t="s">
        <v>147</v>
      </c>
      <c r="C246" s="2" t="s">
        <v>268</v>
      </c>
      <c r="D246" s="2" t="s">
        <v>286</v>
      </c>
      <c r="E246" s="3" t="s">
        <v>287</v>
      </c>
      <c r="F246" s="2" t="s">
        <v>47</v>
      </c>
      <c r="G246" s="2">
        <v>2029</v>
      </c>
      <c r="H246" s="2">
        <v>2.33</v>
      </c>
      <c r="I246" s="2"/>
      <c r="J246" s="2"/>
    </row>
    <row r="247" spans="1:10" ht="14.25" customHeight="1" x14ac:dyDescent="0.35">
      <c r="A247" s="2" t="s">
        <v>284</v>
      </c>
      <c r="B247" s="2" t="s">
        <v>147</v>
      </c>
      <c r="C247" s="2" t="s">
        <v>268</v>
      </c>
      <c r="D247" s="2" t="s">
        <v>286</v>
      </c>
      <c r="E247" s="3" t="s">
        <v>287</v>
      </c>
      <c r="F247" s="2" t="s">
        <v>47</v>
      </c>
      <c r="G247" s="2">
        <v>2045</v>
      </c>
      <c r="H247" s="2">
        <v>2.75</v>
      </c>
      <c r="I247" s="2"/>
      <c r="J247" s="2"/>
    </row>
    <row r="248" spans="1:10" ht="14.25" customHeight="1" x14ac:dyDescent="0.35">
      <c r="A248" s="2" t="s">
        <v>291</v>
      </c>
      <c r="B248" s="2" t="s">
        <v>147</v>
      </c>
      <c r="C248" s="2" t="s">
        <v>268</v>
      </c>
      <c r="D248" s="2" t="s">
        <v>292</v>
      </c>
      <c r="E248" s="3" t="s">
        <v>293</v>
      </c>
      <c r="F248" s="2" t="s">
        <v>21</v>
      </c>
      <c r="G248" s="2">
        <v>2021</v>
      </c>
      <c r="H248" s="2">
        <v>6703</v>
      </c>
      <c r="I248" s="2"/>
      <c r="J248" s="2"/>
    </row>
    <row r="249" spans="1:10" ht="14.25" customHeight="1" x14ac:dyDescent="0.35">
      <c r="A249" s="2" t="s">
        <v>291</v>
      </c>
      <c r="B249" s="2" t="s">
        <v>147</v>
      </c>
      <c r="C249" s="2" t="s">
        <v>268</v>
      </c>
      <c r="D249" s="2" t="s">
        <v>292</v>
      </c>
      <c r="E249" s="3" t="s">
        <v>293</v>
      </c>
      <c r="F249" s="2" t="s">
        <v>21</v>
      </c>
      <c r="G249" s="2">
        <v>2022</v>
      </c>
      <c r="H249" s="2">
        <v>22269</v>
      </c>
      <c r="I249" s="2"/>
      <c r="J249" s="2"/>
    </row>
    <row r="250" spans="1:10" ht="14.25" customHeight="1" x14ac:dyDescent="0.35">
      <c r="A250" s="2" t="s">
        <v>291</v>
      </c>
      <c r="B250" s="2" t="s">
        <v>147</v>
      </c>
      <c r="C250" s="2" t="s">
        <v>268</v>
      </c>
      <c r="D250" s="2" t="s">
        <v>292</v>
      </c>
      <c r="E250" s="3" t="s">
        <v>293</v>
      </c>
      <c r="F250" s="2" t="s">
        <v>21</v>
      </c>
      <c r="G250" s="2">
        <v>2023</v>
      </c>
      <c r="H250" s="2">
        <v>27649</v>
      </c>
      <c r="I250" s="2"/>
      <c r="J250" s="2"/>
    </row>
    <row r="251" spans="1:10" ht="14.25" customHeight="1" x14ac:dyDescent="0.35">
      <c r="A251" s="2" t="s">
        <v>291</v>
      </c>
      <c r="B251" s="2" t="s">
        <v>147</v>
      </c>
      <c r="C251" s="2" t="s">
        <v>268</v>
      </c>
      <c r="D251" s="2" t="s">
        <v>292</v>
      </c>
      <c r="E251" s="3" t="s">
        <v>293</v>
      </c>
      <c r="F251" s="2" t="s">
        <v>21</v>
      </c>
      <c r="G251" s="2">
        <v>2024</v>
      </c>
      <c r="H251" s="2">
        <v>26604</v>
      </c>
      <c r="I251" s="2"/>
      <c r="J251" s="2"/>
    </row>
    <row r="252" spans="1:10" ht="14.25" customHeight="1" x14ac:dyDescent="0.35">
      <c r="A252" s="2" t="s">
        <v>291</v>
      </c>
      <c r="B252" s="2" t="s">
        <v>147</v>
      </c>
      <c r="C252" s="2" t="s">
        <v>268</v>
      </c>
      <c r="D252" s="2" t="s">
        <v>292</v>
      </c>
      <c r="E252" s="3" t="s">
        <v>293</v>
      </c>
      <c r="F252" s="2" t="s">
        <v>21</v>
      </c>
      <c r="G252" s="2">
        <v>2025</v>
      </c>
      <c r="H252" s="2">
        <v>20224</v>
      </c>
      <c r="I252" s="2"/>
      <c r="J252" s="2"/>
    </row>
    <row r="253" spans="1:10" ht="14.25" customHeight="1" x14ac:dyDescent="0.35">
      <c r="A253" s="2" t="s">
        <v>291</v>
      </c>
      <c r="B253" s="2" t="s">
        <v>147</v>
      </c>
      <c r="C253" s="2" t="s">
        <v>268</v>
      </c>
      <c r="D253" s="2" t="s">
        <v>292</v>
      </c>
      <c r="E253" s="3" t="s">
        <v>293</v>
      </c>
      <c r="F253" s="2" t="s">
        <v>47</v>
      </c>
      <c r="G253" s="2">
        <v>2025</v>
      </c>
      <c r="H253" s="2">
        <v>16794</v>
      </c>
      <c r="I253" s="2"/>
      <c r="J253" s="2"/>
    </row>
    <row r="254" spans="1:10" ht="14.25" customHeight="1" x14ac:dyDescent="0.35">
      <c r="A254" s="2" t="s">
        <v>291</v>
      </c>
      <c r="B254" s="2" t="s">
        <v>147</v>
      </c>
      <c r="C254" s="2" t="s">
        <v>268</v>
      </c>
      <c r="D254" s="2" t="s">
        <v>292</v>
      </c>
      <c r="E254" s="3" t="s">
        <v>293</v>
      </c>
      <c r="F254" s="2" t="s">
        <v>47</v>
      </c>
      <c r="G254" s="2">
        <v>2026</v>
      </c>
      <c r="H254" s="2">
        <v>18473</v>
      </c>
      <c r="I254" s="2"/>
      <c r="J254" s="2"/>
    </row>
    <row r="255" spans="1:10" ht="14.25" customHeight="1" x14ac:dyDescent="0.35">
      <c r="A255" s="2" t="s">
        <v>291</v>
      </c>
      <c r="B255" s="2" t="s">
        <v>147</v>
      </c>
      <c r="C255" s="2" t="s">
        <v>268</v>
      </c>
      <c r="D255" s="2" t="s">
        <v>292</v>
      </c>
      <c r="E255" s="3" t="s">
        <v>293</v>
      </c>
      <c r="F255" s="2" t="s">
        <v>47</v>
      </c>
      <c r="G255" s="2">
        <v>2027</v>
      </c>
      <c r="H255" s="2">
        <v>20320</v>
      </c>
      <c r="I255" s="2"/>
      <c r="J255" s="2"/>
    </row>
    <row r="256" spans="1:10" ht="14.25" customHeight="1" x14ac:dyDescent="0.35">
      <c r="A256" s="2" t="s">
        <v>291</v>
      </c>
      <c r="B256" s="2" t="s">
        <v>147</v>
      </c>
      <c r="C256" s="2" t="s">
        <v>268</v>
      </c>
      <c r="D256" s="2" t="s">
        <v>292</v>
      </c>
      <c r="E256" s="3" t="s">
        <v>293</v>
      </c>
      <c r="F256" s="2" t="s">
        <v>47</v>
      </c>
      <c r="G256" s="2">
        <v>2028</v>
      </c>
      <c r="H256" s="2">
        <v>22325</v>
      </c>
      <c r="I256" s="2"/>
      <c r="J256" s="2"/>
    </row>
    <row r="257" spans="1:10" ht="14.25" customHeight="1" x14ac:dyDescent="0.35">
      <c r="A257" s="2" t="s">
        <v>291</v>
      </c>
      <c r="B257" s="2" t="s">
        <v>147</v>
      </c>
      <c r="C257" s="2" t="s">
        <v>268</v>
      </c>
      <c r="D257" s="2" t="s">
        <v>292</v>
      </c>
      <c r="E257" s="3" t="s">
        <v>293</v>
      </c>
      <c r="F257" s="2" t="s">
        <v>47</v>
      </c>
      <c r="G257" s="2">
        <v>2029</v>
      </c>
      <c r="H257" s="2">
        <v>24588</v>
      </c>
      <c r="I257" s="2"/>
      <c r="J257" s="2"/>
    </row>
    <row r="258" spans="1:10" ht="14.25" customHeight="1" x14ac:dyDescent="0.35">
      <c r="A258" s="2" t="s">
        <v>291</v>
      </c>
      <c r="B258" s="2" t="s">
        <v>147</v>
      </c>
      <c r="C258" s="2" t="s">
        <v>268</v>
      </c>
      <c r="D258" s="2" t="s">
        <v>292</v>
      </c>
      <c r="E258" s="3" t="s">
        <v>293</v>
      </c>
      <c r="F258" s="2" t="s">
        <v>47</v>
      </c>
      <c r="G258" s="2">
        <v>2045</v>
      </c>
      <c r="H258" s="2">
        <v>5.35</v>
      </c>
      <c r="I258" s="2"/>
      <c r="J258" s="2"/>
    </row>
    <row r="259" spans="1:10" ht="14.25" customHeight="1" x14ac:dyDescent="0.35">
      <c r="A259" s="2" t="s">
        <v>299</v>
      </c>
      <c r="B259" s="2" t="s">
        <v>147</v>
      </c>
      <c r="C259" s="2" t="s">
        <v>268</v>
      </c>
      <c r="D259" s="2" t="s">
        <v>300</v>
      </c>
      <c r="E259" s="3" t="s">
        <v>301</v>
      </c>
      <c r="F259" s="2" t="s">
        <v>47</v>
      </c>
      <c r="G259" s="2">
        <v>2025</v>
      </c>
      <c r="H259" s="2">
        <v>82800000000</v>
      </c>
      <c r="I259" s="2"/>
      <c r="J259" s="2"/>
    </row>
    <row r="260" spans="1:10" ht="14.25" customHeight="1" x14ac:dyDescent="0.35">
      <c r="A260" s="2" t="s">
        <v>299</v>
      </c>
      <c r="B260" s="2" t="s">
        <v>147</v>
      </c>
      <c r="C260" s="2" t="s">
        <v>268</v>
      </c>
      <c r="D260" s="2" t="s">
        <v>300</v>
      </c>
      <c r="E260" s="3" t="s">
        <v>301</v>
      </c>
      <c r="F260" s="2" t="s">
        <v>47</v>
      </c>
      <c r="G260" s="2">
        <v>2026</v>
      </c>
      <c r="H260" s="2">
        <v>101799072594</v>
      </c>
      <c r="I260" s="2"/>
      <c r="J260" s="2"/>
    </row>
    <row r="261" spans="1:10" ht="14.25" customHeight="1" x14ac:dyDescent="0.35">
      <c r="A261" s="2" t="s">
        <v>299</v>
      </c>
      <c r="B261" s="2" t="s">
        <v>147</v>
      </c>
      <c r="C261" s="2" t="s">
        <v>268</v>
      </c>
      <c r="D261" s="2" t="s">
        <v>300</v>
      </c>
      <c r="E261" s="3" t="s">
        <v>301</v>
      </c>
      <c r="F261" s="2" t="s">
        <v>47</v>
      </c>
      <c r="G261" s="2">
        <v>2027</v>
      </c>
      <c r="H261" s="2">
        <v>133110384125</v>
      </c>
      <c r="I261" s="2"/>
      <c r="J261" s="2"/>
    </row>
    <row r="262" spans="1:10" ht="14.25" customHeight="1" x14ac:dyDescent="0.35">
      <c r="A262" s="2" t="s">
        <v>299</v>
      </c>
      <c r="B262" s="2" t="s">
        <v>147</v>
      </c>
      <c r="C262" s="2" t="s">
        <v>268</v>
      </c>
      <c r="D262" s="2" t="s">
        <v>300</v>
      </c>
      <c r="E262" s="3" t="s">
        <v>301</v>
      </c>
      <c r="F262" s="2" t="s">
        <v>47</v>
      </c>
      <c r="G262" s="2">
        <v>2028</v>
      </c>
      <c r="H262" s="2">
        <v>133110384125</v>
      </c>
      <c r="I262" s="2"/>
      <c r="J262" s="2"/>
    </row>
    <row r="263" spans="1:10" ht="14.25" customHeight="1" x14ac:dyDescent="0.35">
      <c r="A263" s="2" t="s">
        <v>299</v>
      </c>
      <c r="B263" s="2" t="s">
        <v>147</v>
      </c>
      <c r="C263" s="2" t="s">
        <v>268</v>
      </c>
      <c r="D263" s="2" t="s">
        <v>300</v>
      </c>
      <c r="E263" s="3" t="s">
        <v>301</v>
      </c>
      <c r="F263" s="2" t="s">
        <v>47</v>
      </c>
      <c r="G263" s="2">
        <v>2029</v>
      </c>
      <c r="H263" s="2">
        <v>133110384125</v>
      </c>
      <c r="I263" s="2"/>
      <c r="J263" s="2"/>
    </row>
    <row r="264" spans="1:10" ht="14.25" customHeight="1" x14ac:dyDescent="0.35">
      <c r="A264" s="2" t="s">
        <v>299</v>
      </c>
      <c r="B264" s="2" t="s">
        <v>147</v>
      </c>
      <c r="C264" s="2" t="s">
        <v>268</v>
      </c>
      <c r="D264" s="2" t="s">
        <v>300</v>
      </c>
      <c r="E264" s="3" t="s">
        <v>301</v>
      </c>
      <c r="F264" s="2" t="s">
        <v>47</v>
      </c>
      <c r="G264" s="2">
        <v>2045</v>
      </c>
      <c r="H264" s="2">
        <v>133110384126</v>
      </c>
      <c r="I264" s="2"/>
      <c r="J264" s="2"/>
    </row>
    <row r="265" spans="1:10" ht="14.25" customHeight="1" x14ac:dyDescent="0.35">
      <c r="A265" s="2" t="s">
        <v>307</v>
      </c>
      <c r="B265" s="2" t="s">
        <v>147</v>
      </c>
      <c r="C265" s="2" t="s">
        <v>268</v>
      </c>
      <c r="D265" s="2" t="s">
        <v>308</v>
      </c>
      <c r="E265" s="3" t="s">
        <v>309</v>
      </c>
      <c r="F265" s="2" t="s">
        <v>47</v>
      </c>
      <c r="G265" s="2">
        <v>2025</v>
      </c>
      <c r="H265" s="2">
        <v>1.5</v>
      </c>
      <c r="I265" s="2"/>
      <c r="J265" s="2"/>
    </row>
    <row r="266" spans="1:10" ht="14.25" customHeight="1" x14ac:dyDescent="0.35">
      <c r="A266" s="2" t="s">
        <v>307</v>
      </c>
      <c r="B266" s="2" t="s">
        <v>147</v>
      </c>
      <c r="C266" s="2" t="s">
        <v>268</v>
      </c>
      <c r="D266" s="2" t="s">
        <v>308</v>
      </c>
      <c r="E266" s="3" t="s">
        <v>309</v>
      </c>
      <c r="F266" s="2" t="s">
        <v>47</v>
      </c>
      <c r="G266" s="2">
        <v>2026</v>
      </c>
      <c r="H266" s="2">
        <v>1.97</v>
      </c>
      <c r="I266" s="2"/>
      <c r="J266" s="2"/>
    </row>
    <row r="267" spans="1:10" ht="14.25" customHeight="1" x14ac:dyDescent="0.35">
      <c r="A267" s="2" t="s">
        <v>307</v>
      </c>
      <c r="B267" s="2" t="s">
        <v>147</v>
      </c>
      <c r="C267" s="2" t="s">
        <v>268</v>
      </c>
      <c r="D267" s="2" t="s">
        <v>308</v>
      </c>
      <c r="E267" s="3" t="s">
        <v>309</v>
      </c>
      <c r="F267" s="2" t="s">
        <v>47</v>
      </c>
      <c r="G267" s="2">
        <v>2027</v>
      </c>
      <c r="H267" s="2">
        <v>1.99</v>
      </c>
      <c r="I267" s="2"/>
      <c r="J267" s="2"/>
    </row>
    <row r="268" spans="1:10" ht="14.25" customHeight="1" x14ac:dyDescent="0.35">
      <c r="A268" s="2" t="s">
        <v>307</v>
      </c>
      <c r="B268" s="2" t="s">
        <v>147</v>
      </c>
      <c r="C268" s="2" t="s">
        <v>268</v>
      </c>
      <c r="D268" s="2" t="s">
        <v>308</v>
      </c>
      <c r="E268" s="3" t="s">
        <v>309</v>
      </c>
      <c r="F268" s="2" t="s">
        <v>47</v>
      </c>
      <c r="G268" s="2">
        <v>2028</v>
      </c>
      <c r="H268" s="2">
        <v>2.0099999999999998</v>
      </c>
      <c r="I268" s="2"/>
      <c r="J268" s="2"/>
    </row>
    <row r="269" spans="1:10" ht="14.25" customHeight="1" x14ac:dyDescent="0.35">
      <c r="A269" s="2" t="s">
        <v>307</v>
      </c>
      <c r="B269" s="2" t="s">
        <v>147</v>
      </c>
      <c r="C269" s="2" t="s">
        <v>268</v>
      </c>
      <c r="D269" s="2" t="s">
        <v>308</v>
      </c>
      <c r="E269" s="3" t="s">
        <v>309</v>
      </c>
      <c r="F269" s="2" t="s">
        <v>47</v>
      </c>
      <c r="G269" s="2">
        <v>2029</v>
      </c>
      <c r="H269" s="2">
        <v>2.0299999999999998</v>
      </c>
      <c r="I269" s="2"/>
      <c r="J269" s="2"/>
    </row>
    <row r="270" spans="1:10" ht="14.25" customHeight="1" x14ac:dyDescent="0.35">
      <c r="A270" s="2" t="s">
        <v>307</v>
      </c>
      <c r="B270" s="2" t="s">
        <v>147</v>
      </c>
      <c r="C270" s="2" t="s">
        <v>268</v>
      </c>
      <c r="D270" s="2" t="s">
        <v>308</v>
      </c>
      <c r="E270" s="3" t="s">
        <v>309</v>
      </c>
      <c r="F270" s="2" t="s">
        <v>47</v>
      </c>
      <c r="G270" s="2">
        <v>2045</v>
      </c>
      <c r="H270" s="2">
        <v>3.09</v>
      </c>
      <c r="I270" s="2"/>
      <c r="J270" s="2"/>
    </row>
    <row r="271" spans="1:10" ht="14.25" customHeight="1" x14ac:dyDescent="0.35">
      <c r="A271" s="2" t="s">
        <v>322</v>
      </c>
      <c r="B271" s="2" t="s">
        <v>147</v>
      </c>
      <c r="C271" s="2" t="s">
        <v>268</v>
      </c>
      <c r="D271" s="2" t="s">
        <v>323</v>
      </c>
      <c r="E271" s="3" t="s">
        <v>324</v>
      </c>
      <c r="F271" s="2" t="s">
        <v>47</v>
      </c>
      <c r="G271" s="2">
        <v>2025</v>
      </c>
      <c r="H271" s="2">
        <v>3.37</v>
      </c>
      <c r="I271" s="2"/>
      <c r="J271" s="2"/>
    </row>
    <row r="272" spans="1:10" ht="14.25" customHeight="1" x14ac:dyDescent="0.35">
      <c r="A272" s="2" t="s">
        <v>322</v>
      </c>
      <c r="B272" s="2" t="s">
        <v>147</v>
      </c>
      <c r="C272" s="2" t="s">
        <v>268</v>
      </c>
      <c r="D272" s="2" t="s">
        <v>323</v>
      </c>
      <c r="E272" s="3" t="s">
        <v>324</v>
      </c>
      <c r="F272" s="2" t="s">
        <v>47</v>
      </c>
      <c r="G272" s="2">
        <v>2026</v>
      </c>
      <c r="H272" s="2">
        <v>3.52</v>
      </c>
      <c r="I272" s="2"/>
      <c r="J272" s="2"/>
    </row>
    <row r="273" spans="1:10" ht="14.25" customHeight="1" x14ac:dyDescent="0.35">
      <c r="A273" s="2" t="s">
        <v>322</v>
      </c>
      <c r="B273" s="2" t="s">
        <v>147</v>
      </c>
      <c r="C273" s="2" t="s">
        <v>268</v>
      </c>
      <c r="D273" s="2" t="s">
        <v>323</v>
      </c>
      <c r="E273" s="3" t="s">
        <v>324</v>
      </c>
      <c r="F273" s="2" t="s">
        <v>47</v>
      </c>
      <c r="G273" s="2">
        <v>2027</v>
      </c>
      <c r="H273" s="2">
        <v>3.85</v>
      </c>
      <c r="I273" s="2"/>
      <c r="J273" s="2"/>
    </row>
    <row r="274" spans="1:10" ht="14.25" customHeight="1" x14ac:dyDescent="0.35">
      <c r="A274" s="2" t="s">
        <v>322</v>
      </c>
      <c r="B274" s="2" t="s">
        <v>147</v>
      </c>
      <c r="C274" s="2" t="s">
        <v>268</v>
      </c>
      <c r="D274" s="2" t="s">
        <v>323</v>
      </c>
      <c r="E274" s="3" t="s">
        <v>324</v>
      </c>
      <c r="F274" s="2" t="s">
        <v>47</v>
      </c>
      <c r="G274" s="2">
        <v>2028</v>
      </c>
      <c r="H274" s="2">
        <v>4.18</v>
      </c>
      <c r="I274" s="2"/>
      <c r="J274" s="2"/>
    </row>
    <row r="275" spans="1:10" ht="14.25" customHeight="1" x14ac:dyDescent="0.35">
      <c r="A275" s="2" t="s">
        <v>322</v>
      </c>
      <c r="B275" s="2" t="s">
        <v>147</v>
      </c>
      <c r="C275" s="2" t="s">
        <v>268</v>
      </c>
      <c r="D275" s="2" t="s">
        <v>323</v>
      </c>
      <c r="E275" s="3" t="s">
        <v>324</v>
      </c>
      <c r="F275" s="2" t="s">
        <v>47</v>
      </c>
      <c r="G275" s="2">
        <v>2029</v>
      </c>
      <c r="H275" s="2">
        <v>4.51</v>
      </c>
      <c r="I275" s="2"/>
      <c r="J275" s="2"/>
    </row>
    <row r="276" spans="1:10" ht="14.25" customHeight="1" x14ac:dyDescent="0.35">
      <c r="A276" s="2" t="s">
        <v>322</v>
      </c>
      <c r="B276" s="2" t="s">
        <v>147</v>
      </c>
      <c r="C276" s="2" t="s">
        <v>268</v>
      </c>
      <c r="D276" s="2" t="s">
        <v>323</v>
      </c>
      <c r="E276" s="3" t="s">
        <v>324</v>
      </c>
      <c r="F276" s="2" t="s">
        <v>47</v>
      </c>
      <c r="G276" s="2">
        <v>2045</v>
      </c>
      <c r="H276" s="2">
        <v>8</v>
      </c>
      <c r="I276" s="2"/>
      <c r="J276" s="2"/>
    </row>
    <row r="277" spans="1:10" ht="14.25" customHeight="1" x14ac:dyDescent="0.35">
      <c r="A277" s="2" t="s">
        <v>329</v>
      </c>
      <c r="B277" s="2" t="s">
        <v>147</v>
      </c>
      <c r="C277" s="2" t="s">
        <v>268</v>
      </c>
      <c r="D277" s="2" t="s">
        <v>330</v>
      </c>
      <c r="E277" s="3" t="s">
        <v>331</v>
      </c>
      <c r="F277" s="2" t="s">
        <v>47</v>
      </c>
      <c r="G277" s="2">
        <v>2025</v>
      </c>
      <c r="H277" s="2">
        <v>0.31</v>
      </c>
      <c r="I277" s="2"/>
      <c r="J277" s="2"/>
    </row>
    <row r="278" spans="1:10" ht="14.25" customHeight="1" x14ac:dyDescent="0.35">
      <c r="A278" s="2" t="s">
        <v>329</v>
      </c>
      <c r="B278" s="2" t="s">
        <v>147</v>
      </c>
      <c r="C278" s="2" t="s">
        <v>268</v>
      </c>
      <c r="D278" s="2" t="s">
        <v>330</v>
      </c>
      <c r="E278" s="3" t="s">
        <v>331</v>
      </c>
      <c r="F278" s="2" t="s">
        <v>47</v>
      </c>
      <c r="G278" s="2">
        <v>2026</v>
      </c>
      <c r="H278" s="2">
        <v>0.41</v>
      </c>
      <c r="I278" s="2"/>
      <c r="J278" s="2"/>
    </row>
    <row r="279" spans="1:10" ht="14.25" customHeight="1" x14ac:dyDescent="0.35">
      <c r="A279" s="2" t="s">
        <v>329</v>
      </c>
      <c r="B279" s="2" t="s">
        <v>147</v>
      </c>
      <c r="C279" s="2" t="s">
        <v>268</v>
      </c>
      <c r="D279" s="2" t="s">
        <v>330</v>
      </c>
      <c r="E279" s="3" t="s">
        <v>331</v>
      </c>
      <c r="F279" s="2" t="s">
        <v>47</v>
      </c>
      <c r="G279" s="2">
        <v>2027</v>
      </c>
      <c r="H279" s="2">
        <v>0.47</v>
      </c>
      <c r="I279" s="2"/>
      <c r="J279" s="2"/>
    </row>
    <row r="280" spans="1:10" ht="14.25" customHeight="1" x14ac:dyDescent="0.35">
      <c r="A280" s="2" t="s">
        <v>329</v>
      </c>
      <c r="B280" s="2" t="s">
        <v>147</v>
      </c>
      <c r="C280" s="2" t="s">
        <v>268</v>
      </c>
      <c r="D280" s="2" t="s">
        <v>330</v>
      </c>
      <c r="E280" s="3" t="s">
        <v>331</v>
      </c>
      <c r="F280" s="2" t="s">
        <v>47</v>
      </c>
      <c r="G280" s="2">
        <v>2028</v>
      </c>
      <c r="H280" s="2">
        <v>0.49</v>
      </c>
      <c r="I280" s="2"/>
      <c r="J280" s="2"/>
    </row>
    <row r="281" spans="1:10" ht="14.25" customHeight="1" x14ac:dyDescent="0.35">
      <c r="A281" s="2" t="s">
        <v>329</v>
      </c>
      <c r="B281" s="2" t="s">
        <v>147</v>
      </c>
      <c r="C281" s="2" t="s">
        <v>268</v>
      </c>
      <c r="D281" s="2" t="s">
        <v>330</v>
      </c>
      <c r="E281" s="3" t="s">
        <v>331</v>
      </c>
      <c r="F281" s="2" t="s">
        <v>47</v>
      </c>
      <c r="G281" s="2">
        <v>2029</v>
      </c>
      <c r="H281" s="2">
        <v>0.52</v>
      </c>
      <c r="I281" s="2"/>
      <c r="J281" s="2"/>
    </row>
    <row r="282" spans="1:10" ht="14.25" customHeight="1" x14ac:dyDescent="0.35">
      <c r="A282" s="2" t="s">
        <v>329</v>
      </c>
      <c r="B282" s="2" t="s">
        <v>147</v>
      </c>
      <c r="C282" s="2" t="s">
        <v>268</v>
      </c>
      <c r="D282" s="2" t="s">
        <v>330</v>
      </c>
      <c r="E282" s="3" t="s">
        <v>331</v>
      </c>
      <c r="F282" s="2" t="s">
        <v>47</v>
      </c>
      <c r="G282" s="2">
        <v>2045</v>
      </c>
      <c r="H282" s="2">
        <v>2.17</v>
      </c>
      <c r="I282" s="2"/>
      <c r="J282" s="2"/>
    </row>
    <row r="283" spans="1:10" ht="14.25" customHeight="1" x14ac:dyDescent="0.35">
      <c r="A283" s="2" t="s">
        <v>336</v>
      </c>
      <c r="B283" s="2" t="s">
        <v>147</v>
      </c>
      <c r="C283" s="2" t="s">
        <v>268</v>
      </c>
      <c r="D283" s="2" t="s">
        <v>337</v>
      </c>
      <c r="E283" s="3" t="s">
        <v>338</v>
      </c>
      <c r="F283" s="2" t="s">
        <v>47</v>
      </c>
      <c r="G283" s="2">
        <v>2025</v>
      </c>
      <c r="H283" s="2">
        <v>0.97</v>
      </c>
      <c r="I283" s="2"/>
      <c r="J283" s="2"/>
    </row>
    <row r="284" spans="1:10" ht="14.25" customHeight="1" x14ac:dyDescent="0.35">
      <c r="A284" s="2" t="s">
        <v>336</v>
      </c>
      <c r="B284" s="2" t="s">
        <v>147</v>
      </c>
      <c r="C284" s="2" t="s">
        <v>268</v>
      </c>
      <c r="D284" s="2" t="s">
        <v>337</v>
      </c>
      <c r="E284" s="3" t="s">
        <v>338</v>
      </c>
      <c r="F284" s="2" t="s">
        <v>47</v>
      </c>
      <c r="G284" s="2">
        <v>2026</v>
      </c>
      <c r="H284" s="2">
        <v>1.1299999999999999</v>
      </c>
      <c r="I284" s="2"/>
      <c r="J284" s="2"/>
    </row>
    <row r="285" spans="1:10" ht="14.25" customHeight="1" x14ac:dyDescent="0.35">
      <c r="A285" s="2" t="s">
        <v>336</v>
      </c>
      <c r="B285" s="2" t="s">
        <v>147</v>
      </c>
      <c r="C285" s="2" t="s">
        <v>268</v>
      </c>
      <c r="D285" s="2" t="s">
        <v>337</v>
      </c>
      <c r="E285" s="3" t="s">
        <v>338</v>
      </c>
      <c r="F285" s="2" t="s">
        <v>47</v>
      </c>
      <c r="G285" s="2">
        <v>2027</v>
      </c>
      <c r="H285" s="2">
        <v>1.29</v>
      </c>
      <c r="I285" s="2"/>
      <c r="J285" s="2"/>
    </row>
    <row r="286" spans="1:10" ht="14.25" customHeight="1" x14ac:dyDescent="0.35">
      <c r="A286" s="2" t="s">
        <v>336</v>
      </c>
      <c r="B286" s="2" t="s">
        <v>147</v>
      </c>
      <c r="C286" s="2" t="s">
        <v>268</v>
      </c>
      <c r="D286" s="2" t="s">
        <v>337</v>
      </c>
      <c r="E286" s="3" t="s">
        <v>338</v>
      </c>
      <c r="F286" s="2" t="s">
        <v>47</v>
      </c>
      <c r="G286" s="2">
        <v>2028</v>
      </c>
      <c r="H286" s="2">
        <v>1.45</v>
      </c>
      <c r="I286" s="2"/>
      <c r="J286" s="2"/>
    </row>
    <row r="287" spans="1:10" ht="14.25" customHeight="1" x14ac:dyDescent="0.35">
      <c r="A287" s="2" t="s">
        <v>336</v>
      </c>
      <c r="B287" s="2" t="s">
        <v>147</v>
      </c>
      <c r="C287" s="2" t="s">
        <v>268</v>
      </c>
      <c r="D287" s="2" t="s">
        <v>337</v>
      </c>
      <c r="E287" s="3" t="s">
        <v>338</v>
      </c>
      <c r="F287" s="2" t="s">
        <v>47</v>
      </c>
      <c r="G287" s="2">
        <v>2029</v>
      </c>
      <c r="H287" s="2">
        <v>1.61</v>
      </c>
      <c r="I287" s="2"/>
      <c r="J287" s="2"/>
    </row>
    <row r="288" spans="1:10" ht="14.25" customHeight="1" x14ac:dyDescent="0.35">
      <c r="A288" s="2" t="s">
        <v>336</v>
      </c>
      <c r="B288" s="2" t="s">
        <v>147</v>
      </c>
      <c r="C288" s="2" t="s">
        <v>268</v>
      </c>
      <c r="D288" s="2" t="s">
        <v>337</v>
      </c>
      <c r="E288" s="3" t="s">
        <v>338</v>
      </c>
      <c r="F288" s="2" t="s">
        <v>47</v>
      </c>
      <c r="G288" s="2">
        <v>2045</v>
      </c>
      <c r="H288" s="2">
        <v>5.17</v>
      </c>
      <c r="I288" s="2"/>
      <c r="J288" s="2"/>
    </row>
    <row r="289" spans="1:10" ht="14.25" customHeight="1" x14ac:dyDescent="0.35">
      <c r="A289" s="2" t="s">
        <v>342</v>
      </c>
      <c r="B289" s="2" t="s">
        <v>147</v>
      </c>
      <c r="C289" s="2" t="s">
        <v>268</v>
      </c>
      <c r="D289" s="2" t="s">
        <v>343</v>
      </c>
      <c r="E289" s="3" t="s">
        <v>344</v>
      </c>
      <c r="F289" s="2" t="s">
        <v>21</v>
      </c>
      <c r="G289" s="2">
        <v>2021</v>
      </c>
      <c r="H289" s="2"/>
      <c r="I289" s="2" t="s">
        <v>350</v>
      </c>
      <c r="J289" s="2" t="s">
        <v>285</v>
      </c>
    </row>
    <row r="290" spans="1:10" ht="14.25" customHeight="1" x14ac:dyDescent="0.35">
      <c r="A290" s="2" t="s">
        <v>342</v>
      </c>
      <c r="B290" s="2" t="s">
        <v>147</v>
      </c>
      <c r="C290" s="2" t="s">
        <v>268</v>
      </c>
      <c r="D290" s="2" t="s">
        <v>343</v>
      </c>
      <c r="E290" s="3" t="s">
        <v>344</v>
      </c>
      <c r="F290" s="2" t="s">
        <v>21</v>
      </c>
      <c r="G290" s="2">
        <v>2022</v>
      </c>
      <c r="H290" s="2"/>
      <c r="I290" s="2" t="s">
        <v>351</v>
      </c>
      <c r="J290" s="2" t="s">
        <v>285</v>
      </c>
    </row>
    <row r="291" spans="1:10" ht="14.25" customHeight="1" x14ac:dyDescent="0.35">
      <c r="A291" s="2" t="s">
        <v>342</v>
      </c>
      <c r="B291" s="2" t="s">
        <v>147</v>
      </c>
      <c r="C291" s="2" t="s">
        <v>268</v>
      </c>
      <c r="D291" s="2" t="s">
        <v>343</v>
      </c>
      <c r="E291" s="3" t="s">
        <v>344</v>
      </c>
      <c r="F291" s="2" t="s">
        <v>21</v>
      </c>
      <c r="G291" s="2">
        <v>2023</v>
      </c>
      <c r="H291" s="2"/>
      <c r="I291" s="2" t="s">
        <v>352</v>
      </c>
      <c r="J291" s="2" t="s">
        <v>285</v>
      </c>
    </row>
    <row r="292" spans="1:10" ht="14.25" customHeight="1" x14ac:dyDescent="0.35">
      <c r="A292" s="2" t="s">
        <v>342</v>
      </c>
      <c r="B292" s="2" t="s">
        <v>147</v>
      </c>
      <c r="C292" s="2" t="s">
        <v>268</v>
      </c>
      <c r="D292" s="2" t="s">
        <v>343</v>
      </c>
      <c r="E292" s="3" t="s">
        <v>344</v>
      </c>
      <c r="F292" s="2" t="s">
        <v>21</v>
      </c>
      <c r="G292" s="2">
        <v>2024</v>
      </c>
      <c r="H292" s="2"/>
      <c r="I292" s="2" t="s">
        <v>353</v>
      </c>
      <c r="J292" s="2" t="s">
        <v>285</v>
      </c>
    </row>
    <row r="293" spans="1:10" ht="14.25" customHeight="1" x14ac:dyDescent="0.35">
      <c r="A293" s="2" t="s">
        <v>342</v>
      </c>
      <c r="B293" s="2" t="s">
        <v>147</v>
      </c>
      <c r="C293" s="2" t="s">
        <v>268</v>
      </c>
      <c r="D293" s="2" t="s">
        <v>343</v>
      </c>
      <c r="E293" s="3" t="s">
        <v>344</v>
      </c>
      <c r="F293" s="2" t="s">
        <v>21</v>
      </c>
      <c r="G293" s="2">
        <v>2025</v>
      </c>
      <c r="H293" s="2"/>
      <c r="I293" s="2" t="s">
        <v>354</v>
      </c>
      <c r="J293" s="2" t="s">
        <v>285</v>
      </c>
    </row>
    <row r="294" spans="1:10" ht="14.25" customHeight="1" x14ac:dyDescent="0.35">
      <c r="A294" s="2" t="s">
        <v>342</v>
      </c>
      <c r="B294" s="2" t="s">
        <v>147</v>
      </c>
      <c r="C294" s="2" t="s">
        <v>268</v>
      </c>
      <c r="D294" s="2" t="s">
        <v>343</v>
      </c>
      <c r="E294" s="3" t="s">
        <v>344</v>
      </c>
      <c r="F294" s="2" t="s">
        <v>47</v>
      </c>
      <c r="G294" s="2">
        <v>2025</v>
      </c>
      <c r="H294" s="2">
        <v>3.69</v>
      </c>
      <c r="I294" s="2"/>
      <c r="J294" s="2"/>
    </row>
    <row r="295" spans="1:10" ht="14.25" customHeight="1" x14ac:dyDescent="0.35">
      <c r="A295" s="2" t="s">
        <v>342</v>
      </c>
      <c r="B295" s="2" t="s">
        <v>147</v>
      </c>
      <c r="C295" s="2" t="s">
        <v>268</v>
      </c>
      <c r="D295" s="2" t="s">
        <v>343</v>
      </c>
      <c r="E295" s="3" t="s">
        <v>344</v>
      </c>
      <c r="F295" s="2" t="s">
        <v>47</v>
      </c>
      <c r="G295" s="2">
        <v>2026</v>
      </c>
      <c r="H295" s="2">
        <v>3.49</v>
      </c>
      <c r="I295" s="2"/>
      <c r="J295" s="2"/>
    </row>
    <row r="296" spans="1:10" ht="14.25" customHeight="1" x14ac:dyDescent="0.35">
      <c r="A296" s="2" t="s">
        <v>342</v>
      </c>
      <c r="B296" s="2" t="s">
        <v>147</v>
      </c>
      <c r="C296" s="2" t="s">
        <v>268</v>
      </c>
      <c r="D296" s="2" t="s">
        <v>343</v>
      </c>
      <c r="E296" s="3" t="s">
        <v>344</v>
      </c>
      <c r="F296" s="2" t="s">
        <v>47</v>
      </c>
      <c r="G296" s="2">
        <v>2027</v>
      </c>
      <c r="H296" s="2">
        <v>3.27</v>
      </c>
      <c r="I296" s="2"/>
      <c r="J296" s="2"/>
    </row>
    <row r="297" spans="1:10" ht="14.25" customHeight="1" x14ac:dyDescent="0.35">
      <c r="A297" s="2" t="s">
        <v>342</v>
      </c>
      <c r="B297" s="2" t="s">
        <v>147</v>
      </c>
      <c r="C297" s="2" t="s">
        <v>268</v>
      </c>
      <c r="D297" s="2" t="s">
        <v>343</v>
      </c>
      <c r="E297" s="3" t="s">
        <v>344</v>
      </c>
      <c r="F297" s="2" t="s">
        <v>47</v>
      </c>
      <c r="G297" s="2">
        <v>2028</v>
      </c>
      <c r="H297" s="2">
        <v>3.09</v>
      </c>
      <c r="I297" s="2"/>
      <c r="J297" s="2"/>
    </row>
    <row r="298" spans="1:10" ht="14.25" customHeight="1" x14ac:dyDescent="0.35">
      <c r="A298" s="2" t="s">
        <v>342</v>
      </c>
      <c r="B298" s="2" t="s">
        <v>147</v>
      </c>
      <c r="C298" s="2" t="s">
        <v>268</v>
      </c>
      <c r="D298" s="2" t="s">
        <v>343</v>
      </c>
      <c r="E298" s="3" t="s">
        <v>344</v>
      </c>
      <c r="F298" s="2" t="s">
        <v>47</v>
      </c>
      <c r="G298" s="2">
        <v>2029</v>
      </c>
      <c r="H298" s="2">
        <v>2.89</v>
      </c>
      <c r="I298" s="2"/>
      <c r="J298" s="2"/>
    </row>
    <row r="299" spans="1:10" ht="14.25" customHeight="1" x14ac:dyDescent="0.35">
      <c r="A299" s="2" t="s">
        <v>342</v>
      </c>
      <c r="B299" s="2" t="s">
        <v>147</v>
      </c>
      <c r="C299" s="2" t="s">
        <v>268</v>
      </c>
      <c r="D299" s="2" t="s">
        <v>343</v>
      </c>
      <c r="E299" s="3" t="s">
        <v>344</v>
      </c>
      <c r="F299" s="2" t="s">
        <v>47</v>
      </c>
      <c r="G299" s="2">
        <v>2045</v>
      </c>
      <c r="H299" s="2">
        <v>1.98</v>
      </c>
      <c r="I299" s="2"/>
      <c r="J299" s="2"/>
    </row>
    <row r="300" spans="1:10" ht="14.25" customHeight="1" x14ac:dyDescent="0.35">
      <c r="A300" s="2" t="s">
        <v>356</v>
      </c>
      <c r="B300" s="2" t="s">
        <v>147</v>
      </c>
      <c r="C300" s="2" t="s">
        <v>268</v>
      </c>
      <c r="D300" s="2" t="s">
        <v>357</v>
      </c>
      <c r="E300" s="3" t="s">
        <v>358</v>
      </c>
      <c r="F300" s="2" t="s">
        <v>47</v>
      </c>
      <c r="G300" s="2">
        <v>2025</v>
      </c>
      <c r="H300" s="2">
        <v>50.56</v>
      </c>
      <c r="I300" s="2"/>
      <c r="J300" s="2"/>
    </row>
    <row r="301" spans="1:10" ht="14.25" customHeight="1" x14ac:dyDescent="0.35">
      <c r="A301" s="2" t="s">
        <v>356</v>
      </c>
      <c r="B301" s="2" t="s">
        <v>147</v>
      </c>
      <c r="C301" s="2" t="s">
        <v>268</v>
      </c>
      <c r="D301" s="2" t="s">
        <v>357</v>
      </c>
      <c r="E301" s="3" t="s">
        <v>358</v>
      </c>
      <c r="F301" s="2" t="s">
        <v>47</v>
      </c>
      <c r="G301" s="2">
        <v>2026</v>
      </c>
      <c r="H301" s="2">
        <v>52.53</v>
      </c>
      <c r="I301" s="2"/>
      <c r="J301" s="2"/>
    </row>
    <row r="302" spans="1:10" ht="14.25" customHeight="1" x14ac:dyDescent="0.35">
      <c r="A302" s="2" t="s">
        <v>356</v>
      </c>
      <c r="B302" s="2" t="s">
        <v>147</v>
      </c>
      <c r="C302" s="2" t="s">
        <v>268</v>
      </c>
      <c r="D302" s="2" t="s">
        <v>357</v>
      </c>
      <c r="E302" s="3" t="s">
        <v>358</v>
      </c>
      <c r="F302" s="2" t="s">
        <v>47</v>
      </c>
      <c r="G302" s="2">
        <v>2027</v>
      </c>
      <c r="H302" s="2">
        <v>52.5</v>
      </c>
      <c r="I302" s="2"/>
      <c r="J302" s="2"/>
    </row>
    <row r="303" spans="1:10" ht="14.25" customHeight="1" x14ac:dyDescent="0.35">
      <c r="A303" s="2" t="s">
        <v>356</v>
      </c>
      <c r="B303" s="2" t="s">
        <v>147</v>
      </c>
      <c r="C303" s="2" t="s">
        <v>268</v>
      </c>
      <c r="D303" s="2" t="s">
        <v>357</v>
      </c>
      <c r="E303" s="3" t="s">
        <v>358</v>
      </c>
      <c r="F303" s="2" t="s">
        <v>47</v>
      </c>
      <c r="G303" s="2">
        <v>2028</v>
      </c>
      <c r="H303" s="2">
        <v>53.47</v>
      </c>
      <c r="I303" s="2"/>
      <c r="J303" s="2"/>
    </row>
    <row r="304" spans="1:10" ht="14.25" customHeight="1" x14ac:dyDescent="0.35">
      <c r="A304" s="2" t="s">
        <v>356</v>
      </c>
      <c r="B304" s="2" t="s">
        <v>147</v>
      </c>
      <c r="C304" s="2" t="s">
        <v>268</v>
      </c>
      <c r="D304" s="2" t="s">
        <v>357</v>
      </c>
      <c r="E304" s="3" t="s">
        <v>358</v>
      </c>
      <c r="F304" s="2" t="s">
        <v>47</v>
      </c>
      <c r="G304" s="2">
        <v>2029</v>
      </c>
      <c r="H304" s="2">
        <v>54.8</v>
      </c>
      <c r="I304" s="2"/>
      <c r="J304" s="2"/>
    </row>
    <row r="305" spans="1:10" ht="14.25" customHeight="1" x14ac:dyDescent="0.35">
      <c r="A305" s="2" t="s">
        <v>356</v>
      </c>
      <c r="B305" s="2" t="s">
        <v>147</v>
      </c>
      <c r="C305" s="2" t="s">
        <v>268</v>
      </c>
      <c r="D305" s="2" t="s">
        <v>357</v>
      </c>
      <c r="E305" s="3" t="s">
        <v>358</v>
      </c>
      <c r="F305" s="2" t="s">
        <v>47</v>
      </c>
      <c r="G305" s="2">
        <v>2045</v>
      </c>
      <c r="H305" s="2">
        <v>90</v>
      </c>
      <c r="I305" s="2"/>
      <c r="J305" s="2"/>
    </row>
    <row r="306" spans="1:10" ht="14.25" customHeight="1" x14ac:dyDescent="0.35">
      <c r="A306" s="2" t="s">
        <v>362</v>
      </c>
      <c r="B306" s="2" t="s">
        <v>147</v>
      </c>
      <c r="C306" s="2" t="s">
        <v>268</v>
      </c>
      <c r="D306" s="2" t="s">
        <v>363</v>
      </c>
      <c r="E306" s="3" t="s">
        <v>364</v>
      </c>
      <c r="F306" s="2" t="s">
        <v>21</v>
      </c>
      <c r="G306" s="2">
        <v>2021</v>
      </c>
      <c r="H306" s="2">
        <v>48.44</v>
      </c>
      <c r="I306" s="2"/>
      <c r="J306" s="2"/>
    </row>
    <row r="307" spans="1:10" ht="14.25" customHeight="1" x14ac:dyDescent="0.35">
      <c r="A307" s="2" t="s">
        <v>362</v>
      </c>
      <c r="B307" s="2" t="s">
        <v>147</v>
      </c>
      <c r="C307" s="2" t="s">
        <v>268</v>
      </c>
      <c r="D307" s="2" t="s">
        <v>363</v>
      </c>
      <c r="E307" s="3" t="s">
        <v>364</v>
      </c>
      <c r="F307" s="2" t="s">
        <v>21</v>
      </c>
      <c r="G307" s="2">
        <v>2022</v>
      </c>
      <c r="H307" s="2">
        <v>49.3</v>
      </c>
      <c r="I307" s="2"/>
      <c r="J307" s="2"/>
    </row>
    <row r="308" spans="1:10" ht="14.25" customHeight="1" x14ac:dyDescent="0.35">
      <c r="A308" s="2" t="s">
        <v>362</v>
      </c>
      <c r="B308" s="2" t="s">
        <v>147</v>
      </c>
      <c r="C308" s="2" t="s">
        <v>268</v>
      </c>
      <c r="D308" s="2" t="s">
        <v>363</v>
      </c>
      <c r="E308" s="3" t="s">
        <v>364</v>
      </c>
      <c r="F308" s="2" t="s">
        <v>21</v>
      </c>
      <c r="G308" s="2">
        <v>2023</v>
      </c>
      <c r="H308" s="2">
        <v>53.6</v>
      </c>
      <c r="I308" s="2"/>
      <c r="J308" s="2"/>
    </row>
    <row r="309" spans="1:10" ht="14.25" customHeight="1" x14ac:dyDescent="0.35">
      <c r="A309" s="2" t="s">
        <v>362</v>
      </c>
      <c r="B309" s="2" t="s">
        <v>147</v>
      </c>
      <c r="C309" s="2" t="s">
        <v>268</v>
      </c>
      <c r="D309" s="2" t="s">
        <v>363</v>
      </c>
      <c r="E309" s="3" t="s">
        <v>364</v>
      </c>
      <c r="F309" s="2" t="s">
        <v>21</v>
      </c>
      <c r="G309" s="2">
        <v>2024</v>
      </c>
      <c r="H309" s="2">
        <v>52.14</v>
      </c>
      <c r="I309" s="2"/>
      <c r="J309" s="2"/>
    </row>
    <row r="310" spans="1:10" ht="14.25" customHeight="1" x14ac:dyDescent="0.35">
      <c r="A310" s="2" t="s">
        <v>362</v>
      </c>
      <c r="B310" s="2" t="s">
        <v>147</v>
      </c>
      <c r="C310" s="2" t="s">
        <v>268</v>
      </c>
      <c r="D310" s="2" t="s">
        <v>363</v>
      </c>
      <c r="E310" s="3" t="s">
        <v>364</v>
      </c>
      <c r="F310" s="2" t="s">
        <v>21</v>
      </c>
      <c r="G310" s="2">
        <v>2025</v>
      </c>
      <c r="H310" s="2">
        <v>52.26</v>
      </c>
      <c r="I310" s="2"/>
      <c r="J310" s="2"/>
    </row>
    <row r="311" spans="1:10" ht="14.25" customHeight="1" x14ac:dyDescent="0.35">
      <c r="A311" s="2" t="s">
        <v>362</v>
      </c>
      <c r="B311" s="2" t="s">
        <v>147</v>
      </c>
      <c r="C311" s="2" t="s">
        <v>268</v>
      </c>
      <c r="D311" s="2" t="s">
        <v>363</v>
      </c>
      <c r="E311" s="3" t="s">
        <v>364</v>
      </c>
      <c r="F311" s="2" t="s">
        <v>47</v>
      </c>
      <c r="G311" s="2">
        <v>2025</v>
      </c>
      <c r="H311" s="2">
        <v>53.56</v>
      </c>
      <c r="I311" s="2"/>
      <c r="J311" s="2"/>
    </row>
    <row r="312" spans="1:10" ht="14.25" customHeight="1" x14ac:dyDescent="0.35">
      <c r="A312" s="2" t="s">
        <v>362</v>
      </c>
      <c r="B312" s="2" t="s">
        <v>147</v>
      </c>
      <c r="C312" s="2" t="s">
        <v>268</v>
      </c>
      <c r="D312" s="2" t="s">
        <v>363</v>
      </c>
      <c r="E312" s="3" t="s">
        <v>364</v>
      </c>
      <c r="F312" s="2" t="s">
        <v>47</v>
      </c>
      <c r="G312" s="2">
        <v>2026</v>
      </c>
      <c r="H312" s="2">
        <v>54.98</v>
      </c>
      <c r="I312" s="2"/>
      <c r="J312" s="2"/>
    </row>
    <row r="313" spans="1:10" ht="14.25" customHeight="1" x14ac:dyDescent="0.35">
      <c r="A313" s="2" t="s">
        <v>362</v>
      </c>
      <c r="B313" s="2" t="s">
        <v>147</v>
      </c>
      <c r="C313" s="2" t="s">
        <v>268</v>
      </c>
      <c r="D313" s="2" t="s">
        <v>363</v>
      </c>
      <c r="E313" s="3" t="s">
        <v>364</v>
      </c>
      <c r="F313" s="2" t="s">
        <v>47</v>
      </c>
      <c r="G313" s="2">
        <v>2027</v>
      </c>
      <c r="H313" s="2">
        <v>56.4</v>
      </c>
      <c r="I313" s="2"/>
      <c r="J313" s="2"/>
    </row>
    <row r="314" spans="1:10" ht="14.25" customHeight="1" x14ac:dyDescent="0.35">
      <c r="A314" s="2" t="s">
        <v>362</v>
      </c>
      <c r="B314" s="2" t="s">
        <v>147</v>
      </c>
      <c r="C314" s="2" t="s">
        <v>268</v>
      </c>
      <c r="D314" s="2" t="s">
        <v>363</v>
      </c>
      <c r="E314" s="3" t="s">
        <v>364</v>
      </c>
      <c r="F314" s="2" t="s">
        <v>47</v>
      </c>
      <c r="G314" s="2">
        <v>2028</v>
      </c>
      <c r="H314" s="2">
        <v>57.82</v>
      </c>
      <c r="I314" s="2"/>
      <c r="J314" s="2"/>
    </row>
    <row r="315" spans="1:10" ht="14.25" customHeight="1" x14ac:dyDescent="0.35">
      <c r="A315" s="2" t="s">
        <v>362</v>
      </c>
      <c r="B315" s="2" t="s">
        <v>147</v>
      </c>
      <c r="C315" s="2" t="s">
        <v>268</v>
      </c>
      <c r="D315" s="2" t="s">
        <v>363</v>
      </c>
      <c r="E315" s="3" t="s">
        <v>364</v>
      </c>
      <c r="F315" s="2" t="s">
        <v>47</v>
      </c>
      <c r="G315" s="2">
        <v>2029</v>
      </c>
      <c r="H315" s="2">
        <v>58.05</v>
      </c>
      <c r="I315" s="2"/>
      <c r="J315" s="2"/>
    </row>
    <row r="316" spans="1:10" ht="14.25" customHeight="1" x14ac:dyDescent="0.35">
      <c r="A316" s="2" t="s">
        <v>362</v>
      </c>
      <c r="B316" s="2" t="s">
        <v>147</v>
      </c>
      <c r="C316" s="2" t="s">
        <v>268</v>
      </c>
      <c r="D316" s="2" t="s">
        <v>363</v>
      </c>
      <c r="E316" s="3" t="s">
        <v>364</v>
      </c>
      <c r="F316" s="2" t="s">
        <v>47</v>
      </c>
      <c r="G316" s="2">
        <v>2045</v>
      </c>
      <c r="H316" s="2">
        <v>63.8</v>
      </c>
      <c r="I316" s="2"/>
      <c r="J316" s="2"/>
    </row>
    <row r="317" spans="1:10" ht="14.25" customHeight="1" x14ac:dyDescent="0.35">
      <c r="A317" s="2" t="s">
        <v>368</v>
      </c>
      <c r="B317" s="2" t="s">
        <v>147</v>
      </c>
      <c r="C317" s="2" t="s">
        <v>268</v>
      </c>
      <c r="D317" s="2" t="s">
        <v>369</v>
      </c>
      <c r="E317" s="3" t="s">
        <v>370</v>
      </c>
      <c r="F317" s="2" t="s">
        <v>21</v>
      </c>
      <c r="G317" s="2">
        <v>2021</v>
      </c>
      <c r="H317" s="2">
        <v>39.36</v>
      </c>
      <c r="I317" s="2"/>
      <c r="J317" s="2"/>
    </row>
    <row r="318" spans="1:10" ht="14.25" customHeight="1" x14ac:dyDescent="0.35">
      <c r="A318" s="2" t="s">
        <v>368</v>
      </c>
      <c r="B318" s="2" t="s">
        <v>147</v>
      </c>
      <c r="C318" s="2" t="s">
        <v>268</v>
      </c>
      <c r="D318" s="2" t="s">
        <v>369</v>
      </c>
      <c r="E318" s="3" t="s">
        <v>370</v>
      </c>
      <c r="F318" s="2" t="s">
        <v>21</v>
      </c>
      <c r="G318" s="2">
        <v>2022</v>
      </c>
      <c r="H318" s="2">
        <v>46.37</v>
      </c>
      <c r="I318" s="2"/>
      <c r="J318" s="2"/>
    </row>
    <row r="319" spans="1:10" ht="14.25" customHeight="1" x14ac:dyDescent="0.35">
      <c r="A319" s="2" t="s">
        <v>368</v>
      </c>
      <c r="B319" s="2" t="s">
        <v>147</v>
      </c>
      <c r="C319" s="2" t="s">
        <v>268</v>
      </c>
      <c r="D319" s="2" t="s">
        <v>369</v>
      </c>
      <c r="E319" s="3" t="s">
        <v>370</v>
      </c>
      <c r="F319" s="2" t="s">
        <v>21</v>
      </c>
      <c r="G319" s="2">
        <v>2023</v>
      </c>
      <c r="H319" s="2">
        <v>45.86</v>
      </c>
      <c r="I319" s="2"/>
      <c r="J319" s="2"/>
    </row>
    <row r="320" spans="1:10" ht="14.25" customHeight="1" x14ac:dyDescent="0.35">
      <c r="A320" s="2" t="s">
        <v>368</v>
      </c>
      <c r="B320" s="2" t="s">
        <v>147</v>
      </c>
      <c r="C320" s="2" t="s">
        <v>268</v>
      </c>
      <c r="D320" s="2" t="s">
        <v>369</v>
      </c>
      <c r="E320" s="3" t="s">
        <v>370</v>
      </c>
      <c r="F320" s="2" t="s">
        <v>21</v>
      </c>
      <c r="G320" s="2">
        <v>2024</v>
      </c>
      <c r="H320" s="2">
        <v>53.35</v>
      </c>
      <c r="I320" s="2"/>
      <c r="J320" s="2"/>
    </row>
    <row r="321" spans="1:10" ht="14.25" customHeight="1" x14ac:dyDescent="0.35">
      <c r="A321" s="2" t="s">
        <v>368</v>
      </c>
      <c r="B321" s="2" t="s">
        <v>147</v>
      </c>
      <c r="C321" s="2" t="s">
        <v>268</v>
      </c>
      <c r="D321" s="2" t="s">
        <v>369</v>
      </c>
      <c r="E321" s="3" t="s">
        <v>370</v>
      </c>
      <c r="F321" s="2" t="s">
        <v>21</v>
      </c>
      <c r="G321" s="2">
        <v>2025</v>
      </c>
      <c r="H321" s="2">
        <v>50.84</v>
      </c>
      <c r="I321" s="2"/>
      <c r="J321" s="2"/>
    </row>
    <row r="322" spans="1:10" ht="14.25" customHeight="1" x14ac:dyDescent="0.35">
      <c r="A322" s="2" t="s">
        <v>368</v>
      </c>
      <c r="B322" s="2" t="s">
        <v>147</v>
      </c>
      <c r="C322" s="2" t="s">
        <v>268</v>
      </c>
      <c r="D322" s="2" t="s">
        <v>369</v>
      </c>
      <c r="E322" s="3" t="s">
        <v>370</v>
      </c>
      <c r="F322" s="2" t="s">
        <v>47</v>
      </c>
      <c r="G322" s="2">
        <v>2025</v>
      </c>
      <c r="H322" s="2">
        <v>58.45</v>
      </c>
      <c r="I322" s="2"/>
      <c r="J322" s="2"/>
    </row>
    <row r="323" spans="1:10" ht="14.25" customHeight="1" x14ac:dyDescent="0.35">
      <c r="A323" s="2" t="s">
        <v>368</v>
      </c>
      <c r="B323" s="2" t="s">
        <v>147</v>
      </c>
      <c r="C323" s="2" t="s">
        <v>268</v>
      </c>
      <c r="D323" s="2" t="s">
        <v>369</v>
      </c>
      <c r="E323" s="3" t="s">
        <v>370</v>
      </c>
      <c r="F323" s="2" t="s">
        <v>47</v>
      </c>
      <c r="G323" s="2">
        <v>2026</v>
      </c>
      <c r="H323" s="2">
        <v>60.01</v>
      </c>
      <c r="I323" s="2"/>
      <c r="J323" s="2"/>
    </row>
    <row r="324" spans="1:10" ht="14.25" customHeight="1" x14ac:dyDescent="0.35">
      <c r="A324" s="2" t="s">
        <v>368</v>
      </c>
      <c r="B324" s="2" t="s">
        <v>147</v>
      </c>
      <c r="C324" s="2" t="s">
        <v>268</v>
      </c>
      <c r="D324" s="2" t="s">
        <v>369</v>
      </c>
      <c r="E324" s="3" t="s">
        <v>370</v>
      </c>
      <c r="F324" s="2" t="s">
        <v>47</v>
      </c>
      <c r="G324" s="2">
        <v>2027</v>
      </c>
      <c r="H324" s="2">
        <v>61</v>
      </c>
      <c r="I324" s="2"/>
      <c r="J324" s="2"/>
    </row>
    <row r="325" spans="1:10" ht="14.25" customHeight="1" x14ac:dyDescent="0.35">
      <c r="A325" s="2" t="s">
        <v>368</v>
      </c>
      <c r="B325" s="2" t="s">
        <v>147</v>
      </c>
      <c r="C325" s="2" t="s">
        <v>268</v>
      </c>
      <c r="D325" s="2" t="s">
        <v>369</v>
      </c>
      <c r="E325" s="3" t="s">
        <v>370</v>
      </c>
      <c r="F325" s="2" t="s">
        <v>47</v>
      </c>
      <c r="G325" s="2">
        <v>2028</v>
      </c>
      <c r="H325" s="2">
        <v>62.4</v>
      </c>
      <c r="I325" s="2"/>
      <c r="J325" s="2"/>
    </row>
    <row r="326" spans="1:10" ht="14.25" customHeight="1" x14ac:dyDescent="0.35">
      <c r="A326" s="2" t="s">
        <v>368</v>
      </c>
      <c r="B326" s="2" t="s">
        <v>147</v>
      </c>
      <c r="C326" s="2" t="s">
        <v>268</v>
      </c>
      <c r="D326" s="2" t="s">
        <v>369</v>
      </c>
      <c r="E326" s="3" t="s">
        <v>370</v>
      </c>
      <c r="F326" s="2" t="s">
        <v>47</v>
      </c>
      <c r="G326" s="2">
        <v>2029</v>
      </c>
      <c r="H326" s="2">
        <v>65.010000000000005</v>
      </c>
      <c r="I326" s="2"/>
      <c r="J326" s="2"/>
    </row>
    <row r="327" spans="1:10" ht="14.25" customHeight="1" x14ac:dyDescent="0.35">
      <c r="A327" s="2" t="s">
        <v>368</v>
      </c>
      <c r="B327" s="2" t="s">
        <v>147</v>
      </c>
      <c r="C327" s="2" t="s">
        <v>268</v>
      </c>
      <c r="D327" s="2" t="s">
        <v>369</v>
      </c>
      <c r="E327" s="3" t="s">
        <v>370</v>
      </c>
      <c r="F327" s="2" t="s">
        <v>47</v>
      </c>
      <c r="G327" s="2">
        <v>2045</v>
      </c>
      <c r="H327" s="2">
        <v>63.8</v>
      </c>
      <c r="I327" s="2"/>
      <c r="J327" s="2"/>
    </row>
    <row r="328" spans="1:10" ht="14.25" customHeight="1" x14ac:dyDescent="0.35">
      <c r="A328" s="2" t="s">
        <v>372</v>
      </c>
      <c r="B328" s="2" t="s">
        <v>147</v>
      </c>
      <c r="C328" s="2" t="s">
        <v>268</v>
      </c>
      <c r="D328" s="2" t="s">
        <v>374</v>
      </c>
      <c r="E328" s="3" t="s">
        <v>375</v>
      </c>
      <c r="F328" s="2" t="s">
        <v>47</v>
      </c>
      <c r="G328" s="2">
        <v>2025</v>
      </c>
      <c r="H328" s="2">
        <v>70.47</v>
      </c>
      <c r="I328" s="2"/>
      <c r="J328" s="2"/>
    </row>
    <row r="329" spans="1:10" ht="14.25" customHeight="1" x14ac:dyDescent="0.35">
      <c r="A329" s="2" t="s">
        <v>372</v>
      </c>
      <c r="B329" s="2" t="s">
        <v>147</v>
      </c>
      <c r="C329" s="2" t="s">
        <v>268</v>
      </c>
      <c r="D329" s="2" t="s">
        <v>374</v>
      </c>
      <c r="E329" s="3" t="s">
        <v>375</v>
      </c>
      <c r="F329" s="2" t="s">
        <v>47</v>
      </c>
      <c r="G329" s="2">
        <v>2026</v>
      </c>
      <c r="H329" s="2">
        <v>71.78</v>
      </c>
      <c r="I329" s="2"/>
      <c r="J329" s="2"/>
    </row>
    <row r="330" spans="1:10" ht="14.25" customHeight="1" x14ac:dyDescent="0.35">
      <c r="A330" s="2" t="s">
        <v>372</v>
      </c>
      <c r="B330" s="2" t="s">
        <v>147</v>
      </c>
      <c r="C330" s="2" t="s">
        <v>268</v>
      </c>
      <c r="D330" s="2" t="s">
        <v>374</v>
      </c>
      <c r="E330" s="3" t="s">
        <v>375</v>
      </c>
      <c r="F330" s="2" t="s">
        <v>47</v>
      </c>
      <c r="G330" s="2">
        <v>2027</v>
      </c>
      <c r="H330" s="2">
        <v>73.790000000000006</v>
      </c>
      <c r="I330" s="2"/>
      <c r="J330" s="2"/>
    </row>
    <row r="331" spans="1:10" ht="14.25" customHeight="1" x14ac:dyDescent="0.35">
      <c r="A331" s="2" t="s">
        <v>372</v>
      </c>
      <c r="B331" s="2" t="s">
        <v>147</v>
      </c>
      <c r="C331" s="2" t="s">
        <v>268</v>
      </c>
      <c r="D331" s="2" t="s">
        <v>374</v>
      </c>
      <c r="E331" s="3" t="s">
        <v>375</v>
      </c>
      <c r="F331" s="2" t="s">
        <v>47</v>
      </c>
      <c r="G331" s="2">
        <v>2028</v>
      </c>
      <c r="H331" s="2">
        <v>75.930000000000007</v>
      </c>
      <c r="I331" s="2"/>
      <c r="J331" s="2"/>
    </row>
    <row r="332" spans="1:10" ht="14.25" customHeight="1" x14ac:dyDescent="0.35">
      <c r="A332" s="2" t="s">
        <v>372</v>
      </c>
      <c r="B332" s="2" t="s">
        <v>147</v>
      </c>
      <c r="C332" s="2" t="s">
        <v>268</v>
      </c>
      <c r="D332" s="2" t="s">
        <v>374</v>
      </c>
      <c r="E332" s="3" t="s">
        <v>375</v>
      </c>
      <c r="F332" s="2" t="s">
        <v>47</v>
      </c>
      <c r="G332" s="2">
        <v>2029</v>
      </c>
      <c r="H332" s="2">
        <v>77.14</v>
      </c>
      <c r="I332" s="2"/>
      <c r="J332" s="2"/>
    </row>
    <row r="333" spans="1:10" ht="14.25" customHeight="1" x14ac:dyDescent="0.35">
      <c r="A333" s="2" t="s">
        <v>372</v>
      </c>
      <c r="B333" s="2" t="s">
        <v>147</v>
      </c>
      <c r="C333" s="2" t="s">
        <v>268</v>
      </c>
      <c r="D333" s="2" t="s">
        <v>374</v>
      </c>
      <c r="E333" s="3" t="s">
        <v>375</v>
      </c>
      <c r="F333" s="2" t="s">
        <v>47</v>
      </c>
      <c r="G333" s="2">
        <v>2045</v>
      </c>
      <c r="H333" s="2">
        <v>93.78</v>
      </c>
      <c r="I333" s="2"/>
      <c r="J333" s="2"/>
    </row>
    <row r="334" spans="1:10" ht="14.25" customHeight="1" x14ac:dyDescent="0.35">
      <c r="A334" s="2" t="s">
        <v>381</v>
      </c>
      <c r="B334" s="2" t="s">
        <v>147</v>
      </c>
      <c r="C334" s="2" t="s">
        <v>268</v>
      </c>
      <c r="D334" s="2" t="s">
        <v>382</v>
      </c>
      <c r="E334" s="3" t="s">
        <v>383</v>
      </c>
      <c r="F334" s="2" t="s">
        <v>47</v>
      </c>
      <c r="G334" s="2">
        <v>2025</v>
      </c>
      <c r="H334" s="2">
        <v>25.5</v>
      </c>
      <c r="I334" s="2"/>
      <c r="J334" s="2"/>
    </row>
    <row r="335" spans="1:10" ht="14.25" customHeight="1" x14ac:dyDescent="0.35">
      <c r="A335" s="2" t="s">
        <v>381</v>
      </c>
      <c r="B335" s="2" t="s">
        <v>147</v>
      </c>
      <c r="C335" s="2" t="s">
        <v>268</v>
      </c>
      <c r="D335" s="2" t="s">
        <v>382</v>
      </c>
      <c r="E335" s="3" t="s">
        <v>383</v>
      </c>
      <c r="F335" s="2" t="s">
        <v>47</v>
      </c>
      <c r="G335" s="2">
        <v>2026</v>
      </c>
      <c r="H335" s="2">
        <v>29.5</v>
      </c>
      <c r="I335" s="2"/>
      <c r="J335" s="2"/>
    </row>
    <row r="336" spans="1:10" ht="14.25" customHeight="1" x14ac:dyDescent="0.35">
      <c r="A336" s="2" t="s">
        <v>381</v>
      </c>
      <c r="B336" s="2" t="s">
        <v>147</v>
      </c>
      <c r="C336" s="2" t="s">
        <v>268</v>
      </c>
      <c r="D336" s="2" t="s">
        <v>382</v>
      </c>
      <c r="E336" s="3" t="s">
        <v>383</v>
      </c>
      <c r="F336" s="2" t="s">
        <v>47</v>
      </c>
      <c r="G336" s="2">
        <v>2027</v>
      </c>
      <c r="H336" s="2">
        <v>33.9</v>
      </c>
      <c r="I336" s="2"/>
      <c r="J336" s="2"/>
    </row>
    <row r="337" spans="1:10" ht="14.25" customHeight="1" x14ac:dyDescent="0.35">
      <c r="A337" s="2" t="s">
        <v>381</v>
      </c>
      <c r="B337" s="2" t="s">
        <v>147</v>
      </c>
      <c r="C337" s="2" t="s">
        <v>268</v>
      </c>
      <c r="D337" s="2" t="s">
        <v>382</v>
      </c>
      <c r="E337" s="3" t="s">
        <v>383</v>
      </c>
      <c r="F337" s="2" t="s">
        <v>47</v>
      </c>
      <c r="G337" s="2">
        <v>2028</v>
      </c>
      <c r="H337" s="2">
        <v>38.6</v>
      </c>
      <c r="I337" s="2"/>
      <c r="J337" s="2"/>
    </row>
    <row r="338" spans="1:10" ht="14.25" customHeight="1" x14ac:dyDescent="0.35">
      <c r="A338" s="2" t="s">
        <v>381</v>
      </c>
      <c r="B338" s="2" t="s">
        <v>147</v>
      </c>
      <c r="C338" s="2" t="s">
        <v>268</v>
      </c>
      <c r="D338" s="2" t="s">
        <v>382</v>
      </c>
      <c r="E338" s="3" t="s">
        <v>383</v>
      </c>
      <c r="F338" s="2" t="s">
        <v>47</v>
      </c>
      <c r="G338" s="2">
        <v>2029</v>
      </c>
      <c r="H338" s="2">
        <v>43.3</v>
      </c>
      <c r="I338" s="2"/>
      <c r="J338" s="2"/>
    </row>
    <row r="339" spans="1:10" ht="14.25" customHeight="1" x14ac:dyDescent="0.35">
      <c r="A339" s="2" t="s">
        <v>381</v>
      </c>
      <c r="B339" s="2" t="s">
        <v>147</v>
      </c>
      <c r="C339" s="2" t="s">
        <v>268</v>
      </c>
      <c r="D339" s="2" t="s">
        <v>382</v>
      </c>
      <c r="E339" s="3" t="s">
        <v>383</v>
      </c>
      <c r="F339" s="2" t="s">
        <v>47</v>
      </c>
      <c r="G339" s="2">
        <v>2045</v>
      </c>
      <c r="H339" s="2">
        <v>72</v>
      </c>
      <c r="I339" s="2"/>
      <c r="J339" s="2"/>
    </row>
    <row r="340" spans="1:10" ht="14.25" customHeight="1" x14ac:dyDescent="0.35">
      <c r="A340" s="2" t="s">
        <v>389</v>
      </c>
      <c r="B340" s="2" t="s">
        <v>147</v>
      </c>
      <c r="C340" s="2" t="s">
        <v>268</v>
      </c>
      <c r="D340" s="2" t="s">
        <v>391</v>
      </c>
      <c r="E340" s="3" t="s">
        <v>392</v>
      </c>
      <c r="F340" s="2" t="s">
        <v>47</v>
      </c>
      <c r="G340" s="2">
        <v>2025</v>
      </c>
      <c r="H340" s="2">
        <v>6.5</v>
      </c>
      <c r="I340" s="2"/>
      <c r="J340" s="2"/>
    </row>
    <row r="341" spans="1:10" ht="14.25" customHeight="1" x14ac:dyDescent="0.35">
      <c r="A341" s="2" t="s">
        <v>389</v>
      </c>
      <c r="B341" s="2" t="s">
        <v>147</v>
      </c>
      <c r="C341" s="2" t="s">
        <v>268</v>
      </c>
      <c r="D341" s="2" t="s">
        <v>391</v>
      </c>
      <c r="E341" s="3" t="s">
        <v>392</v>
      </c>
      <c r="F341" s="2" t="s">
        <v>47</v>
      </c>
      <c r="G341" s="2">
        <v>2026</v>
      </c>
      <c r="H341" s="2">
        <v>6.63</v>
      </c>
      <c r="I341" s="2"/>
      <c r="J341" s="2"/>
    </row>
    <row r="342" spans="1:10" ht="14.25" customHeight="1" x14ac:dyDescent="0.35">
      <c r="A342" s="2" t="s">
        <v>389</v>
      </c>
      <c r="B342" s="2" t="s">
        <v>147</v>
      </c>
      <c r="C342" s="2" t="s">
        <v>268</v>
      </c>
      <c r="D342" s="2" t="s">
        <v>391</v>
      </c>
      <c r="E342" s="3" t="s">
        <v>392</v>
      </c>
      <c r="F342" s="2" t="s">
        <v>47</v>
      </c>
      <c r="G342" s="2">
        <v>2027</v>
      </c>
      <c r="H342" s="2">
        <v>6.75</v>
      </c>
      <c r="I342" s="2"/>
      <c r="J342" s="2"/>
    </row>
    <row r="343" spans="1:10" ht="14.25" customHeight="1" x14ac:dyDescent="0.35">
      <c r="A343" s="2" t="s">
        <v>389</v>
      </c>
      <c r="B343" s="2" t="s">
        <v>147</v>
      </c>
      <c r="C343" s="2" t="s">
        <v>268</v>
      </c>
      <c r="D343" s="2" t="s">
        <v>391</v>
      </c>
      <c r="E343" s="3" t="s">
        <v>392</v>
      </c>
      <c r="F343" s="2" t="s">
        <v>47</v>
      </c>
      <c r="G343" s="2">
        <v>2028</v>
      </c>
      <c r="H343" s="2">
        <v>6.88</v>
      </c>
      <c r="I343" s="2"/>
      <c r="J343" s="2"/>
    </row>
    <row r="344" spans="1:10" ht="14.25" customHeight="1" x14ac:dyDescent="0.35">
      <c r="A344" s="2" t="s">
        <v>389</v>
      </c>
      <c r="B344" s="2" t="s">
        <v>147</v>
      </c>
      <c r="C344" s="2" t="s">
        <v>268</v>
      </c>
      <c r="D344" s="2" t="s">
        <v>391</v>
      </c>
      <c r="E344" s="3" t="s">
        <v>392</v>
      </c>
      <c r="F344" s="2" t="s">
        <v>47</v>
      </c>
      <c r="G344" s="2">
        <v>2029</v>
      </c>
      <c r="H344" s="2">
        <v>7</v>
      </c>
      <c r="I344" s="2"/>
      <c r="J344" s="2"/>
    </row>
    <row r="345" spans="1:10" ht="14.25" customHeight="1" x14ac:dyDescent="0.35">
      <c r="A345" s="2" t="s">
        <v>389</v>
      </c>
      <c r="B345" s="2" t="s">
        <v>147</v>
      </c>
      <c r="C345" s="2" t="s">
        <v>268</v>
      </c>
      <c r="D345" s="2" t="s">
        <v>391</v>
      </c>
      <c r="E345" s="3" t="s">
        <v>392</v>
      </c>
      <c r="F345" s="2" t="s">
        <v>47</v>
      </c>
      <c r="G345" s="2">
        <v>2045</v>
      </c>
      <c r="H345" s="2">
        <v>7.8</v>
      </c>
      <c r="I345" s="2"/>
      <c r="J345" s="2"/>
    </row>
    <row r="346" spans="1:10" ht="14.25" customHeight="1" x14ac:dyDescent="0.35">
      <c r="A346" s="2" t="s">
        <v>398</v>
      </c>
      <c r="B346" s="2" t="s">
        <v>147</v>
      </c>
      <c r="C346" s="2" t="s">
        <v>268</v>
      </c>
      <c r="D346" s="2" t="s">
        <v>400</v>
      </c>
      <c r="E346" s="3" t="s">
        <v>401</v>
      </c>
      <c r="F346" s="2" t="s">
        <v>47</v>
      </c>
      <c r="G346" s="2">
        <v>2025</v>
      </c>
      <c r="H346" s="2">
        <v>8.4</v>
      </c>
      <c r="I346" s="2"/>
      <c r="J346" s="2"/>
    </row>
    <row r="347" spans="1:10" ht="14.25" customHeight="1" x14ac:dyDescent="0.35">
      <c r="A347" s="2" t="s">
        <v>398</v>
      </c>
      <c r="B347" s="2" t="s">
        <v>147</v>
      </c>
      <c r="C347" s="2" t="s">
        <v>268</v>
      </c>
      <c r="D347" s="2" t="s">
        <v>400</v>
      </c>
      <c r="E347" s="3" t="s">
        <v>401</v>
      </c>
      <c r="F347" s="2" t="s">
        <v>47</v>
      </c>
      <c r="G347" s="2">
        <v>2026</v>
      </c>
      <c r="H347" s="2">
        <v>8.27</v>
      </c>
      <c r="I347" s="2"/>
      <c r="J347" s="2"/>
    </row>
    <row r="348" spans="1:10" ht="14.25" customHeight="1" x14ac:dyDescent="0.35">
      <c r="A348" s="2" t="s">
        <v>398</v>
      </c>
      <c r="B348" s="2" t="s">
        <v>147</v>
      </c>
      <c r="C348" s="2" t="s">
        <v>268</v>
      </c>
      <c r="D348" s="2" t="s">
        <v>400</v>
      </c>
      <c r="E348" s="3" t="s">
        <v>401</v>
      </c>
      <c r="F348" s="2" t="s">
        <v>47</v>
      </c>
      <c r="G348" s="2">
        <v>2027</v>
      </c>
      <c r="H348" s="2">
        <v>8.15</v>
      </c>
      <c r="I348" s="2"/>
      <c r="J348" s="2"/>
    </row>
    <row r="349" spans="1:10" ht="14.25" customHeight="1" x14ac:dyDescent="0.35">
      <c r="A349" s="2" t="s">
        <v>398</v>
      </c>
      <c r="B349" s="2" t="s">
        <v>147</v>
      </c>
      <c r="C349" s="2" t="s">
        <v>268</v>
      </c>
      <c r="D349" s="2" t="s">
        <v>400</v>
      </c>
      <c r="E349" s="3" t="s">
        <v>401</v>
      </c>
      <c r="F349" s="2" t="s">
        <v>47</v>
      </c>
      <c r="G349" s="2">
        <v>2028</v>
      </c>
      <c r="H349" s="2">
        <v>8.02</v>
      </c>
      <c r="I349" s="2"/>
      <c r="J349" s="2"/>
    </row>
    <row r="350" spans="1:10" ht="14.25" customHeight="1" x14ac:dyDescent="0.35">
      <c r="A350" s="2" t="s">
        <v>398</v>
      </c>
      <c r="B350" s="2" t="s">
        <v>147</v>
      </c>
      <c r="C350" s="2" t="s">
        <v>268</v>
      </c>
      <c r="D350" s="2" t="s">
        <v>400</v>
      </c>
      <c r="E350" s="3" t="s">
        <v>401</v>
      </c>
      <c r="F350" s="2" t="s">
        <v>47</v>
      </c>
      <c r="G350" s="2">
        <v>2029</v>
      </c>
      <c r="H350" s="2">
        <v>7.9</v>
      </c>
      <c r="I350" s="2"/>
      <c r="J350" s="2"/>
    </row>
    <row r="351" spans="1:10" ht="14.25" customHeight="1" x14ac:dyDescent="0.35">
      <c r="A351" s="2" t="s">
        <v>398</v>
      </c>
      <c r="B351" s="2" t="s">
        <v>147</v>
      </c>
      <c r="C351" s="2" t="s">
        <v>268</v>
      </c>
      <c r="D351" s="2" t="s">
        <v>400</v>
      </c>
      <c r="E351" s="3" t="s">
        <v>401</v>
      </c>
      <c r="F351" s="2" t="s">
        <v>47</v>
      </c>
      <c r="G351" s="2">
        <v>2045</v>
      </c>
      <c r="H351" s="2">
        <v>2.82</v>
      </c>
      <c r="I351" s="2"/>
      <c r="J351" s="2"/>
    </row>
    <row r="352" spans="1:10" ht="14.25" customHeight="1" x14ac:dyDescent="0.35">
      <c r="A352" s="2" t="s">
        <v>408</v>
      </c>
      <c r="B352" s="2" t="s">
        <v>147</v>
      </c>
      <c r="C352" s="2" t="s">
        <v>268</v>
      </c>
      <c r="D352" s="2" t="s">
        <v>409</v>
      </c>
      <c r="E352" s="3" t="s">
        <v>410</v>
      </c>
      <c r="F352" s="2" t="s">
        <v>21</v>
      </c>
      <c r="G352" s="2">
        <v>2021</v>
      </c>
      <c r="H352" s="2">
        <v>28.5</v>
      </c>
      <c r="I352" s="2"/>
      <c r="J352" s="2"/>
    </row>
    <row r="353" spans="1:10" ht="14.25" customHeight="1" x14ac:dyDescent="0.35">
      <c r="A353" s="2" t="s">
        <v>408</v>
      </c>
      <c r="B353" s="2" t="s">
        <v>147</v>
      </c>
      <c r="C353" s="2" t="s">
        <v>268</v>
      </c>
      <c r="D353" s="2" t="s">
        <v>409</v>
      </c>
      <c r="E353" s="3" t="s">
        <v>410</v>
      </c>
      <c r="F353" s="2" t="s">
        <v>21</v>
      </c>
      <c r="G353" s="2">
        <v>2022</v>
      </c>
      <c r="H353" s="2">
        <v>24.39</v>
      </c>
      <c r="I353" s="2"/>
      <c r="J353" s="2"/>
    </row>
    <row r="354" spans="1:10" ht="14.25" customHeight="1" x14ac:dyDescent="0.35">
      <c r="A354" s="2" t="s">
        <v>408</v>
      </c>
      <c r="B354" s="2" t="s">
        <v>147</v>
      </c>
      <c r="C354" s="2" t="s">
        <v>268</v>
      </c>
      <c r="D354" s="2" t="s">
        <v>409</v>
      </c>
      <c r="E354" s="3" t="s">
        <v>410</v>
      </c>
      <c r="F354" s="2" t="s">
        <v>21</v>
      </c>
      <c r="G354" s="2">
        <v>2023</v>
      </c>
      <c r="H354" s="2">
        <v>26.01</v>
      </c>
      <c r="I354" s="2"/>
      <c r="J354" s="2"/>
    </row>
    <row r="355" spans="1:10" ht="14.25" customHeight="1" x14ac:dyDescent="0.35">
      <c r="A355" s="2" t="s">
        <v>408</v>
      </c>
      <c r="B355" s="2" t="s">
        <v>147</v>
      </c>
      <c r="C355" s="2" t="s">
        <v>268</v>
      </c>
      <c r="D355" s="2" t="s">
        <v>409</v>
      </c>
      <c r="E355" s="3" t="s">
        <v>410</v>
      </c>
      <c r="F355" s="2" t="s">
        <v>21</v>
      </c>
      <c r="G355" s="2">
        <v>2024</v>
      </c>
      <c r="H355" s="2">
        <v>28.48</v>
      </c>
      <c r="I355" s="2"/>
      <c r="J355" s="2"/>
    </row>
    <row r="356" spans="1:10" ht="14.25" customHeight="1" x14ac:dyDescent="0.35">
      <c r="A356" s="2" t="s">
        <v>408</v>
      </c>
      <c r="B356" s="2" t="s">
        <v>147</v>
      </c>
      <c r="C356" s="2" t="s">
        <v>268</v>
      </c>
      <c r="D356" s="2" t="s">
        <v>409</v>
      </c>
      <c r="E356" s="3" t="s">
        <v>410</v>
      </c>
      <c r="F356" s="2" t="s">
        <v>21</v>
      </c>
      <c r="G356" s="2">
        <v>2025</v>
      </c>
      <c r="H356" s="2">
        <v>28.38</v>
      </c>
      <c r="I356" s="2"/>
      <c r="J356" s="2"/>
    </row>
    <row r="357" spans="1:10" ht="14.25" customHeight="1" x14ac:dyDescent="0.35">
      <c r="A357" s="2" t="s">
        <v>408</v>
      </c>
      <c r="B357" s="2" t="s">
        <v>147</v>
      </c>
      <c r="C357" s="2" t="s">
        <v>268</v>
      </c>
      <c r="D357" s="2" t="s">
        <v>409</v>
      </c>
      <c r="E357" s="3" t="s">
        <v>410</v>
      </c>
      <c r="F357" s="2" t="s">
        <v>47</v>
      </c>
      <c r="G357" s="2">
        <v>2025</v>
      </c>
      <c r="H357" s="2">
        <v>26.2</v>
      </c>
      <c r="I357" s="2"/>
      <c r="J357" s="2"/>
    </row>
    <row r="358" spans="1:10" ht="14.25" customHeight="1" x14ac:dyDescent="0.35">
      <c r="A358" s="2" t="s">
        <v>408</v>
      </c>
      <c r="B358" s="2" t="s">
        <v>147</v>
      </c>
      <c r="C358" s="2" t="s">
        <v>268</v>
      </c>
      <c r="D358" s="2" t="s">
        <v>409</v>
      </c>
      <c r="E358" s="3" t="s">
        <v>410</v>
      </c>
      <c r="F358" s="2" t="s">
        <v>47</v>
      </c>
      <c r="G358" s="2">
        <v>2026</v>
      </c>
      <c r="H358" s="2">
        <v>27</v>
      </c>
      <c r="I358" s="2"/>
      <c r="J358" s="2"/>
    </row>
    <row r="359" spans="1:10" ht="14.25" customHeight="1" x14ac:dyDescent="0.35">
      <c r="A359" s="2" t="s">
        <v>408</v>
      </c>
      <c r="B359" s="2" t="s">
        <v>147</v>
      </c>
      <c r="C359" s="2" t="s">
        <v>268</v>
      </c>
      <c r="D359" s="2" t="s">
        <v>409</v>
      </c>
      <c r="E359" s="3" t="s">
        <v>410</v>
      </c>
      <c r="F359" s="2" t="s">
        <v>47</v>
      </c>
      <c r="G359" s="2">
        <v>2027</v>
      </c>
      <c r="H359" s="2">
        <v>27.79</v>
      </c>
      <c r="I359" s="2"/>
      <c r="J359" s="2"/>
    </row>
    <row r="360" spans="1:10" ht="14.25" customHeight="1" x14ac:dyDescent="0.35">
      <c r="A360" s="2" t="s">
        <v>408</v>
      </c>
      <c r="B360" s="2" t="s">
        <v>147</v>
      </c>
      <c r="C360" s="2" t="s">
        <v>268</v>
      </c>
      <c r="D360" s="2" t="s">
        <v>409</v>
      </c>
      <c r="E360" s="3" t="s">
        <v>410</v>
      </c>
      <c r="F360" s="2" t="s">
        <v>47</v>
      </c>
      <c r="G360" s="2">
        <v>2028</v>
      </c>
      <c r="H360" s="2">
        <v>28.59</v>
      </c>
      <c r="I360" s="2"/>
      <c r="J360" s="2"/>
    </row>
    <row r="361" spans="1:10" ht="14.25" customHeight="1" x14ac:dyDescent="0.35">
      <c r="A361" s="2" t="s">
        <v>408</v>
      </c>
      <c r="B361" s="2" t="s">
        <v>147</v>
      </c>
      <c r="C361" s="2" t="s">
        <v>268</v>
      </c>
      <c r="D361" s="2" t="s">
        <v>409</v>
      </c>
      <c r="E361" s="3" t="s">
        <v>410</v>
      </c>
      <c r="F361" s="2" t="s">
        <v>47</v>
      </c>
      <c r="G361" s="2">
        <v>2029</v>
      </c>
      <c r="H361" s="2">
        <v>29.38</v>
      </c>
      <c r="I361" s="2"/>
      <c r="J361" s="2"/>
    </row>
    <row r="362" spans="1:10" ht="14.25" customHeight="1" x14ac:dyDescent="0.35">
      <c r="A362" s="2" t="s">
        <v>408</v>
      </c>
      <c r="B362" s="2" t="s">
        <v>147</v>
      </c>
      <c r="C362" s="2" t="s">
        <v>268</v>
      </c>
      <c r="D362" s="2" t="s">
        <v>409</v>
      </c>
      <c r="E362" s="3" t="s">
        <v>410</v>
      </c>
      <c r="F362" s="2" t="s">
        <v>47</v>
      </c>
      <c r="G362" s="2">
        <v>2045</v>
      </c>
      <c r="H362" s="2">
        <v>22.03</v>
      </c>
      <c r="I362" s="2"/>
      <c r="J362" s="2"/>
    </row>
    <row r="363" spans="1:10" ht="14.25" customHeight="1" x14ac:dyDescent="0.35">
      <c r="A363" s="2" t="s">
        <v>416</v>
      </c>
      <c r="B363" s="2" t="s">
        <v>147</v>
      </c>
      <c r="C363" s="2" t="s">
        <v>268</v>
      </c>
      <c r="D363" s="2" t="s">
        <v>417</v>
      </c>
      <c r="E363" s="3" t="s">
        <v>418</v>
      </c>
      <c r="F363" s="2" t="s">
        <v>21</v>
      </c>
      <c r="G363" s="2">
        <v>2021</v>
      </c>
      <c r="H363" s="2">
        <v>80.760000000000005</v>
      </c>
      <c r="I363" s="2"/>
      <c r="J363" s="2"/>
    </row>
    <row r="364" spans="1:10" ht="14.25" customHeight="1" x14ac:dyDescent="0.35">
      <c r="A364" s="2" t="s">
        <v>416</v>
      </c>
      <c r="B364" s="2" t="s">
        <v>147</v>
      </c>
      <c r="C364" s="2" t="s">
        <v>268</v>
      </c>
      <c r="D364" s="2" t="s">
        <v>417</v>
      </c>
      <c r="E364" s="3" t="s">
        <v>418</v>
      </c>
      <c r="F364" s="2" t="s">
        <v>21</v>
      </c>
      <c r="G364" s="2">
        <v>2022</v>
      </c>
      <c r="H364" s="2">
        <v>84.39</v>
      </c>
      <c r="I364" s="2"/>
      <c r="J364" s="2"/>
    </row>
    <row r="365" spans="1:10" ht="14.25" customHeight="1" x14ac:dyDescent="0.35">
      <c r="A365" s="2" t="s">
        <v>416</v>
      </c>
      <c r="B365" s="2" t="s">
        <v>147</v>
      </c>
      <c r="C365" s="2" t="s">
        <v>268</v>
      </c>
      <c r="D365" s="2" t="s">
        <v>417</v>
      </c>
      <c r="E365" s="3" t="s">
        <v>418</v>
      </c>
      <c r="F365" s="2" t="s">
        <v>21</v>
      </c>
      <c r="G365" s="2">
        <v>2023</v>
      </c>
      <c r="H365" s="2">
        <v>86.45</v>
      </c>
      <c r="I365" s="2"/>
      <c r="J365" s="2"/>
    </row>
    <row r="366" spans="1:10" ht="14.25" customHeight="1" x14ac:dyDescent="0.35">
      <c r="A366" s="2" t="s">
        <v>416</v>
      </c>
      <c r="B366" s="2" t="s">
        <v>147</v>
      </c>
      <c r="C366" s="2" t="s">
        <v>268</v>
      </c>
      <c r="D366" s="2" t="s">
        <v>417</v>
      </c>
      <c r="E366" s="3" t="s">
        <v>418</v>
      </c>
      <c r="F366" s="2" t="s">
        <v>21</v>
      </c>
      <c r="G366" s="2">
        <v>2024</v>
      </c>
      <c r="H366" s="2">
        <v>84.86</v>
      </c>
      <c r="I366" s="2"/>
      <c r="J366" s="2"/>
    </row>
    <row r="367" spans="1:10" ht="14.25" customHeight="1" x14ac:dyDescent="0.35">
      <c r="A367" s="2" t="s">
        <v>416</v>
      </c>
      <c r="B367" s="2" t="s">
        <v>147</v>
      </c>
      <c r="C367" s="2" t="s">
        <v>268</v>
      </c>
      <c r="D367" s="2" t="s">
        <v>417</v>
      </c>
      <c r="E367" s="3" t="s">
        <v>418</v>
      </c>
      <c r="F367" s="2" t="s">
        <v>21</v>
      </c>
      <c r="G367" s="2">
        <v>2025</v>
      </c>
      <c r="H367" s="2">
        <v>85.79</v>
      </c>
      <c r="I367" s="2"/>
      <c r="J367" s="2"/>
    </row>
    <row r="368" spans="1:10" ht="14.25" customHeight="1" x14ac:dyDescent="0.35">
      <c r="A368" s="2" t="s">
        <v>416</v>
      </c>
      <c r="B368" s="2" t="s">
        <v>147</v>
      </c>
      <c r="C368" s="2" t="s">
        <v>268</v>
      </c>
      <c r="D368" s="2" t="s">
        <v>417</v>
      </c>
      <c r="E368" s="3" t="s">
        <v>418</v>
      </c>
      <c r="F368" s="2" t="s">
        <v>47</v>
      </c>
      <c r="G368" s="2">
        <v>2025</v>
      </c>
      <c r="H368" s="2">
        <v>20.32</v>
      </c>
      <c r="I368" s="2"/>
      <c r="J368" s="2"/>
    </row>
    <row r="369" spans="1:10" ht="14.25" customHeight="1" x14ac:dyDescent="0.35">
      <c r="A369" s="2" t="s">
        <v>416</v>
      </c>
      <c r="B369" s="2" t="s">
        <v>147</v>
      </c>
      <c r="C369" s="2" t="s">
        <v>268</v>
      </c>
      <c r="D369" s="2" t="s">
        <v>417</v>
      </c>
      <c r="E369" s="3" t="s">
        <v>418</v>
      </c>
      <c r="F369" s="2" t="s">
        <v>47</v>
      </c>
      <c r="G369" s="2">
        <v>2026</v>
      </c>
      <c r="H369" s="2">
        <v>20.96</v>
      </c>
      <c r="I369" s="2"/>
      <c r="J369" s="2"/>
    </row>
    <row r="370" spans="1:10" ht="14.25" customHeight="1" x14ac:dyDescent="0.35">
      <c r="A370" s="2" t="s">
        <v>416</v>
      </c>
      <c r="B370" s="2" t="s">
        <v>147</v>
      </c>
      <c r="C370" s="2" t="s">
        <v>268</v>
      </c>
      <c r="D370" s="2" t="s">
        <v>417</v>
      </c>
      <c r="E370" s="3" t="s">
        <v>418</v>
      </c>
      <c r="F370" s="2" t="s">
        <v>47</v>
      </c>
      <c r="G370" s="2">
        <v>2027</v>
      </c>
      <c r="H370" s="2">
        <v>21.6</v>
      </c>
      <c r="I370" s="2"/>
      <c r="J370" s="2"/>
    </row>
    <row r="371" spans="1:10" ht="14.25" customHeight="1" x14ac:dyDescent="0.35">
      <c r="A371" s="2" t="s">
        <v>416</v>
      </c>
      <c r="B371" s="2" t="s">
        <v>147</v>
      </c>
      <c r="C371" s="2" t="s">
        <v>268</v>
      </c>
      <c r="D371" s="2" t="s">
        <v>417</v>
      </c>
      <c r="E371" s="3" t="s">
        <v>418</v>
      </c>
      <c r="F371" s="2" t="s">
        <v>47</v>
      </c>
      <c r="G371" s="2">
        <v>2028</v>
      </c>
      <c r="H371" s="2">
        <v>22.64</v>
      </c>
      <c r="I371" s="2"/>
      <c r="J371" s="2"/>
    </row>
    <row r="372" spans="1:10" ht="14.25" customHeight="1" x14ac:dyDescent="0.35">
      <c r="A372" s="2" t="s">
        <v>416</v>
      </c>
      <c r="B372" s="2" t="s">
        <v>147</v>
      </c>
      <c r="C372" s="2" t="s">
        <v>268</v>
      </c>
      <c r="D372" s="2" t="s">
        <v>417</v>
      </c>
      <c r="E372" s="3" t="s">
        <v>418</v>
      </c>
      <c r="F372" s="2" t="s">
        <v>47</v>
      </c>
      <c r="G372" s="2">
        <v>2029</v>
      </c>
      <c r="H372" s="2">
        <v>22.88</v>
      </c>
      <c r="I372" s="2"/>
      <c r="J372" s="2"/>
    </row>
    <row r="373" spans="1:10" ht="14.25" customHeight="1" x14ac:dyDescent="0.35">
      <c r="A373" s="2" t="s">
        <v>416</v>
      </c>
      <c r="B373" s="2" t="s">
        <v>147</v>
      </c>
      <c r="C373" s="2" t="s">
        <v>268</v>
      </c>
      <c r="D373" s="2" t="s">
        <v>417</v>
      </c>
      <c r="E373" s="3" t="s">
        <v>418</v>
      </c>
      <c r="F373" s="2" t="s">
        <v>47</v>
      </c>
      <c r="G373" s="2">
        <v>2045</v>
      </c>
      <c r="H373" s="2">
        <v>44.48</v>
      </c>
      <c r="I373" s="2"/>
      <c r="J373" s="2"/>
    </row>
    <row r="374" spans="1:10" ht="14.25" customHeight="1" x14ac:dyDescent="0.35">
      <c r="A374" s="2" t="s">
        <v>424</v>
      </c>
      <c r="B374" s="2" t="s">
        <v>147</v>
      </c>
      <c r="C374" s="2" t="s">
        <v>268</v>
      </c>
      <c r="D374" s="2" t="s">
        <v>425</v>
      </c>
      <c r="E374" s="3" t="s">
        <v>426</v>
      </c>
      <c r="F374" s="2" t="s">
        <v>21</v>
      </c>
      <c r="G374" s="2">
        <v>2021</v>
      </c>
      <c r="H374" s="2">
        <v>65.650000000000006</v>
      </c>
      <c r="I374" s="2"/>
      <c r="J374" s="2"/>
    </row>
    <row r="375" spans="1:10" ht="14.25" customHeight="1" x14ac:dyDescent="0.35">
      <c r="A375" s="2" t="s">
        <v>424</v>
      </c>
      <c r="B375" s="2" t="s">
        <v>147</v>
      </c>
      <c r="C375" s="2" t="s">
        <v>268</v>
      </c>
      <c r="D375" s="2" t="s">
        <v>425</v>
      </c>
      <c r="E375" s="3" t="s">
        <v>426</v>
      </c>
      <c r="F375" s="2" t="s">
        <v>21</v>
      </c>
      <c r="G375" s="2">
        <v>2022</v>
      </c>
      <c r="H375" s="2">
        <v>67.209999999999994</v>
      </c>
      <c r="I375" s="2"/>
      <c r="J375" s="2"/>
    </row>
    <row r="376" spans="1:10" ht="14.25" customHeight="1" x14ac:dyDescent="0.35">
      <c r="A376" s="2" t="s">
        <v>424</v>
      </c>
      <c r="B376" s="2" t="s">
        <v>147</v>
      </c>
      <c r="C376" s="2" t="s">
        <v>268</v>
      </c>
      <c r="D376" s="2" t="s">
        <v>425</v>
      </c>
      <c r="E376" s="3" t="s">
        <v>426</v>
      </c>
      <c r="F376" s="2" t="s">
        <v>21</v>
      </c>
      <c r="G376" s="2">
        <v>2023</v>
      </c>
      <c r="H376" s="2">
        <v>71.430000000000007</v>
      </c>
      <c r="I376" s="2"/>
      <c r="J376" s="2"/>
    </row>
    <row r="377" spans="1:10" ht="14.25" customHeight="1" x14ac:dyDescent="0.35">
      <c r="A377" s="2" t="s">
        <v>424</v>
      </c>
      <c r="B377" s="2" t="s">
        <v>147</v>
      </c>
      <c r="C377" s="2" t="s">
        <v>268</v>
      </c>
      <c r="D377" s="2" t="s">
        <v>425</v>
      </c>
      <c r="E377" s="3" t="s">
        <v>426</v>
      </c>
      <c r="F377" s="2" t="s">
        <v>21</v>
      </c>
      <c r="G377" s="2">
        <v>2024</v>
      </c>
      <c r="H377" s="2">
        <v>69.650000000000006</v>
      </c>
      <c r="I377" s="2"/>
      <c r="J377" s="2"/>
    </row>
    <row r="378" spans="1:10" ht="14.25" customHeight="1" x14ac:dyDescent="0.35">
      <c r="A378" s="2" t="s">
        <v>424</v>
      </c>
      <c r="B378" s="2" t="s">
        <v>147</v>
      </c>
      <c r="C378" s="2" t="s">
        <v>268</v>
      </c>
      <c r="D378" s="2" t="s">
        <v>425</v>
      </c>
      <c r="E378" s="3" t="s">
        <v>426</v>
      </c>
      <c r="F378" s="2" t="s">
        <v>21</v>
      </c>
      <c r="G378" s="2">
        <v>2025</v>
      </c>
      <c r="H378" s="2">
        <v>74.86</v>
      </c>
      <c r="I378" s="2"/>
      <c r="J378" s="2"/>
    </row>
    <row r="379" spans="1:10" ht="14.25" customHeight="1" x14ac:dyDescent="0.35">
      <c r="A379" s="2" t="s">
        <v>424</v>
      </c>
      <c r="B379" s="2" t="s">
        <v>147</v>
      </c>
      <c r="C379" s="2" t="s">
        <v>268</v>
      </c>
      <c r="D379" s="2" t="s">
        <v>425</v>
      </c>
      <c r="E379" s="3" t="s">
        <v>426</v>
      </c>
      <c r="F379" s="2" t="s">
        <v>47</v>
      </c>
      <c r="G379" s="2">
        <v>2025</v>
      </c>
      <c r="H379" s="2">
        <v>74.849999999999994</v>
      </c>
      <c r="I379" s="2"/>
      <c r="J379" s="2"/>
    </row>
    <row r="380" spans="1:10" ht="14.25" customHeight="1" x14ac:dyDescent="0.35">
      <c r="A380" s="2" t="s">
        <v>424</v>
      </c>
      <c r="B380" s="2" t="s">
        <v>147</v>
      </c>
      <c r="C380" s="2" t="s">
        <v>268</v>
      </c>
      <c r="D380" s="2" t="s">
        <v>425</v>
      </c>
      <c r="E380" s="3" t="s">
        <v>426</v>
      </c>
      <c r="F380" s="2" t="s">
        <v>47</v>
      </c>
      <c r="G380" s="2">
        <v>2026</v>
      </c>
      <c r="H380" s="2">
        <v>76.42</v>
      </c>
      <c r="I380" s="2"/>
      <c r="J380" s="2"/>
    </row>
    <row r="381" spans="1:10" ht="14.25" customHeight="1" x14ac:dyDescent="0.35">
      <c r="A381" s="2" t="s">
        <v>424</v>
      </c>
      <c r="B381" s="2" t="s">
        <v>147</v>
      </c>
      <c r="C381" s="2" t="s">
        <v>268</v>
      </c>
      <c r="D381" s="2" t="s">
        <v>425</v>
      </c>
      <c r="E381" s="3" t="s">
        <v>426</v>
      </c>
      <c r="F381" s="2" t="s">
        <v>47</v>
      </c>
      <c r="G381" s="2">
        <v>2027</v>
      </c>
      <c r="H381" s="2">
        <v>78</v>
      </c>
      <c r="I381" s="2"/>
      <c r="J381" s="2"/>
    </row>
    <row r="382" spans="1:10" ht="14.25" customHeight="1" x14ac:dyDescent="0.35">
      <c r="A382" s="2" t="s">
        <v>424</v>
      </c>
      <c r="B382" s="2" t="s">
        <v>147</v>
      </c>
      <c r="C382" s="2" t="s">
        <v>268</v>
      </c>
      <c r="D382" s="2" t="s">
        <v>425</v>
      </c>
      <c r="E382" s="3" t="s">
        <v>426</v>
      </c>
      <c r="F382" s="2" t="s">
        <v>47</v>
      </c>
      <c r="G382" s="2">
        <v>2028</v>
      </c>
      <c r="H382" s="2">
        <v>79.569999999999993</v>
      </c>
      <c r="I382" s="2"/>
      <c r="J382" s="2"/>
    </row>
    <row r="383" spans="1:10" ht="14.25" customHeight="1" x14ac:dyDescent="0.35">
      <c r="A383" s="2" t="s">
        <v>424</v>
      </c>
      <c r="B383" s="2" t="s">
        <v>147</v>
      </c>
      <c r="C383" s="2" t="s">
        <v>268</v>
      </c>
      <c r="D383" s="2" t="s">
        <v>425</v>
      </c>
      <c r="E383" s="3" t="s">
        <v>426</v>
      </c>
      <c r="F383" s="2" t="s">
        <v>47</v>
      </c>
      <c r="G383" s="2">
        <v>2029</v>
      </c>
      <c r="H383" s="2">
        <v>81.14</v>
      </c>
      <c r="I383" s="2"/>
      <c r="J383" s="2"/>
    </row>
    <row r="384" spans="1:10" ht="14.25" customHeight="1" x14ac:dyDescent="0.35">
      <c r="A384" s="2" t="s">
        <v>424</v>
      </c>
      <c r="B384" s="2" t="s">
        <v>147</v>
      </c>
      <c r="C384" s="2" t="s">
        <v>268</v>
      </c>
      <c r="D384" s="2" t="s">
        <v>425</v>
      </c>
      <c r="E384" s="3" t="s">
        <v>426</v>
      </c>
      <c r="F384" s="2" t="s">
        <v>47</v>
      </c>
      <c r="G384" s="2">
        <v>2045</v>
      </c>
      <c r="H384" s="2">
        <v>100</v>
      </c>
      <c r="I384" s="2"/>
      <c r="J384" s="2"/>
    </row>
    <row r="385" spans="1:10" ht="14.25" customHeight="1" x14ac:dyDescent="0.35">
      <c r="A385" s="2" t="s">
        <v>432</v>
      </c>
      <c r="B385" s="2" t="s">
        <v>147</v>
      </c>
      <c r="C385" s="2" t="s">
        <v>268</v>
      </c>
      <c r="D385" s="2" t="s">
        <v>433</v>
      </c>
      <c r="E385" s="3" t="s">
        <v>434</v>
      </c>
      <c r="F385" s="2" t="s">
        <v>21</v>
      </c>
      <c r="G385" s="2">
        <v>2021</v>
      </c>
      <c r="H385" s="2">
        <v>6.94</v>
      </c>
      <c r="I385" s="2"/>
      <c r="J385" s="2"/>
    </row>
    <row r="386" spans="1:10" ht="14.25" customHeight="1" x14ac:dyDescent="0.35">
      <c r="A386" s="2" t="s">
        <v>432</v>
      </c>
      <c r="B386" s="2" t="s">
        <v>147</v>
      </c>
      <c r="C386" s="2" t="s">
        <v>268</v>
      </c>
      <c r="D386" s="2" t="s">
        <v>433</v>
      </c>
      <c r="E386" s="3" t="s">
        <v>434</v>
      </c>
      <c r="F386" s="2" t="s">
        <v>21</v>
      </c>
      <c r="G386" s="2">
        <v>2022</v>
      </c>
      <c r="H386" s="2">
        <v>8.7200000000000006</v>
      </c>
      <c r="I386" s="2"/>
      <c r="J386" s="2"/>
    </row>
    <row r="387" spans="1:10" ht="14.25" customHeight="1" x14ac:dyDescent="0.35">
      <c r="A387" s="2" t="s">
        <v>432</v>
      </c>
      <c r="B387" s="2" t="s">
        <v>147</v>
      </c>
      <c r="C387" s="2" t="s">
        <v>268</v>
      </c>
      <c r="D387" s="2" t="s">
        <v>433</v>
      </c>
      <c r="E387" s="3" t="s">
        <v>434</v>
      </c>
      <c r="F387" s="2" t="s">
        <v>21</v>
      </c>
      <c r="G387" s="2">
        <v>2023</v>
      </c>
      <c r="H387" s="2">
        <v>12.98</v>
      </c>
      <c r="I387" s="2"/>
      <c r="J387" s="2"/>
    </row>
    <row r="388" spans="1:10" ht="14.25" customHeight="1" x14ac:dyDescent="0.35">
      <c r="A388" s="2" t="s">
        <v>432</v>
      </c>
      <c r="B388" s="2" t="s">
        <v>147</v>
      </c>
      <c r="C388" s="2" t="s">
        <v>268</v>
      </c>
      <c r="D388" s="2" t="s">
        <v>433</v>
      </c>
      <c r="E388" s="3" t="s">
        <v>434</v>
      </c>
      <c r="F388" s="2" t="s">
        <v>21</v>
      </c>
      <c r="G388" s="2">
        <v>2024</v>
      </c>
      <c r="H388" s="2">
        <v>16.11</v>
      </c>
      <c r="I388" s="2"/>
      <c r="J388" s="2"/>
    </row>
    <row r="389" spans="1:10" ht="14.25" customHeight="1" x14ac:dyDescent="0.35">
      <c r="A389" s="2" t="s">
        <v>432</v>
      </c>
      <c r="B389" s="2" t="s">
        <v>147</v>
      </c>
      <c r="C389" s="2" t="s">
        <v>268</v>
      </c>
      <c r="D389" s="2" t="s">
        <v>433</v>
      </c>
      <c r="E389" s="3" t="s">
        <v>434</v>
      </c>
      <c r="F389" s="2" t="s">
        <v>21</v>
      </c>
      <c r="G389" s="2">
        <v>2025</v>
      </c>
      <c r="H389" s="2">
        <v>17.23</v>
      </c>
      <c r="I389" s="2"/>
      <c r="J389" s="2"/>
    </row>
    <row r="390" spans="1:10" ht="14.25" customHeight="1" x14ac:dyDescent="0.35">
      <c r="A390" s="2" t="s">
        <v>432</v>
      </c>
      <c r="B390" s="2" t="s">
        <v>147</v>
      </c>
      <c r="C390" s="2" t="s">
        <v>268</v>
      </c>
      <c r="D390" s="2" t="s">
        <v>433</v>
      </c>
      <c r="E390" s="3" t="s">
        <v>434</v>
      </c>
      <c r="F390" s="2" t="s">
        <v>47</v>
      </c>
      <c r="G390" s="2">
        <v>2025</v>
      </c>
      <c r="H390" s="2">
        <v>17.23</v>
      </c>
      <c r="I390" s="2"/>
      <c r="J390" s="2"/>
    </row>
    <row r="391" spans="1:10" ht="14.25" customHeight="1" x14ac:dyDescent="0.35">
      <c r="A391" s="2" t="s">
        <v>432</v>
      </c>
      <c r="B391" s="2" t="s">
        <v>147</v>
      </c>
      <c r="C391" s="2" t="s">
        <v>268</v>
      </c>
      <c r="D391" s="2" t="s">
        <v>433</v>
      </c>
      <c r="E391" s="3" t="s">
        <v>434</v>
      </c>
      <c r="F391" s="2" t="s">
        <v>47</v>
      </c>
      <c r="G391" s="2">
        <v>2026</v>
      </c>
      <c r="H391" s="2">
        <v>18.12</v>
      </c>
      <c r="I391" s="2"/>
      <c r="J391" s="2"/>
    </row>
    <row r="392" spans="1:10" ht="14.25" customHeight="1" x14ac:dyDescent="0.35">
      <c r="A392" s="2" t="s">
        <v>432</v>
      </c>
      <c r="B392" s="2" t="s">
        <v>147</v>
      </c>
      <c r="C392" s="2" t="s">
        <v>268</v>
      </c>
      <c r="D392" s="2" t="s">
        <v>433</v>
      </c>
      <c r="E392" s="3" t="s">
        <v>434</v>
      </c>
      <c r="F392" s="2" t="s">
        <v>47</v>
      </c>
      <c r="G392" s="2">
        <v>2027</v>
      </c>
      <c r="H392" s="2">
        <v>19.02</v>
      </c>
      <c r="I392" s="2"/>
      <c r="J392" s="2"/>
    </row>
    <row r="393" spans="1:10" ht="14.25" customHeight="1" x14ac:dyDescent="0.35">
      <c r="A393" s="2" t="s">
        <v>432</v>
      </c>
      <c r="B393" s="2" t="s">
        <v>147</v>
      </c>
      <c r="C393" s="2" t="s">
        <v>268</v>
      </c>
      <c r="D393" s="2" t="s">
        <v>433</v>
      </c>
      <c r="E393" s="3" t="s">
        <v>434</v>
      </c>
      <c r="F393" s="2" t="s">
        <v>47</v>
      </c>
      <c r="G393" s="2">
        <v>2028</v>
      </c>
      <c r="H393" s="2">
        <v>19.690000000000001</v>
      </c>
      <c r="I393" s="2"/>
      <c r="J393" s="2"/>
    </row>
    <row r="394" spans="1:10" ht="14.25" customHeight="1" x14ac:dyDescent="0.35">
      <c r="A394" s="2" t="s">
        <v>432</v>
      </c>
      <c r="B394" s="2" t="s">
        <v>147</v>
      </c>
      <c r="C394" s="2" t="s">
        <v>268</v>
      </c>
      <c r="D394" s="2" t="s">
        <v>433</v>
      </c>
      <c r="E394" s="3" t="s">
        <v>434</v>
      </c>
      <c r="F394" s="2" t="s">
        <v>47</v>
      </c>
      <c r="G394" s="2">
        <v>2029</v>
      </c>
      <c r="H394" s="2">
        <v>20.36</v>
      </c>
      <c r="I394" s="2"/>
      <c r="J394" s="2"/>
    </row>
    <row r="395" spans="1:10" ht="14.25" customHeight="1" x14ac:dyDescent="0.35">
      <c r="A395" s="2" t="s">
        <v>432</v>
      </c>
      <c r="B395" s="2" t="s">
        <v>147</v>
      </c>
      <c r="C395" s="2" t="s">
        <v>268</v>
      </c>
      <c r="D395" s="2" t="s">
        <v>433</v>
      </c>
      <c r="E395" s="3" t="s">
        <v>434</v>
      </c>
      <c r="F395" s="2" t="s">
        <v>47</v>
      </c>
      <c r="G395" s="2">
        <v>2045</v>
      </c>
      <c r="H395" s="2">
        <v>9.4</v>
      </c>
      <c r="I395" s="2"/>
      <c r="J395" s="2"/>
    </row>
    <row r="396" spans="1:10" ht="14.25" customHeight="1" x14ac:dyDescent="0.35">
      <c r="A396" s="2" t="s">
        <v>441</v>
      </c>
      <c r="B396" s="2" t="s">
        <v>147</v>
      </c>
      <c r="C396" s="2" t="s">
        <v>442</v>
      </c>
      <c r="D396" s="2" t="s">
        <v>444</v>
      </c>
      <c r="E396" s="3" t="s">
        <v>445</v>
      </c>
      <c r="F396" s="2" t="s">
        <v>47</v>
      </c>
      <c r="G396" s="2">
        <v>2025</v>
      </c>
      <c r="H396" s="2">
        <v>97</v>
      </c>
      <c r="I396" s="2"/>
      <c r="J396" s="2"/>
    </row>
    <row r="397" spans="1:10" ht="14.25" customHeight="1" x14ac:dyDescent="0.35">
      <c r="A397" s="2" t="s">
        <v>441</v>
      </c>
      <c r="B397" s="2" t="s">
        <v>147</v>
      </c>
      <c r="C397" s="2" t="s">
        <v>442</v>
      </c>
      <c r="D397" s="2" t="s">
        <v>444</v>
      </c>
      <c r="E397" s="3" t="s">
        <v>445</v>
      </c>
      <c r="F397" s="2" t="s">
        <v>47</v>
      </c>
      <c r="G397" s="2">
        <v>2026</v>
      </c>
      <c r="H397" s="2">
        <v>97.4</v>
      </c>
      <c r="I397" s="2"/>
      <c r="J397" s="2"/>
    </row>
    <row r="398" spans="1:10" ht="14.25" customHeight="1" x14ac:dyDescent="0.35">
      <c r="A398" s="2" t="s">
        <v>441</v>
      </c>
      <c r="B398" s="2" t="s">
        <v>147</v>
      </c>
      <c r="C398" s="2" t="s">
        <v>442</v>
      </c>
      <c r="D398" s="2" t="s">
        <v>444</v>
      </c>
      <c r="E398" s="3" t="s">
        <v>445</v>
      </c>
      <c r="F398" s="2" t="s">
        <v>47</v>
      </c>
      <c r="G398" s="2">
        <v>2027</v>
      </c>
      <c r="H398" s="2">
        <v>98.4</v>
      </c>
      <c r="I398" s="2"/>
      <c r="J398" s="2"/>
    </row>
    <row r="399" spans="1:10" ht="14.25" customHeight="1" x14ac:dyDescent="0.35">
      <c r="A399" s="2" t="s">
        <v>441</v>
      </c>
      <c r="B399" s="2" t="s">
        <v>147</v>
      </c>
      <c r="C399" s="2" t="s">
        <v>442</v>
      </c>
      <c r="D399" s="2" t="s">
        <v>444</v>
      </c>
      <c r="E399" s="3" t="s">
        <v>445</v>
      </c>
      <c r="F399" s="2" t="s">
        <v>47</v>
      </c>
      <c r="G399" s="2">
        <v>2028</v>
      </c>
      <c r="H399" s="2">
        <v>98.7</v>
      </c>
      <c r="I399" s="2"/>
      <c r="J399" s="2"/>
    </row>
    <row r="400" spans="1:10" ht="14.25" customHeight="1" x14ac:dyDescent="0.35">
      <c r="A400" s="2" t="s">
        <v>441</v>
      </c>
      <c r="B400" s="2" t="s">
        <v>147</v>
      </c>
      <c r="C400" s="2" t="s">
        <v>442</v>
      </c>
      <c r="D400" s="2" t="s">
        <v>444</v>
      </c>
      <c r="E400" s="3" t="s">
        <v>445</v>
      </c>
      <c r="F400" s="2" t="s">
        <v>47</v>
      </c>
      <c r="G400" s="2">
        <v>2029</v>
      </c>
      <c r="H400" s="2">
        <v>99</v>
      </c>
      <c r="I400" s="2"/>
      <c r="J400" s="2"/>
    </row>
    <row r="401" spans="1:10" ht="14.25" customHeight="1" x14ac:dyDescent="0.35">
      <c r="A401" s="2" t="s">
        <v>441</v>
      </c>
      <c r="B401" s="2" t="s">
        <v>147</v>
      </c>
      <c r="C401" s="2" t="s">
        <v>442</v>
      </c>
      <c r="D401" s="2" t="s">
        <v>444</v>
      </c>
      <c r="E401" s="3" t="s">
        <v>445</v>
      </c>
      <c r="F401" s="2" t="s">
        <v>47</v>
      </c>
      <c r="G401" s="2">
        <v>2045</v>
      </c>
      <c r="H401" s="2">
        <v>100</v>
      </c>
      <c r="I401" s="2"/>
      <c r="J401" s="2"/>
    </row>
    <row r="402" spans="1:10" ht="14.25" customHeight="1" x14ac:dyDescent="0.35">
      <c r="A402" s="2" t="s">
        <v>451</v>
      </c>
      <c r="B402" s="2" t="s">
        <v>147</v>
      </c>
      <c r="C402" s="2" t="s">
        <v>442</v>
      </c>
      <c r="D402" s="2" t="s">
        <v>452</v>
      </c>
      <c r="E402" s="3" t="s">
        <v>453</v>
      </c>
      <c r="F402" s="2" t="s">
        <v>21</v>
      </c>
      <c r="G402" s="2">
        <v>2021</v>
      </c>
      <c r="H402" s="2">
        <v>2.38</v>
      </c>
      <c r="I402" s="2"/>
      <c r="J402" s="2"/>
    </row>
    <row r="403" spans="1:10" ht="14.25" customHeight="1" x14ac:dyDescent="0.35">
      <c r="A403" s="2" t="s">
        <v>451</v>
      </c>
      <c r="B403" s="2" t="s">
        <v>147</v>
      </c>
      <c r="C403" s="2" t="s">
        <v>442</v>
      </c>
      <c r="D403" s="2" t="s">
        <v>452</v>
      </c>
      <c r="E403" s="3" t="s">
        <v>453</v>
      </c>
      <c r="F403" s="2" t="s">
        <v>21</v>
      </c>
      <c r="G403" s="2">
        <v>2022</v>
      </c>
      <c r="H403" s="2">
        <v>1.98</v>
      </c>
      <c r="I403" s="2"/>
      <c r="J403" s="2"/>
    </row>
    <row r="404" spans="1:10" ht="14.25" customHeight="1" x14ac:dyDescent="0.35">
      <c r="A404" s="2" t="s">
        <v>451</v>
      </c>
      <c r="B404" s="2" t="s">
        <v>147</v>
      </c>
      <c r="C404" s="2" t="s">
        <v>442</v>
      </c>
      <c r="D404" s="2" t="s">
        <v>452</v>
      </c>
      <c r="E404" s="3" t="s">
        <v>453</v>
      </c>
      <c r="F404" s="2" t="s">
        <v>21</v>
      </c>
      <c r="G404" s="2">
        <v>2023</v>
      </c>
      <c r="H404" s="2">
        <v>2.83</v>
      </c>
      <c r="I404" s="2"/>
      <c r="J404" s="2"/>
    </row>
    <row r="405" spans="1:10" ht="14.25" customHeight="1" x14ac:dyDescent="0.35">
      <c r="A405" s="2" t="s">
        <v>451</v>
      </c>
      <c r="B405" s="2" t="s">
        <v>147</v>
      </c>
      <c r="C405" s="2" t="s">
        <v>442</v>
      </c>
      <c r="D405" s="2" t="s">
        <v>452</v>
      </c>
      <c r="E405" s="3" t="s">
        <v>453</v>
      </c>
      <c r="F405" s="2" t="s">
        <v>21</v>
      </c>
      <c r="G405" s="2">
        <v>2024</v>
      </c>
      <c r="H405" s="2">
        <v>3.79</v>
      </c>
      <c r="I405" s="2"/>
      <c r="J405" s="2"/>
    </row>
    <row r="406" spans="1:10" ht="14.25" customHeight="1" x14ac:dyDescent="0.35">
      <c r="A406" s="2" t="s">
        <v>451</v>
      </c>
      <c r="B406" s="2" t="s">
        <v>147</v>
      </c>
      <c r="C406" s="2" t="s">
        <v>442</v>
      </c>
      <c r="D406" s="2" t="s">
        <v>452</v>
      </c>
      <c r="E406" s="3" t="s">
        <v>453</v>
      </c>
      <c r="F406" s="2" t="s">
        <v>47</v>
      </c>
      <c r="G406" s="2">
        <v>2025</v>
      </c>
      <c r="H406" s="2">
        <v>3.79</v>
      </c>
      <c r="I406" s="2"/>
      <c r="J406" s="2"/>
    </row>
    <row r="407" spans="1:10" ht="14.25" customHeight="1" x14ac:dyDescent="0.35">
      <c r="A407" s="2" t="s">
        <v>451</v>
      </c>
      <c r="B407" s="2" t="s">
        <v>147</v>
      </c>
      <c r="C407" s="2" t="s">
        <v>442</v>
      </c>
      <c r="D407" s="2" t="s">
        <v>452</v>
      </c>
      <c r="E407" s="3" t="s">
        <v>453</v>
      </c>
      <c r="F407" s="2" t="s">
        <v>47</v>
      </c>
      <c r="G407" s="2">
        <v>2026</v>
      </c>
      <c r="H407" s="2">
        <v>3.8</v>
      </c>
      <c r="I407" s="2"/>
      <c r="J407" s="2"/>
    </row>
    <row r="408" spans="1:10" ht="14.25" customHeight="1" x14ac:dyDescent="0.35">
      <c r="A408" s="2" t="s">
        <v>451</v>
      </c>
      <c r="B408" s="2" t="s">
        <v>147</v>
      </c>
      <c r="C408" s="2" t="s">
        <v>442</v>
      </c>
      <c r="D408" s="2" t="s">
        <v>452</v>
      </c>
      <c r="E408" s="3" t="s">
        <v>453</v>
      </c>
      <c r="F408" s="2" t="s">
        <v>47</v>
      </c>
      <c r="G408" s="2">
        <v>2027</v>
      </c>
      <c r="H408" s="2">
        <v>3.84</v>
      </c>
      <c r="I408" s="2"/>
      <c r="J408" s="2"/>
    </row>
    <row r="409" spans="1:10" ht="14.25" customHeight="1" x14ac:dyDescent="0.35">
      <c r="A409" s="2" t="s">
        <v>451</v>
      </c>
      <c r="B409" s="2" t="s">
        <v>147</v>
      </c>
      <c r="C409" s="2" t="s">
        <v>442</v>
      </c>
      <c r="D409" s="2" t="s">
        <v>452</v>
      </c>
      <c r="E409" s="3" t="s">
        <v>453</v>
      </c>
      <c r="F409" s="2" t="s">
        <v>47</v>
      </c>
      <c r="G409" s="2">
        <v>2028</v>
      </c>
      <c r="H409" s="2">
        <v>3.9</v>
      </c>
      <c r="I409" s="2"/>
      <c r="J409" s="2"/>
    </row>
    <row r="410" spans="1:10" ht="14.25" customHeight="1" x14ac:dyDescent="0.35">
      <c r="A410" s="2" t="s">
        <v>451</v>
      </c>
      <c r="B410" s="2" t="s">
        <v>147</v>
      </c>
      <c r="C410" s="2" t="s">
        <v>442</v>
      </c>
      <c r="D410" s="2" t="s">
        <v>452</v>
      </c>
      <c r="E410" s="3" t="s">
        <v>453</v>
      </c>
      <c r="F410" s="2" t="s">
        <v>47</v>
      </c>
      <c r="G410" s="2">
        <v>2029</v>
      </c>
      <c r="H410" s="2">
        <v>3.96</v>
      </c>
      <c r="I410" s="2"/>
      <c r="J410" s="2"/>
    </row>
    <row r="411" spans="1:10" ht="14.25" customHeight="1" x14ac:dyDescent="0.35">
      <c r="A411" s="2" t="s">
        <v>451</v>
      </c>
      <c r="B411" s="2" t="s">
        <v>147</v>
      </c>
      <c r="C411" s="2" t="s">
        <v>442</v>
      </c>
      <c r="D411" s="2" t="s">
        <v>452</v>
      </c>
      <c r="E411" s="3" t="s">
        <v>453</v>
      </c>
      <c r="F411" s="2" t="s">
        <v>47</v>
      </c>
      <c r="G411" s="2">
        <v>2045</v>
      </c>
      <c r="H411" s="2">
        <v>5</v>
      </c>
      <c r="I411" s="2"/>
      <c r="J411" s="2"/>
    </row>
    <row r="412" spans="1:10" ht="14.25" customHeight="1" x14ac:dyDescent="0.35">
      <c r="A412" s="2" t="s">
        <v>459</v>
      </c>
      <c r="B412" s="2" t="s">
        <v>147</v>
      </c>
      <c r="C412" s="2" t="s">
        <v>442</v>
      </c>
      <c r="D412" s="2" t="s">
        <v>460</v>
      </c>
      <c r="E412" s="3" t="s">
        <v>461</v>
      </c>
      <c r="F412" s="2" t="s">
        <v>21</v>
      </c>
      <c r="G412" s="2">
        <v>2021</v>
      </c>
      <c r="H412" s="2">
        <v>3.44</v>
      </c>
      <c r="I412" s="2"/>
      <c r="J412" s="2"/>
    </row>
    <row r="413" spans="1:10" ht="14.25" customHeight="1" x14ac:dyDescent="0.35">
      <c r="A413" s="2" t="s">
        <v>459</v>
      </c>
      <c r="B413" s="2" t="s">
        <v>147</v>
      </c>
      <c r="C413" s="2" t="s">
        <v>442</v>
      </c>
      <c r="D413" s="2" t="s">
        <v>460</v>
      </c>
      <c r="E413" s="3" t="s">
        <v>461</v>
      </c>
      <c r="F413" s="2" t="s">
        <v>21</v>
      </c>
      <c r="G413" s="2">
        <v>2022</v>
      </c>
      <c r="H413" s="2">
        <v>4.0599999999999996</v>
      </c>
      <c r="I413" s="2"/>
      <c r="J413" s="2"/>
    </row>
    <row r="414" spans="1:10" ht="14.25" customHeight="1" x14ac:dyDescent="0.35">
      <c r="A414" s="2" t="s">
        <v>459</v>
      </c>
      <c r="B414" s="2" t="s">
        <v>147</v>
      </c>
      <c r="C414" s="2" t="s">
        <v>442</v>
      </c>
      <c r="D414" s="2" t="s">
        <v>460</v>
      </c>
      <c r="E414" s="3" t="s">
        <v>461</v>
      </c>
      <c r="F414" s="2" t="s">
        <v>21</v>
      </c>
      <c r="G414" s="2">
        <v>2023</v>
      </c>
      <c r="H414" s="2">
        <v>3.41</v>
      </c>
      <c r="I414" s="2"/>
      <c r="J414" s="2"/>
    </row>
    <row r="415" spans="1:10" ht="14.25" customHeight="1" x14ac:dyDescent="0.35">
      <c r="A415" s="2" t="s">
        <v>459</v>
      </c>
      <c r="B415" s="2" t="s">
        <v>147</v>
      </c>
      <c r="C415" s="2" t="s">
        <v>442</v>
      </c>
      <c r="D415" s="2" t="s">
        <v>460</v>
      </c>
      <c r="E415" s="3" t="s">
        <v>461</v>
      </c>
      <c r="F415" s="2" t="s">
        <v>21</v>
      </c>
      <c r="G415" s="2">
        <v>2024</v>
      </c>
      <c r="H415" s="2">
        <v>4.22</v>
      </c>
      <c r="I415" s="2"/>
      <c r="J415" s="2"/>
    </row>
    <row r="416" spans="1:10" ht="14.25" customHeight="1" x14ac:dyDescent="0.35">
      <c r="A416" s="2" t="s">
        <v>459</v>
      </c>
      <c r="B416" s="2" t="s">
        <v>147</v>
      </c>
      <c r="C416" s="2" t="s">
        <v>442</v>
      </c>
      <c r="D416" s="2" t="s">
        <v>460</v>
      </c>
      <c r="E416" s="3" t="s">
        <v>461</v>
      </c>
      <c r="F416" s="2" t="s">
        <v>21</v>
      </c>
      <c r="G416" s="2">
        <v>2025</v>
      </c>
      <c r="H416" s="2">
        <v>3.86</v>
      </c>
      <c r="I416" s="2"/>
      <c r="J416" s="2"/>
    </row>
    <row r="417" spans="1:10" ht="14.25" customHeight="1" x14ac:dyDescent="0.35">
      <c r="A417" s="2" t="s">
        <v>459</v>
      </c>
      <c r="B417" s="2" t="s">
        <v>147</v>
      </c>
      <c r="C417" s="2" t="s">
        <v>442</v>
      </c>
      <c r="D417" s="2" t="s">
        <v>460</v>
      </c>
      <c r="E417" s="3" t="s">
        <v>461</v>
      </c>
      <c r="F417" s="2" t="s">
        <v>47</v>
      </c>
      <c r="G417" s="2">
        <v>2025</v>
      </c>
      <c r="H417" s="2">
        <v>4.25</v>
      </c>
      <c r="I417" s="2"/>
      <c r="J417" s="2"/>
    </row>
    <row r="418" spans="1:10" ht="14.25" customHeight="1" x14ac:dyDescent="0.35">
      <c r="A418" s="2" t="s">
        <v>459</v>
      </c>
      <c r="B418" s="2" t="s">
        <v>147</v>
      </c>
      <c r="C418" s="2" t="s">
        <v>442</v>
      </c>
      <c r="D418" s="2" t="s">
        <v>460</v>
      </c>
      <c r="E418" s="3" t="s">
        <v>461</v>
      </c>
      <c r="F418" s="2" t="s">
        <v>47</v>
      </c>
      <c r="G418" s="2">
        <v>2026</v>
      </c>
      <c r="H418" s="2">
        <v>4.3</v>
      </c>
      <c r="I418" s="2"/>
      <c r="J418" s="2"/>
    </row>
    <row r="419" spans="1:10" ht="14.25" customHeight="1" x14ac:dyDescent="0.35">
      <c r="A419" s="2" t="s">
        <v>459</v>
      </c>
      <c r="B419" s="2" t="s">
        <v>147</v>
      </c>
      <c r="C419" s="2" t="s">
        <v>442</v>
      </c>
      <c r="D419" s="2" t="s">
        <v>460</v>
      </c>
      <c r="E419" s="3" t="s">
        <v>461</v>
      </c>
      <c r="F419" s="2" t="s">
        <v>47</v>
      </c>
      <c r="G419" s="2">
        <v>2027</v>
      </c>
      <c r="H419" s="2">
        <v>4.32</v>
      </c>
      <c r="I419" s="2"/>
      <c r="J419" s="2"/>
    </row>
    <row r="420" spans="1:10" ht="14.25" customHeight="1" x14ac:dyDescent="0.35">
      <c r="A420" s="2" t="s">
        <v>459</v>
      </c>
      <c r="B420" s="2" t="s">
        <v>147</v>
      </c>
      <c r="C420" s="2" t="s">
        <v>442</v>
      </c>
      <c r="D420" s="2" t="s">
        <v>460</v>
      </c>
      <c r="E420" s="3" t="s">
        <v>461</v>
      </c>
      <c r="F420" s="2" t="s">
        <v>47</v>
      </c>
      <c r="G420" s="2">
        <v>2028</v>
      </c>
      <c r="H420" s="2">
        <v>4.3600000000000003</v>
      </c>
      <c r="I420" s="2"/>
      <c r="J420" s="2"/>
    </row>
    <row r="421" spans="1:10" ht="14.25" customHeight="1" x14ac:dyDescent="0.35">
      <c r="A421" s="2" t="s">
        <v>459</v>
      </c>
      <c r="B421" s="2" t="s">
        <v>147</v>
      </c>
      <c r="C421" s="2" t="s">
        <v>442</v>
      </c>
      <c r="D421" s="2" t="s">
        <v>460</v>
      </c>
      <c r="E421" s="3" t="s">
        <v>461</v>
      </c>
      <c r="F421" s="2" t="s">
        <v>47</v>
      </c>
      <c r="G421" s="2">
        <v>2029</v>
      </c>
      <c r="H421" s="2">
        <v>3.57</v>
      </c>
      <c r="I421" s="2"/>
      <c r="J421" s="2"/>
    </row>
    <row r="422" spans="1:10" ht="14.25" customHeight="1" x14ac:dyDescent="0.35">
      <c r="A422" s="2" t="s">
        <v>459</v>
      </c>
      <c r="B422" s="2" t="s">
        <v>147</v>
      </c>
      <c r="C422" s="2" t="s">
        <v>442</v>
      </c>
      <c r="D422" s="2" t="s">
        <v>460</v>
      </c>
      <c r="E422" s="3" t="s">
        <v>461</v>
      </c>
      <c r="F422" s="2" t="s">
        <v>47</v>
      </c>
      <c r="G422" s="2">
        <v>2045</v>
      </c>
      <c r="H422" s="2">
        <v>5</v>
      </c>
      <c r="I422" s="2"/>
      <c r="J422" s="2"/>
    </row>
    <row r="423" spans="1:10" ht="14.25" customHeight="1" x14ac:dyDescent="0.35">
      <c r="A423" s="2" t="s">
        <v>466</v>
      </c>
      <c r="B423" s="2" t="s">
        <v>147</v>
      </c>
      <c r="C423" s="2" t="s">
        <v>442</v>
      </c>
      <c r="D423" s="2" t="s">
        <v>467</v>
      </c>
      <c r="E423" s="3" t="s">
        <v>468</v>
      </c>
      <c r="F423" s="2" t="s">
        <v>47</v>
      </c>
      <c r="G423" s="2">
        <v>2025</v>
      </c>
      <c r="H423" s="2">
        <v>75.22</v>
      </c>
      <c r="I423" s="2"/>
      <c r="J423" s="2"/>
    </row>
    <row r="424" spans="1:10" ht="14.25" customHeight="1" x14ac:dyDescent="0.35">
      <c r="A424" s="2" t="s">
        <v>466</v>
      </c>
      <c r="B424" s="2" t="s">
        <v>147</v>
      </c>
      <c r="C424" s="2" t="s">
        <v>442</v>
      </c>
      <c r="D424" s="2" t="s">
        <v>467</v>
      </c>
      <c r="E424" s="3" t="s">
        <v>468</v>
      </c>
      <c r="F424" s="2" t="s">
        <v>47</v>
      </c>
      <c r="G424" s="2">
        <v>2026</v>
      </c>
      <c r="H424" s="2">
        <v>75.989999999999995</v>
      </c>
      <c r="I424" s="2"/>
      <c r="J424" s="2"/>
    </row>
    <row r="425" spans="1:10" ht="14.25" customHeight="1" x14ac:dyDescent="0.35">
      <c r="A425" s="2" t="s">
        <v>466</v>
      </c>
      <c r="B425" s="2" t="s">
        <v>147</v>
      </c>
      <c r="C425" s="2" t="s">
        <v>442</v>
      </c>
      <c r="D425" s="2" t="s">
        <v>467</v>
      </c>
      <c r="E425" s="3" t="s">
        <v>468</v>
      </c>
      <c r="F425" s="2" t="s">
        <v>47</v>
      </c>
      <c r="G425" s="2">
        <v>2027</v>
      </c>
      <c r="H425" s="2">
        <v>76.760000000000005</v>
      </c>
      <c r="I425" s="2"/>
      <c r="J425" s="2"/>
    </row>
    <row r="426" spans="1:10" ht="14.25" customHeight="1" x14ac:dyDescent="0.35">
      <c r="A426" s="2" t="s">
        <v>466</v>
      </c>
      <c r="B426" s="2" t="s">
        <v>147</v>
      </c>
      <c r="C426" s="2" t="s">
        <v>442</v>
      </c>
      <c r="D426" s="2" t="s">
        <v>467</v>
      </c>
      <c r="E426" s="3" t="s">
        <v>468</v>
      </c>
      <c r="F426" s="2" t="s">
        <v>47</v>
      </c>
      <c r="G426" s="2">
        <v>2028</v>
      </c>
      <c r="H426" s="2">
        <v>77.53</v>
      </c>
      <c r="I426" s="2"/>
      <c r="J426" s="2"/>
    </row>
    <row r="427" spans="1:10" ht="14.25" customHeight="1" x14ac:dyDescent="0.35">
      <c r="A427" s="2" t="s">
        <v>466</v>
      </c>
      <c r="B427" s="2" t="s">
        <v>147</v>
      </c>
      <c r="C427" s="2" t="s">
        <v>442</v>
      </c>
      <c r="D427" s="2" t="s">
        <v>467</v>
      </c>
      <c r="E427" s="3" t="s">
        <v>468</v>
      </c>
      <c r="F427" s="2" t="s">
        <v>47</v>
      </c>
      <c r="G427" s="2">
        <v>2029</v>
      </c>
      <c r="H427" s="2">
        <v>78.3</v>
      </c>
      <c r="I427" s="2"/>
      <c r="J427" s="2"/>
    </row>
    <row r="428" spans="1:10" ht="14.25" customHeight="1" x14ac:dyDescent="0.35">
      <c r="A428" s="2" t="s">
        <v>466</v>
      </c>
      <c r="B428" s="2" t="s">
        <v>147</v>
      </c>
      <c r="C428" s="2" t="s">
        <v>442</v>
      </c>
      <c r="D428" s="2" t="s">
        <v>467</v>
      </c>
      <c r="E428" s="3" t="s">
        <v>468</v>
      </c>
      <c r="F428" s="2" t="s">
        <v>47</v>
      </c>
      <c r="G428" s="2">
        <v>2045</v>
      </c>
      <c r="H428" s="2">
        <v>90.61</v>
      </c>
      <c r="I428" s="2"/>
      <c r="J428" s="2"/>
    </row>
    <row r="429" spans="1:10" ht="14.25" customHeight="1" x14ac:dyDescent="0.35">
      <c r="A429" s="2" t="s">
        <v>473</v>
      </c>
      <c r="B429" s="2" t="s">
        <v>147</v>
      </c>
      <c r="C429" s="2" t="s">
        <v>474</v>
      </c>
      <c r="D429" s="2" t="s">
        <v>476</v>
      </c>
      <c r="E429" s="3" t="s">
        <v>477</v>
      </c>
      <c r="F429" s="2" t="s">
        <v>47</v>
      </c>
      <c r="G429" s="2">
        <v>2025</v>
      </c>
      <c r="H429" s="2">
        <v>95</v>
      </c>
      <c r="I429" s="2"/>
      <c r="J429" s="2"/>
    </row>
    <row r="430" spans="1:10" ht="14.25" customHeight="1" x14ac:dyDescent="0.35">
      <c r="A430" s="2" t="s">
        <v>473</v>
      </c>
      <c r="B430" s="2" t="s">
        <v>147</v>
      </c>
      <c r="C430" s="2" t="s">
        <v>474</v>
      </c>
      <c r="D430" s="2" t="s">
        <v>476</v>
      </c>
      <c r="E430" s="3" t="s">
        <v>477</v>
      </c>
      <c r="F430" s="2" t="s">
        <v>47</v>
      </c>
      <c r="G430" s="2">
        <v>2026</v>
      </c>
      <c r="H430" s="2">
        <v>96</v>
      </c>
      <c r="I430" s="2"/>
      <c r="J430" s="2"/>
    </row>
    <row r="431" spans="1:10" ht="14.25" customHeight="1" x14ac:dyDescent="0.35">
      <c r="A431" s="2" t="s">
        <v>473</v>
      </c>
      <c r="B431" s="2" t="s">
        <v>147</v>
      </c>
      <c r="C431" s="2" t="s">
        <v>474</v>
      </c>
      <c r="D431" s="2" t="s">
        <v>476</v>
      </c>
      <c r="E431" s="3" t="s">
        <v>477</v>
      </c>
      <c r="F431" s="2" t="s">
        <v>47</v>
      </c>
      <c r="G431" s="2">
        <v>2027</v>
      </c>
      <c r="H431" s="2">
        <v>97</v>
      </c>
      <c r="I431" s="2"/>
      <c r="J431" s="2"/>
    </row>
    <row r="432" spans="1:10" ht="14.25" customHeight="1" x14ac:dyDescent="0.35">
      <c r="A432" s="2" t="s">
        <v>473</v>
      </c>
      <c r="B432" s="2" t="s">
        <v>147</v>
      </c>
      <c r="C432" s="2" t="s">
        <v>474</v>
      </c>
      <c r="D432" s="2" t="s">
        <v>476</v>
      </c>
      <c r="E432" s="3" t="s">
        <v>477</v>
      </c>
      <c r="F432" s="2" t="s">
        <v>47</v>
      </c>
      <c r="G432" s="2">
        <v>2028</v>
      </c>
      <c r="H432" s="2">
        <v>98</v>
      </c>
      <c r="I432" s="2"/>
      <c r="J432" s="2"/>
    </row>
    <row r="433" spans="1:10" ht="14.25" customHeight="1" x14ac:dyDescent="0.35">
      <c r="A433" s="2" t="s">
        <v>473</v>
      </c>
      <c r="B433" s="2" t="s">
        <v>147</v>
      </c>
      <c r="C433" s="2" t="s">
        <v>474</v>
      </c>
      <c r="D433" s="2" t="s">
        <v>476</v>
      </c>
      <c r="E433" s="3" t="s">
        <v>477</v>
      </c>
      <c r="F433" s="2" t="s">
        <v>47</v>
      </c>
      <c r="G433" s="2">
        <v>2029</v>
      </c>
      <c r="H433" s="2">
        <v>99</v>
      </c>
      <c r="I433" s="2"/>
      <c r="J433" s="2"/>
    </row>
    <row r="434" spans="1:10" ht="14.25" customHeight="1" x14ac:dyDescent="0.35">
      <c r="A434" s="2" t="s">
        <v>473</v>
      </c>
      <c r="B434" s="2" t="s">
        <v>147</v>
      </c>
      <c r="C434" s="2" t="s">
        <v>474</v>
      </c>
      <c r="D434" s="2" t="s">
        <v>476</v>
      </c>
      <c r="E434" s="3" t="s">
        <v>477</v>
      </c>
      <c r="F434" s="2" t="s">
        <v>47</v>
      </c>
      <c r="G434" s="2">
        <v>2045</v>
      </c>
      <c r="H434" s="2">
        <v>100</v>
      </c>
      <c r="I434" s="2"/>
      <c r="J434" s="2"/>
    </row>
    <row r="435" spans="1:10" ht="14.25" customHeight="1" x14ac:dyDescent="0.35">
      <c r="A435" s="2" t="s">
        <v>479</v>
      </c>
      <c r="B435" s="2" t="s">
        <v>147</v>
      </c>
      <c r="C435" s="2" t="s">
        <v>474</v>
      </c>
      <c r="D435" s="2" t="s">
        <v>480</v>
      </c>
      <c r="E435" s="3" t="s">
        <v>481</v>
      </c>
      <c r="F435" s="2" t="s">
        <v>47</v>
      </c>
      <c r="G435" s="2">
        <v>2025</v>
      </c>
      <c r="H435" s="2">
        <v>92.5</v>
      </c>
      <c r="I435" s="2"/>
      <c r="J435" s="2"/>
    </row>
    <row r="436" spans="1:10" ht="14.25" customHeight="1" x14ac:dyDescent="0.35">
      <c r="A436" s="2" t="s">
        <v>479</v>
      </c>
      <c r="B436" s="2" t="s">
        <v>147</v>
      </c>
      <c r="C436" s="2" t="s">
        <v>474</v>
      </c>
      <c r="D436" s="2" t="s">
        <v>480</v>
      </c>
      <c r="E436" s="3" t="s">
        <v>481</v>
      </c>
      <c r="F436" s="2" t="s">
        <v>47</v>
      </c>
      <c r="G436" s="2">
        <v>2026</v>
      </c>
      <c r="H436" s="2">
        <v>93</v>
      </c>
      <c r="I436" s="2"/>
      <c r="J436" s="2"/>
    </row>
    <row r="437" spans="1:10" ht="14.25" customHeight="1" x14ac:dyDescent="0.35">
      <c r="A437" s="2" t="s">
        <v>479</v>
      </c>
      <c r="B437" s="2" t="s">
        <v>147</v>
      </c>
      <c r="C437" s="2" t="s">
        <v>474</v>
      </c>
      <c r="D437" s="2" t="s">
        <v>480</v>
      </c>
      <c r="E437" s="3" t="s">
        <v>481</v>
      </c>
      <c r="F437" s="2" t="s">
        <v>47</v>
      </c>
      <c r="G437" s="2">
        <v>2027</v>
      </c>
      <c r="H437" s="2">
        <v>93.5</v>
      </c>
      <c r="I437" s="2"/>
      <c r="J437" s="2"/>
    </row>
    <row r="438" spans="1:10" ht="14.25" customHeight="1" x14ac:dyDescent="0.35">
      <c r="A438" s="2" t="s">
        <v>479</v>
      </c>
      <c r="B438" s="2" t="s">
        <v>147</v>
      </c>
      <c r="C438" s="2" t="s">
        <v>474</v>
      </c>
      <c r="D438" s="2" t="s">
        <v>480</v>
      </c>
      <c r="E438" s="3" t="s">
        <v>481</v>
      </c>
      <c r="F438" s="2" t="s">
        <v>47</v>
      </c>
      <c r="G438" s="2">
        <v>2028</v>
      </c>
      <c r="H438" s="2">
        <v>94</v>
      </c>
      <c r="I438" s="2"/>
      <c r="J438" s="2"/>
    </row>
    <row r="439" spans="1:10" ht="14.25" customHeight="1" x14ac:dyDescent="0.35">
      <c r="A439" s="2" t="s">
        <v>479</v>
      </c>
      <c r="B439" s="2" t="s">
        <v>147</v>
      </c>
      <c r="C439" s="2" t="s">
        <v>474</v>
      </c>
      <c r="D439" s="2" t="s">
        <v>480</v>
      </c>
      <c r="E439" s="3" t="s">
        <v>481</v>
      </c>
      <c r="F439" s="2" t="s">
        <v>47</v>
      </c>
      <c r="G439" s="2">
        <v>2029</v>
      </c>
      <c r="H439" s="2">
        <v>95</v>
      </c>
      <c r="I439" s="2"/>
      <c r="J439" s="2"/>
    </row>
    <row r="440" spans="1:10" ht="14.25" customHeight="1" x14ac:dyDescent="0.35">
      <c r="A440" s="2" t="s">
        <v>479</v>
      </c>
      <c r="B440" s="2" t="s">
        <v>147</v>
      </c>
      <c r="C440" s="2" t="s">
        <v>474</v>
      </c>
      <c r="D440" s="2" t="s">
        <v>480</v>
      </c>
      <c r="E440" s="3" t="s">
        <v>481</v>
      </c>
      <c r="F440" s="2" t="s">
        <v>47</v>
      </c>
      <c r="G440" s="2">
        <v>2045</v>
      </c>
      <c r="H440" s="2">
        <v>90</v>
      </c>
      <c r="I440" s="2"/>
      <c r="J440" s="2"/>
    </row>
    <row r="441" spans="1:10" ht="14.25" customHeight="1" x14ac:dyDescent="0.35">
      <c r="A441" s="2" t="s">
        <v>483</v>
      </c>
      <c r="B441" s="2" t="s">
        <v>147</v>
      </c>
      <c r="C441" s="2" t="s">
        <v>474</v>
      </c>
      <c r="D441" s="2" t="s">
        <v>484</v>
      </c>
      <c r="E441" s="3" t="s">
        <v>485</v>
      </c>
      <c r="F441" s="2" t="s">
        <v>21</v>
      </c>
      <c r="G441" s="2">
        <v>2024</v>
      </c>
      <c r="H441" s="2">
        <v>53.18</v>
      </c>
      <c r="I441" s="2"/>
      <c r="J441" s="2"/>
    </row>
    <row r="442" spans="1:10" ht="14.25" customHeight="1" x14ac:dyDescent="0.35">
      <c r="A442" s="2" t="s">
        <v>483</v>
      </c>
      <c r="B442" s="2" t="s">
        <v>147</v>
      </c>
      <c r="C442" s="2" t="s">
        <v>474</v>
      </c>
      <c r="D442" s="2" t="s">
        <v>484</v>
      </c>
      <c r="E442" s="3" t="s">
        <v>485</v>
      </c>
      <c r="F442" s="2" t="s">
        <v>21</v>
      </c>
      <c r="G442" s="2">
        <v>2025</v>
      </c>
      <c r="H442" s="2">
        <v>87.97</v>
      </c>
      <c r="I442" s="2"/>
      <c r="J442" s="2"/>
    </row>
    <row r="443" spans="1:10" ht="14.25" customHeight="1" x14ac:dyDescent="0.35">
      <c r="A443" s="2" t="s">
        <v>483</v>
      </c>
      <c r="B443" s="2" t="s">
        <v>147</v>
      </c>
      <c r="C443" s="2" t="s">
        <v>474</v>
      </c>
      <c r="D443" s="2" t="s">
        <v>484</v>
      </c>
      <c r="E443" s="3" t="s">
        <v>485</v>
      </c>
      <c r="F443" s="2" t="s">
        <v>47</v>
      </c>
      <c r="G443" s="2">
        <v>2025</v>
      </c>
      <c r="H443" s="2">
        <v>68.5</v>
      </c>
      <c r="I443" s="2"/>
      <c r="J443" s="2"/>
    </row>
    <row r="444" spans="1:10" ht="14.25" customHeight="1" x14ac:dyDescent="0.35">
      <c r="A444" s="2" t="s">
        <v>483</v>
      </c>
      <c r="B444" s="2" t="s">
        <v>147</v>
      </c>
      <c r="C444" s="2" t="s">
        <v>474</v>
      </c>
      <c r="D444" s="2" t="s">
        <v>484</v>
      </c>
      <c r="E444" s="3" t="s">
        <v>485</v>
      </c>
      <c r="F444" s="2" t="s">
        <v>47</v>
      </c>
      <c r="G444" s="2">
        <v>2026</v>
      </c>
      <c r="H444" s="2">
        <v>69.25</v>
      </c>
      <c r="I444" s="2"/>
      <c r="J444" s="2"/>
    </row>
    <row r="445" spans="1:10" ht="14.25" customHeight="1" x14ac:dyDescent="0.35">
      <c r="A445" s="2" t="s">
        <v>483</v>
      </c>
      <c r="B445" s="2" t="s">
        <v>147</v>
      </c>
      <c r="C445" s="2" t="s">
        <v>474</v>
      </c>
      <c r="D445" s="2" t="s">
        <v>484</v>
      </c>
      <c r="E445" s="3" t="s">
        <v>485</v>
      </c>
      <c r="F445" s="2" t="s">
        <v>47</v>
      </c>
      <c r="G445" s="2">
        <v>2027</v>
      </c>
      <c r="H445" s="2">
        <v>70</v>
      </c>
      <c r="I445" s="2"/>
      <c r="J445" s="2"/>
    </row>
    <row r="446" spans="1:10" ht="14.25" customHeight="1" x14ac:dyDescent="0.35">
      <c r="A446" s="2" t="s">
        <v>483</v>
      </c>
      <c r="B446" s="2" t="s">
        <v>147</v>
      </c>
      <c r="C446" s="2" t="s">
        <v>474</v>
      </c>
      <c r="D446" s="2" t="s">
        <v>484</v>
      </c>
      <c r="E446" s="3" t="s">
        <v>485</v>
      </c>
      <c r="F446" s="2" t="s">
        <v>47</v>
      </c>
      <c r="G446" s="2">
        <v>2028</v>
      </c>
      <c r="H446" s="2">
        <v>70.75</v>
      </c>
      <c r="I446" s="2"/>
      <c r="J446" s="2"/>
    </row>
    <row r="447" spans="1:10" ht="14.25" customHeight="1" x14ac:dyDescent="0.35">
      <c r="A447" s="2" t="s">
        <v>483</v>
      </c>
      <c r="B447" s="2" t="s">
        <v>147</v>
      </c>
      <c r="C447" s="2" t="s">
        <v>474</v>
      </c>
      <c r="D447" s="2" t="s">
        <v>484</v>
      </c>
      <c r="E447" s="3" t="s">
        <v>485</v>
      </c>
      <c r="F447" s="2" t="s">
        <v>47</v>
      </c>
      <c r="G447" s="2">
        <v>2029</v>
      </c>
      <c r="H447" s="2">
        <v>71.5</v>
      </c>
      <c r="I447" s="2"/>
      <c r="J447" s="2"/>
    </row>
    <row r="448" spans="1:10" ht="14.25" customHeight="1" x14ac:dyDescent="0.35">
      <c r="A448" s="2" t="s">
        <v>483</v>
      </c>
      <c r="B448" s="2" t="s">
        <v>147</v>
      </c>
      <c r="C448" s="2" t="s">
        <v>474</v>
      </c>
      <c r="D448" s="2" t="s">
        <v>484</v>
      </c>
      <c r="E448" s="3" t="s">
        <v>485</v>
      </c>
      <c r="F448" s="2" t="s">
        <v>47</v>
      </c>
      <c r="G448" s="2">
        <v>2045</v>
      </c>
      <c r="H448" s="2">
        <v>81.099999999999994</v>
      </c>
      <c r="I448" s="2"/>
      <c r="J448" s="2"/>
    </row>
    <row r="449" spans="1:10" ht="14.25" customHeight="1" x14ac:dyDescent="0.35">
      <c r="A449" s="2" t="s">
        <v>492</v>
      </c>
      <c r="B449" s="2" t="s">
        <v>147</v>
      </c>
      <c r="C449" s="2" t="s">
        <v>474</v>
      </c>
      <c r="D449" s="2" t="s">
        <v>493</v>
      </c>
      <c r="E449" s="3" t="s">
        <v>494</v>
      </c>
      <c r="F449" s="2" t="s">
        <v>21</v>
      </c>
      <c r="G449" s="2">
        <v>2021</v>
      </c>
      <c r="H449" s="2">
        <v>79.38</v>
      </c>
      <c r="I449" s="2"/>
      <c r="J449" s="2"/>
    </row>
    <row r="450" spans="1:10" ht="14.25" customHeight="1" x14ac:dyDescent="0.35">
      <c r="A450" s="2" t="s">
        <v>492</v>
      </c>
      <c r="B450" s="2" t="s">
        <v>147</v>
      </c>
      <c r="C450" s="2" t="s">
        <v>474</v>
      </c>
      <c r="D450" s="2" t="s">
        <v>493</v>
      </c>
      <c r="E450" s="3" t="s">
        <v>494</v>
      </c>
      <c r="F450" s="2" t="s">
        <v>21</v>
      </c>
      <c r="G450" s="2">
        <v>2022</v>
      </c>
      <c r="H450" s="2">
        <v>78.790000000000006</v>
      </c>
      <c r="I450" s="2"/>
      <c r="J450" s="2"/>
    </row>
    <row r="451" spans="1:10" ht="14.25" customHeight="1" x14ac:dyDescent="0.35">
      <c r="A451" s="2" t="s">
        <v>492</v>
      </c>
      <c r="B451" s="2" t="s">
        <v>147</v>
      </c>
      <c r="C451" s="2" t="s">
        <v>474</v>
      </c>
      <c r="D451" s="2" t="s">
        <v>493</v>
      </c>
      <c r="E451" s="3" t="s">
        <v>494</v>
      </c>
      <c r="F451" s="2" t="s">
        <v>21</v>
      </c>
      <c r="G451" s="2">
        <v>2023</v>
      </c>
      <c r="H451" s="2">
        <v>80.47</v>
      </c>
      <c r="I451" s="2"/>
      <c r="J451" s="2"/>
    </row>
    <row r="452" spans="1:10" ht="14.25" customHeight="1" x14ac:dyDescent="0.35">
      <c r="A452" s="2" t="s">
        <v>492</v>
      </c>
      <c r="B452" s="2" t="s">
        <v>147</v>
      </c>
      <c r="C452" s="2" t="s">
        <v>474</v>
      </c>
      <c r="D452" s="2" t="s">
        <v>493</v>
      </c>
      <c r="E452" s="3" t="s">
        <v>494</v>
      </c>
      <c r="F452" s="2" t="s">
        <v>21</v>
      </c>
      <c r="G452" s="2">
        <v>2024</v>
      </c>
      <c r="H452" s="2">
        <v>77.349999999999994</v>
      </c>
      <c r="I452" s="2"/>
      <c r="J452" s="2"/>
    </row>
    <row r="453" spans="1:10" ht="14.25" customHeight="1" x14ac:dyDescent="0.35">
      <c r="A453" s="2" t="s">
        <v>492</v>
      </c>
      <c r="B453" s="2" t="s">
        <v>147</v>
      </c>
      <c r="C453" s="2" t="s">
        <v>474</v>
      </c>
      <c r="D453" s="2" t="s">
        <v>493</v>
      </c>
      <c r="E453" s="3" t="s">
        <v>494</v>
      </c>
      <c r="F453" s="2" t="s">
        <v>21</v>
      </c>
      <c r="G453" s="2">
        <v>2025</v>
      </c>
      <c r="H453" s="2">
        <v>81.069999999999993</v>
      </c>
      <c r="I453" s="2"/>
      <c r="J453" s="2"/>
    </row>
    <row r="454" spans="1:10" ht="14.25" customHeight="1" x14ac:dyDescent="0.35">
      <c r="A454" s="2" t="s">
        <v>492</v>
      </c>
      <c r="B454" s="2" t="s">
        <v>147</v>
      </c>
      <c r="C454" s="2" t="s">
        <v>474</v>
      </c>
      <c r="D454" s="2" t="s">
        <v>493</v>
      </c>
      <c r="E454" s="3" t="s">
        <v>494</v>
      </c>
      <c r="F454" s="2" t="s">
        <v>47</v>
      </c>
      <c r="G454" s="2">
        <v>2025</v>
      </c>
      <c r="H454" s="2">
        <v>79.5</v>
      </c>
      <c r="I454" s="2"/>
      <c r="J454" s="2"/>
    </row>
    <row r="455" spans="1:10" ht="14.25" customHeight="1" x14ac:dyDescent="0.35">
      <c r="A455" s="2" t="s">
        <v>492</v>
      </c>
      <c r="B455" s="2" t="s">
        <v>147</v>
      </c>
      <c r="C455" s="2" t="s">
        <v>474</v>
      </c>
      <c r="D455" s="2" t="s">
        <v>493</v>
      </c>
      <c r="E455" s="3" t="s">
        <v>494</v>
      </c>
      <c r="F455" s="2" t="s">
        <v>47</v>
      </c>
      <c r="G455" s="2">
        <v>2026</v>
      </c>
      <c r="H455" s="2">
        <v>80.25</v>
      </c>
      <c r="I455" s="2"/>
      <c r="J455" s="2"/>
    </row>
    <row r="456" spans="1:10" ht="14.25" customHeight="1" x14ac:dyDescent="0.35">
      <c r="A456" s="2" t="s">
        <v>492</v>
      </c>
      <c r="B456" s="2" t="s">
        <v>147</v>
      </c>
      <c r="C456" s="2" t="s">
        <v>474</v>
      </c>
      <c r="D456" s="2" t="s">
        <v>493</v>
      </c>
      <c r="E456" s="3" t="s">
        <v>494</v>
      </c>
      <c r="F456" s="2" t="s">
        <v>47</v>
      </c>
      <c r="G456" s="2">
        <v>2027</v>
      </c>
      <c r="H456" s="2">
        <v>81.55</v>
      </c>
      <c r="I456" s="2"/>
      <c r="J456" s="2"/>
    </row>
    <row r="457" spans="1:10" ht="14.25" customHeight="1" x14ac:dyDescent="0.35">
      <c r="A457" s="2" t="s">
        <v>492</v>
      </c>
      <c r="B457" s="2" t="s">
        <v>147</v>
      </c>
      <c r="C457" s="2" t="s">
        <v>474</v>
      </c>
      <c r="D457" s="2" t="s">
        <v>493</v>
      </c>
      <c r="E457" s="3" t="s">
        <v>494</v>
      </c>
      <c r="F457" s="2" t="s">
        <v>47</v>
      </c>
      <c r="G457" s="2">
        <v>2028</v>
      </c>
      <c r="H457" s="2">
        <v>82.75</v>
      </c>
      <c r="I457" s="2"/>
      <c r="J457" s="2"/>
    </row>
    <row r="458" spans="1:10" ht="14.25" customHeight="1" x14ac:dyDescent="0.35">
      <c r="A458" s="2" t="s">
        <v>492</v>
      </c>
      <c r="B458" s="2" t="s">
        <v>147</v>
      </c>
      <c r="C458" s="2" t="s">
        <v>474</v>
      </c>
      <c r="D458" s="2" t="s">
        <v>493</v>
      </c>
      <c r="E458" s="3" t="s">
        <v>494</v>
      </c>
      <c r="F458" s="2" t="s">
        <v>47</v>
      </c>
      <c r="G458" s="2">
        <v>2029</v>
      </c>
      <c r="H458" s="2">
        <v>83.15</v>
      </c>
      <c r="I458" s="2"/>
      <c r="J458" s="2"/>
    </row>
    <row r="459" spans="1:10" ht="14.25" customHeight="1" x14ac:dyDescent="0.35">
      <c r="A459" s="2" t="s">
        <v>492</v>
      </c>
      <c r="B459" s="2" t="s">
        <v>147</v>
      </c>
      <c r="C459" s="2" t="s">
        <v>474</v>
      </c>
      <c r="D459" s="2" t="s">
        <v>493</v>
      </c>
      <c r="E459" s="3" t="s">
        <v>494</v>
      </c>
      <c r="F459" s="2" t="s">
        <v>47</v>
      </c>
      <c r="G459" s="2">
        <v>2045</v>
      </c>
      <c r="H459" s="2"/>
      <c r="I459" s="2" t="s">
        <v>498</v>
      </c>
      <c r="J459" s="2" t="s">
        <v>285</v>
      </c>
    </row>
    <row r="460" spans="1:10" ht="14.25" customHeight="1" x14ac:dyDescent="0.35">
      <c r="A460" s="2" t="s">
        <v>500</v>
      </c>
      <c r="B460" s="2" t="s">
        <v>147</v>
      </c>
      <c r="C460" s="2" t="s">
        <v>474</v>
      </c>
      <c r="D460" s="2" t="s">
        <v>502</v>
      </c>
      <c r="E460" s="3" t="s">
        <v>503</v>
      </c>
      <c r="F460" s="2" t="s">
        <v>47</v>
      </c>
      <c r="G460" s="2">
        <v>2025</v>
      </c>
      <c r="H460" s="2">
        <v>0.7</v>
      </c>
      <c r="I460" s="2"/>
      <c r="J460" s="2"/>
    </row>
    <row r="461" spans="1:10" ht="14.25" customHeight="1" x14ac:dyDescent="0.35">
      <c r="A461" s="2" t="s">
        <v>500</v>
      </c>
      <c r="B461" s="2" t="s">
        <v>147</v>
      </c>
      <c r="C461" s="2" t="s">
        <v>474</v>
      </c>
      <c r="D461" s="2" t="s">
        <v>502</v>
      </c>
      <c r="E461" s="3" t="s">
        <v>503</v>
      </c>
      <c r="F461" s="2" t="s">
        <v>47</v>
      </c>
      <c r="G461" s="2">
        <v>2026</v>
      </c>
      <c r="H461" s="2">
        <v>0.72</v>
      </c>
      <c r="I461" s="2"/>
      <c r="J461" s="2"/>
    </row>
    <row r="462" spans="1:10" ht="14.25" customHeight="1" x14ac:dyDescent="0.35">
      <c r="A462" s="2" t="s">
        <v>500</v>
      </c>
      <c r="B462" s="2" t="s">
        <v>147</v>
      </c>
      <c r="C462" s="2" t="s">
        <v>474</v>
      </c>
      <c r="D462" s="2" t="s">
        <v>502</v>
      </c>
      <c r="E462" s="3" t="s">
        <v>503</v>
      </c>
      <c r="F462" s="2" t="s">
        <v>47</v>
      </c>
      <c r="G462" s="2">
        <v>2027</v>
      </c>
      <c r="H462" s="2">
        <v>0.74</v>
      </c>
      <c r="I462" s="2"/>
      <c r="J462" s="2"/>
    </row>
    <row r="463" spans="1:10" ht="14.25" customHeight="1" x14ac:dyDescent="0.35">
      <c r="A463" s="2" t="s">
        <v>500</v>
      </c>
      <c r="B463" s="2" t="s">
        <v>147</v>
      </c>
      <c r="C463" s="2" t="s">
        <v>474</v>
      </c>
      <c r="D463" s="2" t="s">
        <v>502</v>
      </c>
      <c r="E463" s="3" t="s">
        <v>503</v>
      </c>
      <c r="F463" s="2" t="s">
        <v>47</v>
      </c>
      <c r="G463" s="2">
        <v>2028</v>
      </c>
      <c r="H463" s="2">
        <v>0.76</v>
      </c>
      <c r="I463" s="2"/>
      <c r="J463" s="2"/>
    </row>
    <row r="464" spans="1:10" ht="14.25" customHeight="1" x14ac:dyDescent="0.35">
      <c r="A464" s="2" t="s">
        <v>500</v>
      </c>
      <c r="B464" s="2" t="s">
        <v>147</v>
      </c>
      <c r="C464" s="2" t="s">
        <v>474</v>
      </c>
      <c r="D464" s="2" t="s">
        <v>502</v>
      </c>
      <c r="E464" s="3" t="s">
        <v>503</v>
      </c>
      <c r="F464" s="2" t="s">
        <v>47</v>
      </c>
      <c r="G464" s="2">
        <v>2029</v>
      </c>
      <c r="H464" s="2">
        <v>0.78</v>
      </c>
      <c r="I464" s="2"/>
      <c r="J464" s="2"/>
    </row>
    <row r="465" spans="1:10" ht="14.25" customHeight="1" x14ac:dyDescent="0.35">
      <c r="A465" s="2" t="s">
        <v>500</v>
      </c>
      <c r="B465" s="2" t="s">
        <v>147</v>
      </c>
      <c r="C465" s="2" t="s">
        <v>474</v>
      </c>
      <c r="D465" s="2" t="s">
        <v>502</v>
      </c>
      <c r="E465" s="3" t="s">
        <v>503</v>
      </c>
      <c r="F465" s="2" t="s">
        <v>47</v>
      </c>
      <c r="G465" s="2">
        <v>2045</v>
      </c>
      <c r="H465" s="2">
        <v>1</v>
      </c>
      <c r="I465" s="2"/>
      <c r="J465" s="2"/>
    </row>
    <row r="466" spans="1:10" ht="14.25" customHeight="1" x14ac:dyDescent="0.35">
      <c r="A466" s="2" t="s">
        <v>510</v>
      </c>
      <c r="B466" s="2" t="s">
        <v>147</v>
      </c>
      <c r="C466" s="2" t="s">
        <v>474</v>
      </c>
      <c r="D466" s="2" t="s">
        <v>511</v>
      </c>
      <c r="E466" s="3" t="s">
        <v>512</v>
      </c>
      <c r="F466" s="2" t="s">
        <v>21</v>
      </c>
      <c r="G466" s="2">
        <v>2021</v>
      </c>
      <c r="H466" s="2">
        <v>2.73</v>
      </c>
      <c r="I466" s="2"/>
      <c r="J466" s="2"/>
    </row>
    <row r="467" spans="1:10" ht="14.25" customHeight="1" x14ac:dyDescent="0.35">
      <c r="A467" s="2" t="s">
        <v>510</v>
      </c>
      <c r="B467" s="2" t="s">
        <v>147</v>
      </c>
      <c r="C467" s="2" t="s">
        <v>474</v>
      </c>
      <c r="D467" s="2" t="s">
        <v>511</v>
      </c>
      <c r="E467" s="3" t="s">
        <v>512</v>
      </c>
      <c r="F467" s="2" t="s">
        <v>21</v>
      </c>
      <c r="G467" s="2">
        <v>2022</v>
      </c>
      <c r="H467" s="2">
        <v>4.74</v>
      </c>
      <c r="I467" s="2"/>
      <c r="J467" s="2"/>
    </row>
    <row r="468" spans="1:10" ht="14.25" customHeight="1" x14ac:dyDescent="0.35">
      <c r="A468" s="2" t="s">
        <v>510</v>
      </c>
      <c r="B468" s="2" t="s">
        <v>147</v>
      </c>
      <c r="C468" s="2" t="s">
        <v>474</v>
      </c>
      <c r="D468" s="2" t="s">
        <v>511</v>
      </c>
      <c r="E468" s="3" t="s">
        <v>512</v>
      </c>
      <c r="F468" s="2" t="s">
        <v>21</v>
      </c>
      <c r="G468" s="2">
        <v>2023</v>
      </c>
      <c r="H468" s="2">
        <v>2.44</v>
      </c>
      <c r="I468" s="2"/>
      <c r="J468" s="2"/>
    </row>
    <row r="469" spans="1:10" ht="14.25" customHeight="1" x14ac:dyDescent="0.35">
      <c r="A469" s="2" t="s">
        <v>510</v>
      </c>
      <c r="B469" s="2" t="s">
        <v>147</v>
      </c>
      <c r="C469" s="2" t="s">
        <v>474</v>
      </c>
      <c r="D469" s="2" t="s">
        <v>511</v>
      </c>
      <c r="E469" s="3" t="s">
        <v>512</v>
      </c>
      <c r="F469" s="2" t="s">
        <v>21</v>
      </c>
      <c r="G469" s="2">
        <v>2024</v>
      </c>
      <c r="H469" s="2">
        <v>1.29</v>
      </c>
      <c r="I469" s="2"/>
      <c r="J469" s="2"/>
    </row>
    <row r="470" spans="1:10" ht="14.25" customHeight="1" x14ac:dyDescent="0.35">
      <c r="A470" s="2" t="s">
        <v>510</v>
      </c>
      <c r="B470" s="2" t="s">
        <v>147</v>
      </c>
      <c r="C470" s="2" t="s">
        <v>474</v>
      </c>
      <c r="D470" s="2" t="s">
        <v>511</v>
      </c>
      <c r="E470" s="3" t="s">
        <v>512</v>
      </c>
      <c r="F470" s="2" t="s">
        <v>21</v>
      </c>
      <c r="G470" s="2">
        <v>2025</v>
      </c>
      <c r="H470" s="2">
        <v>2.57</v>
      </c>
      <c r="I470" s="2"/>
      <c r="J470" s="2"/>
    </row>
    <row r="471" spans="1:10" ht="14.25" customHeight="1" x14ac:dyDescent="0.35">
      <c r="A471" s="2" t="s">
        <v>510</v>
      </c>
      <c r="B471" s="2" t="s">
        <v>147</v>
      </c>
      <c r="C471" s="2" t="s">
        <v>474</v>
      </c>
      <c r="D471" s="2" t="s">
        <v>511</v>
      </c>
      <c r="E471" s="3" t="s">
        <v>512</v>
      </c>
      <c r="F471" s="2" t="s">
        <v>47</v>
      </c>
      <c r="G471" s="2">
        <v>2025</v>
      </c>
      <c r="H471" s="2">
        <v>2.5</v>
      </c>
      <c r="I471" s="2"/>
      <c r="J471" s="2"/>
    </row>
    <row r="472" spans="1:10" ht="14.25" customHeight="1" x14ac:dyDescent="0.35">
      <c r="A472" s="2" t="s">
        <v>510</v>
      </c>
      <c r="B472" s="2" t="s">
        <v>147</v>
      </c>
      <c r="C472" s="2" t="s">
        <v>474</v>
      </c>
      <c r="D472" s="2" t="s">
        <v>511</v>
      </c>
      <c r="E472" s="3" t="s">
        <v>512</v>
      </c>
      <c r="F472" s="2" t="s">
        <v>47</v>
      </c>
      <c r="G472" s="2">
        <v>2026</v>
      </c>
      <c r="H472" s="2">
        <v>2.5</v>
      </c>
      <c r="I472" s="2"/>
      <c r="J472" s="2"/>
    </row>
    <row r="473" spans="1:10" ht="14.25" customHeight="1" x14ac:dyDescent="0.35">
      <c r="A473" s="2" t="s">
        <v>510</v>
      </c>
      <c r="B473" s="2" t="s">
        <v>147</v>
      </c>
      <c r="C473" s="2" t="s">
        <v>474</v>
      </c>
      <c r="D473" s="2" t="s">
        <v>511</v>
      </c>
      <c r="E473" s="3" t="s">
        <v>512</v>
      </c>
      <c r="F473" s="2" t="s">
        <v>47</v>
      </c>
      <c r="G473" s="2">
        <v>2027</v>
      </c>
      <c r="H473" s="2">
        <v>2.5</v>
      </c>
      <c r="I473" s="2"/>
      <c r="J473" s="2"/>
    </row>
    <row r="474" spans="1:10" ht="14.25" customHeight="1" x14ac:dyDescent="0.35">
      <c r="A474" s="2" t="s">
        <v>510</v>
      </c>
      <c r="B474" s="2" t="s">
        <v>147</v>
      </c>
      <c r="C474" s="2" t="s">
        <v>474</v>
      </c>
      <c r="D474" s="2" t="s">
        <v>511</v>
      </c>
      <c r="E474" s="3" t="s">
        <v>512</v>
      </c>
      <c r="F474" s="2" t="s">
        <v>47</v>
      </c>
      <c r="G474" s="2">
        <v>2028</v>
      </c>
      <c r="H474" s="2">
        <v>2.5</v>
      </c>
      <c r="I474" s="2"/>
      <c r="J474" s="2"/>
    </row>
    <row r="475" spans="1:10" ht="14.25" customHeight="1" x14ac:dyDescent="0.35">
      <c r="A475" s="2" t="s">
        <v>510</v>
      </c>
      <c r="B475" s="2" t="s">
        <v>147</v>
      </c>
      <c r="C475" s="2" t="s">
        <v>474</v>
      </c>
      <c r="D475" s="2" t="s">
        <v>511</v>
      </c>
      <c r="E475" s="3" t="s">
        <v>512</v>
      </c>
      <c r="F475" s="2" t="s">
        <v>47</v>
      </c>
      <c r="G475" s="2">
        <v>2029</v>
      </c>
      <c r="H475" s="2">
        <v>2.5</v>
      </c>
      <c r="I475" s="2"/>
      <c r="J475" s="2"/>
    </row>
    <row r="476" spans="1:10" ht="14.25" customHeight="1" x14ac:dyDescent="0.35">
      <c r="A476" s="2" t="s">
        <v>510</v>
      </c>
      <c r="B476" s="2" t="s">
        <v>147</v>
      </c>
      <c r="C476" s="2" t="s">
        <v>474</v>
      </c>
      <c r="D476" s="2" t="s">
        <v>511</v>
      </c>
      <c r="E476" s="3" t="s">
        <v>512</v>
      </c>
      <c r="F476" s="2" t="s">
        <v>47</v>
      </c>
      <c r="G476" s="2">
        <v>2045</v>
      </c>
      <c r="H476" s="2">
        <v>3</v>
      </c>
      <c r="I476" s="2"/>
      <c r="J476" s="2"/>
    </row>
    <row r="477" spans="1:10" ht="14.25" customHeight="1" x14ac:dyDescent="0.35">
      <c r="A477" s="2" t="s">
        <v>518</v>
      </c>
      <c r="B477" s="2" t="s">
        <v>147</v>
      </c>
      <c r="C477" s="2" t="s">
        <v>474</v>
      </c>
      <c r="D477" s="2" t="s">
        <v>519</v>
      </c>
      <c r="E477" s="3" t="s">
        <v>520</v>
      </c>
      <c r="F477" s="2" t="s">
        <v>47</v>
      </c>
      <c r="G477" s="2">
        <v>2025</v>
      </c>
      <c r="H477" s="2">
        <v>18.97</v>
      </c>
      <c r="I477" s="2"/>
      <c r="J477" s="2"/>
    </row>
    <row r="478" spans="1:10" ht="14.25" customHeight="1" x14ac:dyDescent="0.35">
      <c r="A478" s="2" t="s">
        <v>518</v>
      </c>
      <c r="B478" s="2" t="s">
        <v>147</v>
      </c>
      <c r="C478" s="2" t="s">
        <v>474</v>
      </c>
      <c r="D478" s="2" t="s">
        <v>519</v>
      </c>
      <c r="E478" s="3" t="s">
        <v>520</v>
      </c>
      <c r="F478" s="2" t="s">
        <v>47</v>
      </c>
      <c r="G478" s="2">
        <v>2026</v>
      </c>
      <c r="H478" s="2">
        <v>22.81</v>
      </c>
      <c r="I478" s="2"/>
      <c r="J478" s="2"/>
    </row>
    <row r="479" spans="1:10" ht="14.25" customHeight="1" x14ac:dyDescent="0.35">
      <c r="A479" s="2" t="s">
        <v>518</v>
      </c>
      <c r="B479" s="2" t="s">
        <v>147</v>
      </c>
      <c r="C479" s="2" t="s">
        <v>474</v>
      </c>
      <c r="D479" s="2" t="s">
        <v>519</v>
      </c>
      <c r="E479" s="3" t="s">
        <v>520</v>
      </c>
      <c r="F479" s="2" t="s">
        <v>47</v>
      </c>
      <c r="G479" s="2">
        <v>2027</v>
      </c>
      <c r="H479" s="2">
        <v>26.64</v>
      </c>
      <c r="I479" s="2"/>
      <c r="J479" s="2"/>
    </row>
    <row r="480" spans="1:10" ht="14.25" customHeight="1" x14ac:dyDescent="0.35">
      <c r="A480" s="2" t="s">
        <v>518</v>
      </c>
      <c r="B480" s="2" t="s">
        <v>147</v>
      </c>
      <c r="C480" s="2" t="s">
        <v>474</v>
      </c>
      <c r="D480" s="2" t="s">
        <v>519</v>
      </c>
      <c r="E480" s="3" t="s">
        <v>520</v>
      </c>
      <c r="F480" s="2" t="s">
        <v>47</v>
      </c>
      <c r="G480" s="2">
        <v>2028</v>
      </c>
      <c r="H480" s="2">
        <v>30.48</v>
      </c>
      <c r="I480" s="2"/>
      <c r="J480" s="2"/>
    </row>
    <row r="481" spans="1:10" ht="14.25" customHeight="1" x14ac:dyDescent="0.35">
      <c r="A481" s="2" t="s">
        <v>518</v>
      </c>
      <c r="B481" s="2" t="s">
        <v>147</v>
      </c>
      <c r="C481" s="2" t="s">
        <v>474</v>
      </c>
      <c r="D481" s="2" t="s">
        <v>519</v>
      </c>
      <c r="E481" s="3" t="s">
        <v>520</v>
      </c>
      <c r="F481" s="2" t="s">
        <v>47</v>
      </c>
      <c r="G481" s="2">
        <v>2029</v>
      </c>
      <c r="H481" s="2">
        <v>34.31</v>
      </c>
      <c r="I481" s="2"/>
      <c r="J481" s="2"/>
    </row>
    <row r="482" spans="1:10" ht="14.25" customHeight="1" x14ac:dyDescent="0.35">
      <c r="A482" s="2" t="s">
        <v>518</v>
      </c>
      <c r="B482" s="2" t="s">
        <v>147</v>
      </c>
      <c r="C482" s="2" t="s">
        <v>474</v>
      </c>
      <c r="D482" s="2" t="s">
        <v>519</v>
      </c>
      <c r="E482" s="3" t="s">
        <v>520</v>
      </c>
      <c r="F482" s="2" t="s">
        <v>47</v>
      </c>
      <c r="G482" s="2">
        <v>2045</v>
      </c>
      <c r="H482" s="2">
        <v>73.5</v>
      </c>
      <c r="I482" s="2"/>
      <c r="J482" s="2"/>
    </row>
    <row r="483" spans="1:10" ht="14.25" customHeight="1" x14ac:dyDescent="0.35">
      <c r="A483" s="2" t="s">
        <v>528</v>
      </c>
      <c r="B483" s="2" t="s">
        <v>147</v>
      </c>
      <c r="C483" s="2" t="s">
        <v>474</v>
      </c>
      <c r="D483" s="2" t="s">
        <v>529</v>
      </c>
      <c r="E483" s="3" t="s">
        <v>530</v>
      </c>
      <c r="F483" s="2" t="s">
        <v>47</v>
      </c>
      <c r="G483" s="2">
        <v>2025</v>
      </c>
      <c r="H483" s="2">
        <v>0.23</v>
      </c>
      <c r="I483" s="2"/>
      <c r="J483" s="2"/>
    </row>
    <row r="484" spans="1:10" ht="14.25" customHeight="1" x14ac:dyDescent="0.35">
      <c r="A484" s="2" t="s">
        <v>528</v>
      </c>
      <c r="B484" s="2" t="s">
        <v>147</v>
      </c>
      <c r="C484" s="2" t="s">
        <v>474</v>
      </c>
      <c r="D484" s="2" t="s">
        <v>529</v>
      </c>
      <c r="E484" s="3" t="s">
        <v>530</v>
      </c>
      <c r="F484" s="2" t="s">
        <v>47</v>
      </c>
      <c r="G484" s="2">
        <v>2026</v>
      </c>
      <c r="H484" s="2">
        <v>0.48</v>
      </c>
      <c r="I484" s="2"/>
      <c r="J484" s="2"/>
    </row>
    <row r="485" spans="1:10" ht="14.25" customHeight="1" x14ac:dyDescent="0.35">
      <c r="A485" s="2" t="s">
        <v>528</v>
      </c>
      <c r="B485" s="2" t="s">
        <v>147</v>
      </c>
      <c r="C485" s="2" t="s">
        <v>474</v>
      </c>
      <c r="D485" s="2" t="s">
        <v>529</v>
      </c>
      <c r="E485" s="3" t="s">
        <v>530</v>
      </c>
      <c r="F485" s="2" t="s">
        <v>47</v>
      </c>
      <c r="G485" s="2">
        <v>2027</v>
      </c>
      <c r="H485" s="2">
        <v>0.74</v>
      </c>
      <c r="I485" s="2"/>
      <c r="J485" s="2"/>
    </row>
    <row r="486" spans="1:10" ht="14.25" customHeight="1" x14ac:dyDescent="0.35">
      <c r="A486" s="2" t="s">
        <v>528</v>
      </c>
      <c r="B486" s="2" t="s">
        <v>147</v>
      </c>
      <c r="C486" s="2" t="s">
        <v>474</v>
      </c>
      <c r="D486" s="2" t="s">
        <v>529</v>
      </c>
      <c r="E486" s="3" t="s">
        <v>530</v>
      </c>
      <c r="F486" s="2" t="s">
        <v>47</v>
      </c>
      <c r="G486" s="2">
        <v>2028</v>
      </c>
      <c r="H486" s="2">
        <v>0.99</v>
      </c>
      <c r="I486" s="2"/>
      <c r="J486" s="2"/>
    </row>
    <row r="487" spans="1:10" ht="14.25" customHeight="1" x14ac:dyDescent="0.35">
      <c r="A487" s="2" t="s">
        <v>528</v>
      </c>
      <c r="B487" s="2" t="s">
        <v>147</v>
      </c>
      <c r="C487" s="2" t="s">
        <v>474</v>
      </c>
      <c r="D487" s="2" t="s">
        <v>529</v>
      </c>
      <c r="E487" s="3" t="s">
        <v>530</v>
      </c>
      <c r="F487" s="2" t="s">
        <v>47</v>
      </c>
      <c r="G487" s="2">
        <v>2029</v>
      </c>
      <c r="H487" s="2">
        <v>1.24</v>
      </c>
      <c r="I487" s="2"/>
      <c r="J487" s="2"/>
    </row>
    <row r="488" spans="1:10" ht="14.25" customHeight="1" x14ac:dyDescent="0.35">
      <c r="A488" s="2" t="s">
        <v>528</v>
      </c>
      <c r="B488" s="2" t="s">
        <v>147</v>
      </c>
      <c r="C488" s="2" t="s">
        <v>474</v>
      </c>
      <c r="D488" s="2" t="s">
        <v>529</v>
      </c>
      <c r="E488" s="3" t="s">
        <v>530</v>
      </c>
      <c r="F488" s="2" t="s">
        <v>47</v>
      </c>
      <c r="G488" s="2">
        <v>2045</v>
      </c>
      <c r="H488" s="2">
        <v>4.25</v>
      </c>
      <c r="I488" s="2"/>
      <c r="J488" s="2"/>
    </row>
    <row r="489" spans="1:10" ht="14.25" customHeight="1" x14ac:dyDescent="0.35">
      <c r="A489" s="2" t="s">
        <v>537</v>
      </c>
      <c r="B489" s="2" t="s">
        <v>147</v>
      </c>
      <c r="C489" s="2" t="s">
        <v>474</v>
      </c>
      <c r="D489" s="2" t="s">
        <v>538</v>
      </c>
      <c r="E489" s="3" t="s">
        <v>539</v>
      </c>
      <c r="F489" s="2" t="s">
        <v>47</v>
      </c>
      <c r="G489" s="2">
        <v>2025</v>
      </c>
      <c r="H489" s="2">
        <v>3449809.08</v>
      </c>
      <c r="I489" s="2"/>
      <c r="J489" s="2"/>
    </row>
    <row r="490" spans="1:10" ht="14.25" customHeight="1" x14ac:dyDescent="0.35">
      <c r="A490" s="2" t="s">
        <v>537</v>
      </c>
      <c r="B490" s="2" t="s">
        <v>147</v>
      </c>
      <c r="C490" s="2" t="s">
        <v>474</v>
      </c>
      <c r="D490" s="2" t="s">
        <v>538</v>
      </c>
      <c r="E490" s="3" t="s">
        <v>539</v>
      </c>
      <c r="F490" s="2" t="s">
        <v>47</v>
      </c>
      <c r="G490" s="2">
        <v>2026</v>
      </c>
      <c r="H490" s="2">
        <v>5235330.0999999996</v>
      </c>
      <c r="I490" s="2"/>
      <c r="J490" s="2"/>
    </row>
    <row r="491" spans="1:10" ht="14.25" customHeight="1" x14ac:dyDescent="0.35">
      <c r="A491" s="2" t="s">
        <v>537</v>
      </c>
      <c r="B491" s="2" t="s">
        <v>147</v>
      </c>
      <c r="C491" s="2" t="s">
        <v>474</v>
      </c>
      <c r="D491" s="2" t="s">
        <v>538</v>
      </c>
      <c r="E491" s="3" t="s">
        <v>539</v>
      </c>
      <c r="F491" s="2" t="s">
        <v>47</v>
      </c>
      <c r="G491" s="2">
        <v>2027</v>
      </c>
      <c r="H491" s="2">
        <v>7020851.1100000003</v>
      </c>
      <c r="I491" s="2"/>
      <c r="J491" s="2"/>
    </row>
    <row r="492" spans="1:10" ht="14.25" customHeight="1" x14ac:dyDescent="0.35">
      <c r="A492" s="2" t="s">
        <v>537</v>
      </c>
      <c r="B492" s="2" t="s">
        <v>147</v>
      </c>
      <c r="C492" s="2" t="s">
        <v>474</v>
      </c>
      <c r="D492" s="2" t="s">
        <v>538</v>
      </c>
      <c r="E492" s="3" t="s">
        <v>539</v>
      </c>
      <c r="F492" s="2" t="s">
        <v>47</v>
      </c>
      <c r="G492" s="2">
        <v>2028</v>
      </c>
      <c r="H492" s="2">
        <v>8806372.1300000008</v>
      </c>
      <c r="I492" s="2"/>
      <c r="J492" s="2"/>
    </row>
    <row r="493" spans="1:10" ht="14.25" customHeight="1" x14ac:dyDescent="0.35">
      <c r="A493" s="2" t="s">
        <v>537</v>
      </c>
      <c r="B493" s="2" t="s">
        <v>147</v>
      </c>
      <c r="C493" s="2" t="s">
        <v>474</v>
      </c>
      <c r="D493" s="2" t="s">
        <v>538</v>
      </c>
      <c r="E493" s="3" t="s">
        <v>539</v>
      </c>
      <c r="F493" s="2" t="s">
        <v>47</v>
      </c>
      <c r="G493" s="2">
        <v>2029</v>
      </c>
      <c r="H493" s="2">
        <v>10591893.140000001</v>
      </c>
      <c r="I493" s="2"/>
      <c r="J493" s="2"/>
    </row>
    <row r="494" spans="1:10" ht="14.25" customHeight="1" x14ac:dyDescent="0.35">
      <c r="A494" s="2" t="s">
        <v>537</v>
      </c>
      <c r="B494" s="2" t="s">
        <v>147</v>
      </c>
      <c r="C494" s="2" t="s">
        <v>474</v>
      </c>
      <c r="D494" s="2" t="s">
        <v>538</v>
      </c>
      <c r="E494" s="3" t="s">
        <v>539</v>
      </c>
      <c r="F494" s="2" t="s">
        <v>47</v>
      </c>
      <c r="G494" s="2">
        <v>2045</v>
      </c>
      <c r="H494" s="2">
        <v>24914798.68</v>
      </c>
      <c r="I494" s="2"/>
      <c r="J494" s="2"/>
    </row>
    <row r="495" spans="1:10" ht="14.25" customHeight="1" x14ac:dyDescent="0.35">
      <c r="A495" s="2" t="s">
        <v>545</v>
      </c>
      <c r="B495" s="2" t="s">
        <v>147</v>
      </c>
      <c r="C495" s="2" t="s">
        <v>474</v>
      </c>
      <c r="D495" s="2" t="s">
        <v>546</v>
      </c>
      <c r="E495" s="3" t="s">
        <v>547</v>
      </c>
      <c r="F495" s="2" t="s">
        <v>47</v>
      </c>
      <c r="G495" s="2">
        <v>2025</v>
      </c>
      <c r="H495" s="2">
        <v>12</v>
      </c>
      <c r="I495" s="2"/>
      <c r="J495" s="2"/>
    </row>
    <row r="496" spans="1:10" ht="14.25" customHeight="1" x14ac:dyDescent="0.35">
      <c r="A496" s="2" t="s">
        <v>545</v>
      </c>
      <c r="B496" s="2" t="s">
        <v>147</v>
      </c>
      <c r="C496" s="2" t="s">
        <v>474</v>
      </c>
      <c r="D496" s="2" t="s">
        <v>546</v>
      </c>
      <c r="E496" s="3" t="s">
        <v>547</v>
      </c>
      <c r="F496" s="2" t="s">
        <v>47</v>
      </c>
      <c r="G496" s="2">
        <v>2026</v>
      </c>
      <c r="H496" s="2">
        <v>15.58</v>
      </c>
      <c r="I496" s="2"/>
      <c r="J496" s="2"/>
    </row>
    <row r="497" spans="1:10" ht="14.25" customHeight="1" x14ac:dyDescent="0.35">
      <c r="A497" s="2" t="s">
        <v>545</v>
      </c>
      <c r="B497" s="2" t="s">
        <v>147</v>
      </c>
      <c r="C497" s="2" t="s">
        <v>474</v>
      </c>
      <c r="D497" s="2" t="s">
        <v>546</v>
      </c>
      <c r="E497" s="3" t="s">
        <v>547</v>
      </c>
      <c r="F497" s="2" t="s">
        <v>47</v>
      </c>
      <c r="G497" s="2">
        <v>2027</v>
      </c>
      <c r="H497" s="2">
        <v>19.149999999999999</v>
      </c>
      <c r="I497" s="2"/>
      <c r="J497" s="2"/>
    </row>
    <row r="498" spans="1:10" ht="14.25" customHeight="1" x14ac:dyDescent="0.35">
      <c r="A498" s="2" t="s">
        <v>545</v>
      </c>
      <c r="B498" s="2" t="s">
        <v>147</v>
      </c>
      <c r="C498" s="2" t="s">
        <v>474</v>
      </c>
      <c r="D498" s="2" t="s">
        <v>546</v>
      </c>
      <c r="E498" s="3" t="s">
        <v>547</v>
      </c>
      <c r="F498" s="2" t="s">
        <v>47</v>
      </c>
      <c r="G498" s="2">
        <v>2028</v>
      </c>
      <c r="H498" s="2">
        <v>22.73</v>
      </c>
      <c r="I498" s="2"/>
      <c r="J498" s="2"/>
    </row>
    <row r="499" spans="1:10" ht="14.25" customHeight="1" x14ac:dyDescent="0.35">
      <c r="A499" s="2" t="s">
        <v>545</v>
      </c>
      <c r="B499" s="2" t="s">
        <v>147</v>
      </c>
      <c r="C499" s="2" t="s">
        <v>474</v>
      </c>
      <c r="D499" s="2" t="s">
        <v>546</v>
      </c>
      <c r="E499" s="3" t="s">
        <v>547</v>
      </c>
      <c r="F499" s="2" t="s">
        <v>47</v>
      </c>
      <c r="G499" s="2">
        <v>2029</v>
      </c>
      <c r="H499" s="2">
        <v>26.3</v>
      </c>
      <c r="I499" s="2"/>
      <c r="J499" s="2"/>
    </row>
    <row r="500" spans="1:10" ht="14.25" customHeight="1" x14ac:dyDescent="0.35">
      <c r="A500" s="2" t="s">
        <v>545</v>
      </c>
      <c r="B500" s="2" t="s">
        <v>147</v>
      </c>
      <c r="C500" s="2" t="s">
        <v>474</v>
      </c>
      <c r="D500" s="2" t="s">
        <v>546</v>
      </c>
      <c r="E500" s="3" t="s">
        <v>547</v>
      </c>
      <c r="F500" s="2" t="s">
        <v>47</v>
      </c>
      <c r="G500" s="2">
        <v>2045</v>
      </c>
      <c r="H500" s="2">
        <v>69.2</v>
      </c>
      <c r="I500" s="2"/>
      <c r="J500" s="2"/>
    </row>
    <row r="501" spans="1:10" ht="14.25" customHeight="1" x14ac:dyDescent="0.35">
      <c r="A501" s="2" t="s">
        <v>554</v>
      </c>
      <c r="B501" s="2" t="s">
        <v>147</v>
      </c>
      <c r="C501" s="2" t="s">
        <v>474</v>
      </c>
      <c r="D501" s="2" t="s">
        <v>555</v>
      </c>
      <c r="E501" s="3" t="s">
        <v>556</v>
      </c>
      <c r="F501" s="2" t="s">
        <v>21</v>
      </c>
      <c r="G501" s="2">
        <v>2022</v>
      </c>
      <c r="H501" s="2">
        <v>91.69</v>
      </c>
      <c r="I501" s="2"/>
      <c r="J501" s="2"/>
    </row>
    <row r="502" spans="1:10" ht="14.25" customHeight="1" x14ac:dyDescent="0.35">
      <c r="A502" s="2" t="s">
        <v>554</v>
      </c>
      <c r="B502" s="2" t="s">
        <v>147</v>
      </c>
      <c r="C502" s="2" t="s">
        <v>474</v>
      </c>
      <c r="D502" s="2" t="s">
        <v>555</v>
      </c>
      <c r="E502" s="3" t="s">
        <v>556</v>
      </c>
      <c r="F502" s="2" t="s">
        <v>47</v>
      </c>
      <c r="G502" s="2">
        <v>2025</v>
      </c>
      <c r="H502" s="2">
        <v>97.3</v>
      </c>
      <c r="I502" s="2"/>
      <c r="J502" s="2"/>
    </row>
    <row r="503" spans="1:10" ht="14.25" customHeight="1" x14ac:dyDescent="0.35">
      <c r="A503" s="2" t="s">
        <v>554</v>
      </c>
      <c r="B503" s="2" t="s">
        <v>147</v>
      </c>
      <c r="C503" s="2" t="s">
        <v>474</v>
      </c>
      <c r="D503" s="2" t="s">
        <v>555</v>
      </c>
      <c r="E503" s="3" t="s">
        <v>556</v>
      </c>
      <c r="F503" s="2" t="s">
        <v>47</v>
      </c>
      <c r="G503" s="2">
        <v>2026</v>
      </c>
      <c r="H503" s="2">
        <v>97.65</v>
      </c>
      <c r="I503" s="2"/>
      <c r="J503" s="2"/>
    </row>
    <row r="504" spans="1:10" ht="14.25" customHeight="1" x14ac:dyDescent="0.35">
      <c r="A504" s="2" t="s">
        <v>554</v>
      </c>
      <c r="B504" s="2" t="s">
        <v>147</v>
      </c>
      <c r="C504" s="2" t="s">
        <v>474</v>
      </c>
      <c r="D504" s="2" t="s">
        <v>555</v>
      </c>
      <c r="E504" s="3" t="s">
        <v>556</v>
      </c>
      <c r="F504" s="2" t="s">
        <v>47</v>
      </c>
      <c r="G504" s="2">
        <v>2027</v>
      </c>
      <c r="H504" s="2">
        <v>98.01</v>
      </c>
      <c r="I504" s="2"/>
      <c r="J504" s="2"/>
    </row>
    <row r="505" spans="1:10" ht="14.25" customHeight="1" x14ac:dyDescent="0.35">
      <c r="A505" s="2" t="s">
        <v>554</v>
      </c>
      <c r="B505" s="2" t="s">
        <v>147</v>
      </c>
      <c r="C505" s="2" t="s">
        <v>474</v>
      </c>
      <c r="D505" s="2" t="s">
        <v>555</v>
      </c>
      <c r="E505" s="3" t="s">
        <v>556</v>
      </c>
      <c r="F505" s="2" t="s">
        <v>47</v>
      </c>
      <c r="G505" s="2">
        <v>2028</v>
      </c>
      <c r="H505" s="2">
        <v>98.36</v>
      </c>
      <c r="I505" s="2"/>
      <c r="J505" s="2"/>
    </row>
    <row r="506" spans="1:10" ht="14.25" customHeight="1" x14ac:dyDescent="0.35">
      <c r="A506" s="2" t="s">
        <v>554</v>
      </c>
      <c r="B506" s="2" t="s">
        <v>147</v>
      </c>
      <c r="C506" s="2" t="s">
        <v>474</v>
      </c>
      <c r="D506" s="2" t="s">
        <v>555</v>
      </c>
      <c r="E506" s="3" t="s">
        <v>556</v>
      </c>
      <c r="F506" s="2" t="s">
        <v>47</v>
      </c>
      <c r="G506" s="2">
        <v>2029</v>
      </c>
      <c r="H506" s="2">
        <v>98.71</v>
      </c>
      <c r="I506" s="2"/>
      <c r="J506" s="2"/>
    </row>
    <row r="507" spans="1:10" ht="14.25" customHeight="1" x14ac:dyDescent="0.35">
      <c r="A507" s="2" t="s">
        <v>554</v>
      </c>
      <c r="B507" s="2" t="s">
        <v>147</v>
      </c>
      <c r="C507" s="2" t="s">
        <v>474</v>
      </c>
      <c r="D507" s="2" t="s">
        <v>555</v>
      </c>
      <c r="E507" s="3" t="s">
        <v>556</v>
      </c>
      <c r="F507" s="2" t="s">
        <v>47</v>
      </c>
      <c r="G507" s="2">
        <v>2045</v>
      </c>
      <c r="H507" s="2">
        <v>99.13</v>
      </c>
      <c r="I507" s="2"/>
      <c r="J507" s="2"/>
    </row>
    <row r="508" spans="1:10" ht="14.25" customHeight="1" x14ac:dyDescent="0.35">
      <c r="A508" s="2" t="s">
        <v>564</v>
      </c>
      <c r="B508" s="2" t="s">
        <v>147</v>
      </c>
      <c r="C508" s="2" t="s">
        <v>474</v>
      </c>
      <c r="D508" s="2" t="s">
        <v>566</v>
      </c>
      <c r="E508" s="3" t="s">
        <v>567</v>
      </c>
      <c r="F508" s="2" t="s">
        <v>47</v>
      </c>
      <c r="G508" s="2">
        <v>2025</v>
      </c>
      <c r="H508" s="2">
        <v>18</v>
      </c>
      <c r="I508" s="2"/>
      <c r="J508" s="2"/>
    </row>
    <row r="509" spans="1:10" ht="14.25" customHeight="1" x14ac:dyDescent="0.35">
      <c r="A509" s="2" t="s">
        <v>564</v>
      </c>
      <c r="B509" s="2" t="s">
        <v>147</v>
      </c>
      <c r="C509" s="2" t="s">
        <v>474</v>
      </c>
      <c r="D509" s="2" t="s">
        <v>566</v>
      </c>
      <c r="E509" s="3" t="s">
        <v>567</v>
      </c>
      <c r="F509" s="2" t="s">
        <v>47</v>
      </c>
      <c r="G509" s="2">
        <v>2026</v>
      </c>
      <c r="H509" s="2">
        <v>19</v>
      </c>
      <c r="I509" s="2"/>
      <c r="J509" s="2"/>
    </row>
    <row r="510" spans="1:10" ht="14.25" customHeight="1" x14ac:dyDescent="0.35">
      <c r="A510" s="2" t="s">
        <v>564</v>
      </c>
      <c r="B510" s="2" t="s">
        <v>147</v>
      </c>
      <c r="C510" s="2" t="s">
        <v>474</v>
      </c>
      <c r="D510" s="2" t="s">
        <v>566</v>
      </c>
      <c r="E510" s="3" t="s">
        <v>567</v>
      </c>
      <c r="F510" s="2" t="s">
        <v>47</v>
      </c>
      <c r="G510" s="2">
        <v>2027</v>
      </c>
      <c r="H510" s="2">
        <v>19</v>
      </c>
      <c r="I510" s="2"/>
      <c r="J510" s="2"/>
    </row>
    <row r="511" spans="1:10" ht="14.25" customHeight="1" x14ac:dyDescent="0.35">
      <c r="A511" s="2" t="s">
        <v>564</v>
      </c>
      <c r="B511" s="2" t="s">
        <v>147</v>
      </c>
      <c r="C511" s="2" t="s">
        <v>474</v>
      </c>
      <c r="D511" s="2" t="s">
        <v>566</v>
      </c>
      <c r="E511" s="3" t="s">
        <v>567</v>
      </c>
      <c r="F511" s="2" t="s">
        <v>47</v>
      </c>
      <c r="G511" s="2">
        <v>2028</v>
      </c>
      <c r="H511" s="2">
        <v>19</v>
      </c>
      <c r="I511" s="2"/>
      <c r="J511" s="2"/>
    </row>
    <row r="512" spans="1:10" ht="14.25" customHeight="1" x14ac:dyDescent="0.35">
      <c r="A512" s="2" t="s">
        <v>564</v>
      </c>
      <c r="B512" s="2" t="s">
        <v>147</v>
      </c>
      <c r="C512" s="2" t="s">
        <v>474</v>
      </c>
      <c r="D512" s="2" t="s">
        <v>566</v>
      </c>
      <c r="E512" s="3" t="s">
        <v>567</v>
      </c>
      <c r="F512" s="2" t="s">
        <v>47</v>
      </c>
      <c r="G512" s="2">
        <v>2029</v>
      </c>
      <c r="H512" s="2">
        <v>19</v>
      </c>
      <c r="I512" s="2"/>
      <c r="J512" s="2"/>
    </row>
    <row r="513" spans="1:10" ht="14.25" customHeight="1" x14ac:dyDescent="0.35">
      <c r="A513" s="2" t="s">
        <v>564</v>
      </c>
      <c r="B513" s="2" t="s">
        <v>147</v>
      </c>
      <c r="C513" s="2" t="s">
        <v>474</v>
      </c>
      <c r="D513" s="2" t="s">
        <v>566</v>
      </c>
      <c r="E513" s="3" t="s">
        <v>567</v>
      </c>
      <c r="F513" s="2" t="s">
        <v>47</v>
      </c>
      <c r="G513" s="2">
        <v>2045</v>
      </c>
      <c r="H513" s="2">
        <v>4</v>
      </c>
      <c r="I513" s="2"/>
      <c r="J513" s="2"/>
    </row>
    <row r="514" spans="1:10" ht="14.25" customHeight="1" x14ac:dyDescent="0.35">
      <c r="A514" s="2" t="s">
        <v>570</v>
      </c>
      <c r="B514" s="2" t="s">
        <v>147</v>
      </c>
      <c r="C514" s="2" t="s">
        <v>474</v>
      </c>
      <c r="D514" s="2" t="s">
        <v>571</v>
      </c>
      <c r="E514" s="3" t="s">
        <v>572</v>
      </c>
      <c r="F514" s="2" t="s">
        <v>47</v>
      </c>
      <c r="G514" s="2">
        <v>2025</v>
      </c>
      <c r="H514" s="2">
        <v>2.5499999999999998</v>
      </c>
      <c r="I514" s="2"/>
      <c r="J514" s="2"/>
    </row>
    <row r="515" spans="1:10" ht="14.25" customHeight="1" x14ac:dyDescent="0.35">
      <c r="A515" s="2" t="s">
        <v>570</v>
      </c>
      <c r="B515" s="2" t="s">
        <v>147</v>
      </c>
      <c r="C515" s="2" t="s">
        <v>474</v>
      </c>
      <c r="D515" s="2" t="s">
        <v>571</v>
      </c>
      <c r="E515" s="3" t="s">
        <v>572</v>
      </c>
      <c r="F515" s="2" t="s">
        <v>47</v>
      </c>
      <c r="G515" s="2">
        <v>2026</v>
      </c>
      <c r="H515" s="2">
        <v>2.65</v>
      </c>
      <c r="I515" s="2"/>
      <c r="J515" s="2"/>
    </row>
    <row r="516" spans="1:10" ht="14.25" customHeight="1" x14ac:dyDescent="0.35">
      <c r="A516" s="2" t="s">
        <v>570</v>
      </c>
      <c r="B516" s="2" t="s">
        <v>147</v>
      </c>
      <c r="C516" s="2" t="s">
        <v>474</v>
      </c>
      <c r="D516" s="2" t="s">
        <v>571</v>
      </c>
      <c r="E516" s="3" t="s">
        <v>572</v>
      </c>
      <c r="F516" s="2" t="s">
        <v>47</v>
      </c>
      <c r="G516" s="2">
        <v>2027</v>
      </c>
      <c r="H516" s="2">
        <v>2.75</v>
      </c>
      <c r="I516" s="2"/>
      <c r="J516" s="2"/>
    </row>
    <row r="517" spans="1:10" ht="14.25" customHeight="1" x14ac:dyDescent="0.35">
      <c r="A517" s="2" t="s">
        <v>570</v>
      </c>
      <c r="B517" s="2" t="s">
        <v>147</v>
      </c>
      <c r="C517" s="2" t="s">
        <v>474</v>
      </c>
      <c r="D517" s="2" t="s">
        <v>571</v>
      </c>
      <c r="E517" s="3" t="s">
        <v>572</v>
      </c>
      <c r="F517" s="2" t="s">
        <v>47</v>
      </c>
      <c r="G517" s="2">
        <v>2028</v>
      </c>
      <c r="H517" s="2">
        <v>2.85</v>
      </c>
      <c r="I517" s="2"/>
      <c r="J517" s="2"/>
    </row>
    <row r="518" spans="1:10" ht="14.25" customHeight="1" x14ac:dyDescent="0.35">
      <c r="A518" s="2" t="s">
        <v>570</v>
      </c>
      <c r="B518" s="2" t="s">
        <v>147</v>
      </c>
      <c r="C518" s="2" t="s">
        <v>474</v>
      </c>
      <c r="D518" s="2" t="s">
        <v>571</v>
      </c>
      <c r="E518" s="3" t="s">
        <v>572</v>
      </c>
      <c r="F518" s="2" t="s">
        <v>47</v>
      </c>
      <c r="G518" s="2">
        <v>2029</v>
      </c>
      <c r="H518" s="2">
        <v>2.95</v>
      </c>
      <c r="I518" s="2"/>
      <c r="J518" s="2"/>
    </row>
    <row r="519" spans="1:10" ht="14.25" customHeight="1" x14ac:dyDescent="0.35">
      <c r="A519" s="2" t="s">
        <v>570</v>
      </c>
      <c r="B519" s="2" t="s">
        <v>147</v>
      </c>
      <c r="C519" s="2" t="s">
        <v>474</v>
      </c>
      <c r="D519" s="2" t="s">
        <v>571</v>
      </c>
      <c r="E519" s="3" t="s">
        <v>572</v>
      </c>
      <c r="F519" s="2" t="s">
        <v>47</v>
      </c>
      <c r="G519" s="2">
        <v>2045</v>
      </c>
      <c r="H519" s="2">
        <v>4.09</v>
      </c>
      <c r="I519" s="2"/>
      <c r="J519" s="2"/>
    </row>
    <row r="520" spans="1:10" ht="14.25" customHeight="1" x14ac:dyDescent="0.35">
      <c r="A520" s="2" t="s">
        <v>574</v>
      </c>
      <c r="B520" s="2" t="s">
        <v>147</v>
      </c>
      <c r="C520" s="2" t="s">
        <v>575</v>
      </c>
      <c r="D520" s="2" t="s">
        <v>577</v>
      </c>
      <c r="E520" s="3" t="s">
        <v>578</v>
      </c>
      <c r="F520" s="2" t="s">
        <v>21</v>
      </c>
      <c r="G520" s="2">
        <v>2021</v>
      </c>
      <c r="H520" s="2">
        <v>50.08</v>
      </c>
      <c r="I520" s="2"/>
      <c r="J520" s="2"/>
    </row>
    <row r="521" spans="1:10" ht="14.25" customHeight="1" x14ac:dyDescent="0.35">
      <c r="A521" s="2" t="s">
        <v>574</v>
      </c>
      <c r="B521" s="2" t="s">
        <v>147</v>
      </c>
      <c r="C521" s="2" t="s">
        <v>575</v>
      </c>
      <c r="D521" s="2" t="s">
        <v>577</v>
      </c>
      <c r="E521" s="3" t="s">
        <v>578</v>
      </c>
      <c r="F521" s="2" t="s">
        <v>21</v>
      </c>
      <c r="G521" s="2">
        <v>2022</v>
      </c>
      <c r="H521" s="2">
        <v>55.4</v>
      </c>
      <c r="I521" s="2"/>
      <c r="J521" s="2"/>
    </row>
    <row r="522" spans="1:10" ht="14.25" customHeight="1" x14ac:dyDescent="0.35">
      <c r="A522" s="2" t="s">
        <v>574</v>
      </c>
      <c r="B522" s="2" t="s">
        <v>147</v>
      </c>
      <c r="C522" s="2" t="s">
        <v>575</v>
      </c>
      <c r="D522" s="2" t="s">
        <v>577</v>
      </c>
      <c r="E522" s="3" t="s">
        <v>578</v>
      </c>
      <c r="F522" s="2" t="s">
        <v>21</v>
      </c>
      <c r="G522" s="2">
        <v>2023</v>
      </c>
      <c r="H522" s="2">
        <v>56.7</v>
      </c>
      <c r="I522" s="2"/>
      <c r="J522" s="2"/>
    </row>
    <row r="523" spans="1:10" ht="14.25" customHeight="1" x14ac:dyDescent="0.35">
      <c r="A523" s="2" t="s">
        <v>574</v>
      </c>
      <c r="B523" s="2" t="s">
        <v>147</v>
      </c>
      <c r="C523" s="2" t="s">
        <v>575</v>
      </c>
      <c r="D523" s="2" t="s">
        <v>577</v>
      </c>
      <c r="E523" s="3" t="s">
        <v>578</v>
      </c>
      <c r="F523" s="2" t="s">
        <v>21</v>
      </c>
      <c r="G523" s="2">
        <v>2024</v>
      </c>
      <c r="H523" s="2">
        <v>51.81</v>
      </c>
      <c r="I523" s="2"/>
      <c r="J523" s="2"/>
    </row>
    <row r="524" spans="1:10" ht="14.25" customHeight="1" x14ac:dyDescent="0.35">
      <c r="A524" s="2" t="s">
        <v>574</v>
      </c>
      <c r="B524" s="2" t="s">
        <v>147</v>
      </c>
      <c r="C524" s="2" t="s">
        <v>575</v>
      </c>
      <c r="D524" s="2" t="s">
        <v>577</v>
      </c>
      <c r="E524" s="3" t="s">
        <v>578</v>
      </c>
      <c r="F524" s="2" t="s">
        <v>47</v>
      </c>
      <c r="G524" s="2">
        <v>2025</v>
      </c>
      <c r="H524" s="2">
        <v>57.87</v>
      </c>
      <c r="I524" s="2"/>
      <c r="J524" s="2"/>
    </row>
    <row r="525" spans="1:10" ht="14.25" customHeight="1" x14ac:dyDescent="0.35">
      <c r="A525" s="2" t="s">
        <v>574</v>
      </c>
      <c r="B525" s="2" t="s">
        <v>147</v>
      </c>
      <c r="C525" s="2" t="s">
        <v>575</v>
      </c>
      <c r="D525" s="2" t="s">
        <v>577</v>
      </c>
      <c r="E525" s="3" t="s">
        <v>578</v>
      </c>
      <c r="F525" s="2" t="s">
        <v>47</v>
      </c>
      <c r="G525" s="2">
        <v>2026</v>
      </c>
      <c r="H525" s="2">
        <v>58.4</v>
      </c>
      <c r="I525" s="2"/>
      <c r="J525" s="2"/>
    </row>
    <row r="526" spans="1:10" ht="14.25" customHeight="1" x14ac:dyDescent="0.35">
      <c r="A526" s="2" t="s">
        <v>574</v>
      </c>
      <c r="B526" s="2" t="s">
        <v>147</v>
      </c>
      <c r="C526" s="2" t="s">
        <v>575</v>
      </c>
      <c r="D526" s="2" t="s">
        <v>577</v>
      </c>
      <c r="E526" s="3" t="s">
        <v>578</v>
      </c>
      <c r="F526" s="2" t="s">
        <v>47</v>
      </c>
      <c r="G526" s="2">
        <v>2027</v>
      </c>
      <c r="H526" s="2">
        <v>58.93</v>
      </c>
      <c r="I526" s="2"/>
      <c r="J526" s="2"/>
    </row>
    <row r="527" spans="1:10" ht="14.25" customHeight="1" x14ac:dyDescent="0.35">
      <c r="A527" s="2" t="s">
        <v>574</v>
      </c>
      <c r="B527" s="2" t="s">
        <v>147</v>
      </c>
      <c r="C527" s="2" t="s">
        <v>575</v>
      </c>
      <c r="D527" s="2" t="s">
        <v>577</v>
      </c>
      <c r="E527" s="3" t="s">
        <v>578</v>
      </c>
      <c r="F527" s="2" t="s">
        <v>47</v>
      </c>
      <c r="G527" s="2">
        <v>2028</v>
      </c>
      <c r="H527" s="2">
        <v>59.46</v>
      </c>
      <c r="I527" s="2"/>
      <c r="J527" s="2"/>
    </row>
    <row r="528" spans="1:10" ht="14.25" customHeight="1" x14ac:dyDescent="0.35">
      <c r="A528" s="2" t="s">
        <v>574</v>
      </c>
      <c r="B528" s="2" t="s">
        <v>147</v>
      </c>
      <c r="C528" s="2" t="s">
        <v>575</v>
      </c>
      <c r="D528" s="2" t="s">
        <v>577</v>
      </c>
      <c r="E528" s="3" t="s">
        <v>578</v>
      </c>
      <c r="F528" s="2" t="s">
        <v>47</v>
      </c>
      <c r="G528" s="2">
        <v>2029</v>
      </c>
      <c r="H528" s="2">
        <v>59.99</v>
      </c>
      <c r="I528" s="2"/>
      <c r="J528" s="2"/>
    </row>
    <row r="529" spans="1:10" ht="14.25" customHeight="1" x14ac:dyDescent="0.35">
      <c r="A529" s="2" t="s">
        <v>574</v>
      </c>
      <c r="B529" s="2" t="s">
        <v>147</v>
      </c>
      <c r="C529" s="2" t="s">
        <v>575</v>
      </c>
      <c r="D529" s="2" t="s">
        <v>577</v>
      </c>
      <c r="E529" s="3" t="s">
        <v>578</v>
      </c>
      <c r="F529" s="2" t="s">
        <v>47</v>
      </c>
      <c r="G529" s="2">
        <v>2045</v>
      </c>
      <c r="H529" s="2">
        <v>66.87</v>
      </c>
      <c r="I529" s="2"/>
      <c r="J529" s="2"/>
    </row>
    <row r="530" spans="1:10" ht="14.25" customHeight="1" x14ac:dyDescent="0.35">
      <c r="A530" s="2" t="s">
        <v>584</v>
      </c>
      <c r="B530" s="2" t="s">
        <v>147</v>
      </c>
      <c r="C530" s="2" t="s">
        <v>575</v>
      </c>
      <c r="D530" s="2" t="s">
        <v>585</v>
      </c>
      <c r="E530" s="3" t="s">
        <v>586</v>
      </c>
      <c r="F530" s="2" t="s">
        <v>21</v>
      </c>
      <c r="G530" s="2">
        <v>2021</v>
      </c>
      <c r="H530" s="2">
        <v>75.63</v>
      </c>
      <c r="I530" s="2"/>
      <c r="J530" s="2"/>
    </row>
    <row r="531" spans="1:10" ht="14.25" customHeight="1" x14ac:dyDescent="0.35">
      <c r="A531" s="2" t="s">
        <v>584</v>
      </c>
      <c r="B531" s="2" t="s">
        <v>147</v>
      </c>
      <c r="C531" s="2" t="s">
        <v>575</v>
      </c>
      <c r="D531" s="2" t="s">
        <v>585</v>
      </c>
      <c r="E531" s="3" t="s">
        <v>586</v>
      </c>
      <c r="F531" s="2" t="s">
        <v>21</v>
      </c>
      <c r="G531" s="2">
        <v>2022</v>
      </c>
      <c r="H531" s="2">
        <v>80.95</v>
      </c>
      <c r="I531" s="2"/>
      <c r="J531" s="2"/>
    </row>
    <row r="532" spans="1:10" ht="14.25" customHeight="1" x14ac:dyDescent="0.35">
      <c r="A532" s="2" t="s">
        <v>584</v>
      </c>
      <c r="B532" s="2" t="s">
        <v>147</v>
      </c>
      <c r="C532" s="2" t="s">
        <v>575</v>
      </c>
      <c r="D532" s="2" t="s">
        <v>585</v>
      </c>
      <c r="E532" s="3" t="s">
        <v>586</v>
      </c>
      <c r="F532" s="2" t="s">
        <v>21</v>
      </c>
      <c r="G532" s="2">
        <v>2023</v>
      </c>
      <c r="H532" s="2">
        <v>81.180000000000007</v>
      </c>
      <c r="I532" s="2"/>
      <c r="J532" s="2"/>
    </row>
    <row r="533" spans="1:10" ht="14.25" customHeight="1" x14ac:dyDescent="0.35">
      <c r="A533" s="2" t="s">
        <v>584</v>
      </c>
      <c r="B533" s="2" t="s">
        <v>147</v>
      </c>
      <c r="C533" s="2" t="s">
        <v>575</v>
      </c>
      <c r="D533" s="2" t="s">
        <v>585</v>
      </c>
      <c r="E533" s="3" t="s">
        <v>586</v>
      </c>
      <c r="F533" s="2" t="s">
        <v>21</v>
      </c>
      <c r="G533" s="2">
        <v>2024</v>
      </c>
      <c r="H533" s="2">
        <v>78.94</v>
      </c>
      <c r="I533" s="2"/>
      <c r="J533" s="2"/>
    </row>
    <row r="534" spans="1:10" ht="14.25" customHeight="1" x14ac:dyDescent="0.35">
      <c r="A534" s="2" t="s">
        <v>584</v>
      </c>
      <c r="B534" s="2" t="s">
        <v>147</v>
      </c>
      <c r="C534" s="2" t="s">
        <v>575</v>
      </c>
      <c r="D534" s="2" t="s">
        <v>585</v>
      </c>
      <c r="E534" s="3" t="s">
        <v>586</v>
      </c>
      <c r="F534" s="2" t="s">
        <v>21</v>
      </c>
      <c r="G534" s="2">
        <v>2025</v>
      </c>
      <c r="H534" s="2">
        <v>87.23</v>
      </c>
      <c r="I534" s="2"/>
      <c r="J534" s="2"/>
    </row>
    <row r="535" spans="1:10" ht="14.25" customHeight="1" x14ac:dyDescent="0.35">
      <c r="A535" s="2" t="s">
        <v>584</v>
      </c>
      <c r="B535" s="2" t="s">
        <v>147</v>
      </c>
      <c r="C535" s="2" t="s">
        <v>575</v>
      </c>
      <c r="D535" s="2" t="s">
        <v>585</v>
      </c>
      <c r="E535" s="3" t="s">
        <v>586</v>
      </c>
      <c r="F535" s="2" t="s">
        <v>47</v>
      </c>
      <c r="G535" s="2">
        <v>2025</v>
      </c>
      <c r="H535" s="2">
        <v>79.239999999999995</v>
      </c>
      <c r="I535" s="2"/>
      <c r="J535" s="2"/>
    </row>
    <row r="536" spans="1:10" ht="14.25" customHeight="1" x14ac:dyDescent="0.35">
      <c r="A536" s="2" t="s">
        <v>584</v>
      </c>
      <c r="B536" s="2" t="s">
        <v>147</v>
      </c>
      <c r="C536" s="2" t="s">
        <v>575</v>
      </c>
      <c r="D536" s="2" t="s">
        <v>585</v>
      </c>
      <c r="E536" s="3" t="s">
        <v>586</v>
      </c>
      <c r="F536" s="2" t="s">
        <v>47</v>
      </c>
      <c r="G536" s="2">
        <v>2026</v>
      </c>
      <c r="H536" s="2">
        <v>79.62</v>
      </c>
      <c r="I536" s="2"/>
      <c r="J536" s="2"/>
    </row>
    <row r="537" spans="1:10" ht="14.25" customHeight="1" x14ac:dyDescent="0.35">
      <c r="A537" s="2" t="s">
        <v>584</v>
      </c>
      <c r="B537" s="2" t="s">
        <v>147</v>
      </c>
      <c r="C537" s="2" t="s">
        <v>575</v>
      </c>
      <c r="D537" s="2" t="s">
        <v>585</v>
      </c>
      <c r="E537" s="3" t="s">
        <v>586</v>
      </c>
      <c r="F537" s="2" t="s">
        <v>47</v>
      </c>
      <c r="G537" s="2">
        <v>2027</v>
      </c>
      <c r="H537" s="2">
        <v>80.010000000000005</v>
      </c>
      <c r="I537" s="2"/>
      <c r="J537" s="2"/>
    </row>
    <row r="538" spans="1:10" ht="14.25" customHeight="1" x14ac:dyDescent="0.35">
      <c r="A538" s="2" t="s">
        <v>584</v>
      </c>
      <c r="B538" s="2" t="s">
        <v>147</v>
      </c>
      <c r="C538" s="2" t="s">
        <v>575</v>
      </c>
      <c r="D538" s="2" t="s">
        <v>585</v>
      </c>
      <c r="E538" s="3" t="s">
        <v>586</v>
      </c>
      <c r="F538" s="2" t="s">
        <v>47</v>
      </c>
      <c r="G538" s="2">
        <v>2028</v>
      </c>
      <c r="H538" s="2">
        <v>80.39</v>
      </c>
      <c r="I538" s="2"/>
      <c r="J538" s="2"/>
    </row>
    <row r="539" spans="1:10" ht="14.25" customHeight="1" x14ac:dyDescent="0.35">
      <c r="A539" s="2" t="s">
        <v>584</v>
      </c>
      <c r="B539" s="2" t="s">
        <v>147</v>
      </c>
      <c r="C539" s="2" t="s">
        <v>575</v>
      </c>
      <c r="D539" s="2" t="s">
        <v>585</v>
      </c>
      <c r="E539" s="3" t="s">
        <v>586</v>
      </c>
      <c r="F539" s="2" t="s">
        <v>47</v>
      </c>
      <c r="G539" s="2">
        <v>2029</v>
      </c>
      <c r="H539" s="2">
        <v>80.77</v>
      </c>
      <c r="I539" s="2"/>
      <c r="J539" s="2"/>
    </row>
    <row r="540" spans="1:10" ht="14.25" customHeight="1" x14ac:dyDescent="0.35">
      <c r="A540" s="2" t="s">
        <v>584</v>
      </c>
      <c r="B540" s="2" t="s">
        <v>147</v>
      </c>
      <c r="C540" s="2" t="s">
        <v>575</v>
      </c>
      <c r="D540" s="2" t="s">
        <v>585</v>
      </c>
      <c r="E540" s="3" t="s">
        <v>586</v>
      </c>
      <c r="F540" s="2" t="s">
        <v>47</v>
      </c>
      <c r="G540" s="2">
        <v>2045</v>
      </c>
      <c r="H540" s="2">
        <v>89.56</v>
      </c>
      <c r="I540" s="2"/>
      <c r="J540" s="2"/>
    </row>
    <row r="541" spans="1:10" ht="14.25" customHeight="1" x14ac:dyDescent="0.35">
      <c r="A541" s="2" t="s">
        <v>592</v>
      </c>
      <c r="B541" s="2" t="s">
        <v>147</v>
      </c>
      <c r="C541" s="2" t="s">
        <v>575</v>
      </c>
      <c r="D541" s="2" t="s">
        <v>594</v>
      </c>
      <c r="E541" s="3" t="s">
        <v>595</v>
      </c>
      <c r="F541" s="2" t="s">
        <v>21</v>
      </c>
      <c r="G541" s="2">
        <v>2021</v>
      </c>
      <c r="H541" s="2">
        <v>71.709999999999994</v>
      </c>
      <c r="I541" s="2"/>
      <c r="J541" s="2"/>
    </row>
    <row r="542" spans="1:10" ht="14.25" customHeight="1" x14ac:dyDescent="0.35">
      <c r="A542" s="2" t="s">
        <v>592</v>
      </c>
      <c r="B542" s="2" t="s">
        <v>147</v>
      </c>
      <c r="C542" s="2" t="s">
        <v>575</v>
      </c>
      <c r="D542" s="2" t="s">
        <v>594</v>
      </c>
      <c r="E542" s="3" t="s">
        <v>595</v>
      </c>
      <c r="F542" s="2" t="s">
        <v>21</v>
      </c>
      <c r="G542" s="2">
        <v>2022</v>
      </c>
      <c r="H542" s="2">
        <v>75.94</v>
      </c>
      <c r="I542" s="2"/>
      <c r="J542" s="2"/>
    </row>
    <row r="543" spans="1:10" ht="14.25" customHeight="1" x14ac:dyDescent="0.35">
      <c r="A543" s="2" t="s">
        <v>592</v>
      </c>
      <c r="B543" s="2" t="s">
        <v>147</v>
      </c>
      <c r="C543" s="2" t="s">
        <v>575</v>
      </c>
      <c r="D543" s="2" t="s">
        <v>594</v>
      </c>
      <c r="E543" s="3" t="s">
        <v>595</v>
      </c>
      <c r="F543" s="2" t="s">
        <v>21</v>
      </c>
      <c r="G543" s="2">
        <v>2023</v>
      </c>
      <c r="H543" s="2">
        <v>74.03</v>
      </c>
      <c r="I543" s="2"/>
      <c r="J543" s="2"/>
    </row>
    <row r="544" spans="1:10" ht="14.25" customHeight="1" x14ac:dyDescent="0.35">
      <c r="A544" s="2" t="s">
        <v>592</v>
      </c>
      <c r="B544" s="2" t="s">
        <v>147</v>
      </c>
      <c r="C544" s="2" t="s">
        <v>575</v>
      </c>
      <c r="D544" s="2" t="s">
        <v>594</v>
      </c>
      <c r="E544" s="3" t="s">
        <v>595</v>
      </c>
      <c r="F544" s="2" t="s">
        <v>47</v>
      </c>
      <c r="G544" s="2">
        <v>2025</v>
      </c>
      <c r="H544" s="2">
        <v>77.5</v>
      </c>
      <c r="I544" s="2"/>
      <c r="J544" s="2"/>
    </row>
    <row r="545" spans="1:10" ht="14.25" customHeight="1" x14ac:dyDescent="0.35">
      <c r="A545" s="2" t="s">
        <v>592</v>
      </c>
      <c r="B545" s="2" t="s">
        <v>147</v>
      </c>
      <c r="C545" s="2" t="s">
        <v>575</v>
      </c>
      <c r="D545" s="2" t="s">
        <v>594</v>
      </c>
      <c r="E545" s="3" t="s">
        <v>595</v>
      </c>
      <c r="F545" s="2" t="s">
        <v>47</v>
      </c>
      <c r="G545" s="2">
        <v>2026</v>
      </c>
      <c r="H545" s="2">
        <v>78.150000000000006</v>
      </c>
      <c r="I545" s="2"/>
      <c r="J545" s="2"/>
    </row>
    <row r="546" spans="1:10" ht="14.25" customHeight="1" x14ac:dyDescent="0.35">
      <c r="A546" s="2" t="s">
        <v>592</v>
      </c>
      <c r="B546" s="2" t="s">
        <v>147</v>
      </c>
      <c r="C546" s="2" t="s">
        <v>575</v>
      </c>
      <c r="D546" s="2" t="s">
        <v>594</v>
      </c>
      <c r="E546" s="3" t="s">
        <v>595</v>
      </c>
      <c r="F546" s="2" t="s">
        <v>47</v>
      </c>
      <c r="G546" s="2">
        <v>2027</v>
      </c>
      <c r="H546" s="2">
        <v>78.8</v>
      </c>
      <c r="I546" s="2"/>
      <c r="J546" s="2"/>
    </row>
    <row r="547" spans="1:10" ht="14.25" customHeight="1" x14ac:dyDescent="0.35">
      <c r="A547" s="2" t="s">
        <v>592</v>
      </c>
      <c r="B547" s="2" t="s">
        <v>147</v>
      </c>
      <c r="C547" s="2" t="s">
        <v>575</v>
      </c>
      <c r="D547" s="2" t="s">
        <v>594</v>
      </c>
      <c r="E547" s="3" t="s">
        <v>595</v>
      </c>
      <c r="F547" s="2" t="s">
        <v>47</v>
      </c>
      <c r="G547" s="2">
        <v>2028</v>
      </c>
      <c r="H547" s="2">
        <v>79.44</v>
      </c>
      <c r="I547" s="2"/>
      <c r="J547" s="2"/>
    </row>
    <row r="548" spans="1:10" ht="14.25" customHeight="1" x14ac:dyDescent="0.35">
      <c r="A548" s="2" t="s">
        <v>592</v>
      </c>
      <c r="B548" s="2" t="s">
        <v>147</v>
      </c>
      <c r="C548" s="2" t="s">
        <v>575</v>
      </c>
      <c r="D548" s="2" t="s">
        <v>594</v>
      </c>
      <c r="E548" s="3" t="s">
        <v>595</v>
      </c>
      <c r="F548" s="2" t="s">
        <v>47</v>
      </c>
      <c r="G548" s="2">
        <v>2029</v>
      </c>
      <c r="H548" s="2">
        <v>80.09</v>
      </c>
      <c r="I548" s="2"/>
      <c r="J548" s="2"/>
    </row>
    <row r="549" spans="1:10" ht="14.25" customHeight="1" x14ac:dyDescent="0.35">
      <c r="A549" s="2" t="s">
        <v>592</v>
      </c>
      <c r="B549" s="2" t="s">
        <v>147</v>
      </c>
      <c r="C549" s="2" t="s">
        <v>575</v>
      </c>
      <c r="D549" s="2" t="s">
        <v>594</v>
      </c>
      <c r="E549" s="3" t="s">
        <v>595</v>
      </c>
      <c r="F549" s="2" t="s">
        <v>47</v>
      </c>
      <c r="G549" s="2">
        <v>2045</v>
      </c>
      <c r="H549" s="2"/>
      <c r="I549" s="2" t="s">
        <v>600</v>
      </c>
      <c r="J549" s="2" t="s">
        <v>285</v>
      </c>
    </row>
    <row r="550" spans="1:10" ht="14.25" customHeight="1" x14ac:dyDescent="0.35">
      <c r="A550" s="2" t="s">
        <v>603</v>
      </c>
      <c r="B550" s="2" t="s">
        <v>147</v>
      </c>
      <c r="C550" s="2" t="s">
        <v>575</v>
      </c>
      <c r="D550" s="2" t="s">
        <v>604</v>
      </c>
      <c r="E550" s="3" t="s">
        <v>605</v>
      </c>
      <c r="F550" s="2" t="s">
        <v>21</v>
      </c>
      <c r="G550" s="2">
        <v>2021</v>
      </c>
      <c r="H550" s="2">
        <v>0.47199999999999998</v>
      </c>
      <c r="I550" s="2"/>
      <c r="J550" s="2"/>
    </row>
    <row r="551" spans="1:10" ht="14.25" customHeight="1" x14ac:dyDescent="0.35">
      <c r="A551" s="2" t="s">
        <v>603</v>
      </c>
      <c r="B551" s="2" t="s">
        <v>147</v>
      </c>
      <c r="C551" s="2" t="s">
        <v>575</v>
      </c>
      <c r="D551" s="2" t="s">
        <v>604</v>
      </c>
      <c r="E551" s="3" t="s">
        <v>605</v>
      </c>
      <c r="F551" s="2" t="s">
        <v>21</v>
      </c>
      <c r="G551" s="2">
        <v>2022</v>
      </c>
      <c r="H551" s="2">
        <v>0.44400000000000001</v>
      </c>
      <c r="I551" s="2"/>
      <c r="J551" s="2"/>
    </row>
    <row r="552" spans="1:10" ht="14.25" customHeight="1" x14ac:dyDescent="0.35">
      <c r="A552" s="2" t="s">
        <v>603</v>
      </c>
      <c r="B552" s="2" t="s">
        <v>147</v>
      </c>
      <c r="C552" s="2" t="s">
        <v>575</v>
      </c>
      <c r="D552" s="2" t="s">
        <v>604</v>
      </c>
      <c r="E552" s="3" t="s">
        <v>605</v>
      </c>
      <c r="F552" s="2" t="s">
        <v>21</v>
      </c>
      <c r="G552" s="2">
        <v>2023</v>
      </c>
      <c r="H552" s="2">
        <v>0.45200000000000001</v>
      </c>
      <c r="I552" s="2"/>
      <c r="J552" s="2"/>
    </row>
    <row r="553" spans="1:10" ht="14.25" customHeight="1" x14ac:dyDescent="0.35">
      <c r="A553" s="2" t="s">
        <v>603</v>
      </c>
      <c r="B553" s="2" t="s">
        <v>147</v>
      </c>
      <c r="C553" s="2" t="s">
        <v>575</v>
      </c>
      <c r="D553" s="2" t="s">
        <v>604</v>
      </c>
      <c r="E553" s="3" t="s">
        <v>605</v>
      </c>
      <c r="F553" s="2" t="s">
        <v>21</v>
      </c>
      <c r="G553" s="2">
        <v>2024</v>
      </c>
      <c r="H553" s="2">
        <v>0.41799999999999998</v>
      </c>
      <c r="I553" s="2"/>
      <c r="J553" s="2"/>
    </row>
    <row r="554" spans="1:10" ht="14.25" customHeight="1" x14ac:dyDescent="0.35">
      <c r="A554" s="2" t="s">
        <v>603</v>
      </c>
      <c r="B554" s="2" t="s">
        <v>147</v>
      </c>
      <c r="C554" s="2" t="s">
        <v>575</v>
      </c>
      <c r="D554" s="2" t="s">
        <v>604</v>
      </c>
      <c r="E554" s="3" t="s">
        <v>605</v>
      </c>
      <c r="F554" s="2" t="s">
        <v>21</v>
      </c>
      <c r="G554" s="2">
        <v>2025</v>
      </c>
      <c r="H554" s="2">
        <v>0.34</v>
      </c>
      <c r="I554" s="2"/>
      <c r="J554" s="2"/>
    </row>
    <row r="555" spans="1:10" ht="14.25" customHeight="1" x14ac:dyDescent="0.35">
      <c r="A555" s="2" t="s">
        <v>603</v>
      </c>
      <c r="B555" s="2" t="s">
        <v>147</v>
      </c>
      <c r="C555" s="2" t="s">
        <v>575</v>
      </c>
      <c r="D555" s="2" t="s">
        <v>604</v>
      </c>
      <c r="E555" s="3" t="s">
        <v>605</v>
      </c>
      <c r="F555" s="2" t="s">
        <v>47</v>
      </c>
      <c r="G555" s="2">
        <v>2025</v>
      </c>
      <c r="H555" s="2">
        <v>0.43</v>
      </c>
      <c r="I555" s="2"/>
      <c r="J555" s="2"/>
    </row>
    <row r="556" spans="1:10" ht="14.25" customHeight="1" x14ac:dyDescent="0.35">
      <c r="A556" s="2" t="s">
        <v>603</v>
      </c>
      <c r="B556" s="2" t="s">
        <v>147</v>
      </c>
      <c r="C556" s="2" t="s">
        <v>575</v>
      </c>
      <c r="D556" s="2" t="s">
        <v>604</v>
      </c>
      <c r="E556" s="3" t="s">
        <v>605</v>
      </c>
      <c r="F556" s="2" t="s">
        <v>47</v>
      </c>
      <c r="G556" s="2">
        <v>2026</v>
      </c>
      <c r="H556" s="2">
        <v>0.43</v>
      </c>
      <c r="I556" s="2"/>
      <c r="J556" s="2"/>
    </row>
    <row r="557" spans="1:10" ht="14.25" customHeight="1" x14ac:dyDescent="0.35">
      <c r="A557" s="2" t="s">
        <v>603</v>
      </c>
      <c r="B557" s="2" t="s">
        <v>147</v>
      </c>
      <c r="C557" s="2" t="s">
        <v>575</v>
      </c>
      <c r="D557" s="2" t="s">
        <v>604</v>
      </c>
      <c r="E557" s="3" t="s">
        <v>605</v>
      </c>
      <c r="F557" s="2" t="s">
        <v>47</v>
      </c>
      <c r="G557" s="2">
        <v>2027</v>
      </c>
      <c r="H557" s="2">
        <v>0.42</v>
      </c>
      <c r="I557" s="2"/>
      <c r="J557" s="2"/>
    </row>
    <row r="558" spans="1:10" ht="14.25" customHeight="1" x14ac:dyDescent="0.35">
      <c r="A558" s="2" t="s">
        <v>603</v>
      </c>
      <c r="B558" s="2" t="s">
        <v>147</v>
      </c>
      <c r="C558" s="2" t="s">
        <v>575</v>
      </c>
      <c r="D558" s="2" t="s">
        <v>604</v>
      </c>
      <c r="E558" s="3" t="s">
        <v>605</v>
      </c>
      <c r="F558" s="2" t="s">
        <v>47</v>
      </c>
      <c r="G558" s="2">
        <v>2028</v>
      </c>
      <c r="H558" s="2">
        <v>0.41</v>
      </c>
      <c r="I558" s="2"/>
      <c r="J558" s="2"/>
    </row>
    <row r="559" spans="1:10" ht="14.25" customHeight="1" x14ac:dyDescent="0.35">
      <c r="A559" s="2" t="s">
        <v>603</v>
      </c>
      <c r="B559" s="2" t="s">
        <v>147</v>
      </c>
      <c r="C559" s="2" t="s">
        <v>575</v>
      </c>
      <c r="D559" s="2" t="s">
        <v>604</v>
      </c>
      <c r="E559" s="3" t="s">
        <v>605</v>
      </c>
      <c r="F559" s="2" t="s">
        <v>47</v>
      </c>
      <c r="G559" s="2">
        <v>2029</v>
      </c>
      <c r="H559" s="2">
        <v>0.4</v>
      </c>
      <c r="I559" s="2"/>
      <c r="J559" s="2"/>
    </row>
    <row r="560" spans="1:10" ht="14.25" customHeight="1" x14ac:dyDescent="0.35">
      <c r="A560" s="2" t="s">
        <v>603</v>
      </c>
      <c r="B560" s="2" t="s">
        <v>147</v>
      </c>
      <c r="C560" s="2" t="s">
        <v>575</v>
      </c>
      <c r="D560" s="2" t="s">
        <v>604</v>
      </c>
      <c r="E560" s="3" t="s">
        <v>605</v>
      </c>
      <c r="F560" s="2" t="s">
        <v>47</v>
      </c>
      <c r="G560" s="2">
        <v>2045</v>
      </c>
      <c r="H560" s="2">
        <v>0.21299999999999999</v>
      </c>
      <c r="I560" s="2"/>
      <c r="J560" s="2"/>
    </row>
    <row r="561" spans="1:10" ht="14.25" customHeight="1" x14ac:dyDescent="0.35">
      <c r="A561" s="2" t="s">
        <v>610</v>
      </c>
      <c r="B561" s="2" t="s">
        <v>147</v>
      </c>
      <c r="C561" s="2" t="s">
        <v>575</v>
      </c>
      <c r="D561" s="2" t="s">
        <v>612</v>
      </c>
      <c r="E561" s="3" t="s">
        <v>613</v>
      </c>
      <c r="F561" s="2" t="s">
        <v>47</v>
      </c>
      <c r="G561" s="2">
        <v>2025</v>
      </c>
      <c r="H561" s="2">
        <v>0.434</v>
      </c>
      <c r="I561" s="2"/>
      <c r="J561" s="2"/>
    </row>
    <row r="562" spans="1:10" ht="14.25" customHeight="1" x14ac:dyDescent="0.35">
      <c r="A562" s="2" t="s">
        <v>610</v>
      </c>
      <c r="B562" s="2" t="s">
        <v>147</v>
      </c>
      <c r="C562" s="2" t="s">
        <v>575</v>
      </c>
      <c r="D562" s="2" t="s">
        <v>612</v>
      </c>
      <c r="E562" s="3" t="s">
        <v>613</v>
      </c>
      <c r="F562" s="2" t="s">
        <v>47</v>
      </c>
      <c r="G562" s="2">
        <v>2026</v>
      </c>
      <c r="H562" s="2">
        <v>0.437</v>
      </c>
      <c r="I562" s="2"/>
      <c r="J562" s="2"/>
    </row>
    <row r="563" spans="1:10" ht="14.25" customHeight="1" x14ac:dyDescent="0.35">
      <c r="A563" s="2" t="s">
        <v>610</v>
      </c>
      <c r="B563" s="2" t="s">
        <v>147</v>
      </c>
      <c r="C563" s="2" t="s">
        <v>575</v>
      </c>
      <c r="D563" s="2" t="s">
        <v>612</v>
      </c>
      <c r="E563" s="3" t="s">
        <v>613</v>
      </c>
      <c r="F563" s="2" t="s">
        <v>47</v>
      </c>
      <c r="G563" s="2">
        <v>2027</v>
      </c>
      <c r="H563" s="2">
        <v>0.44</v>
      </c>
      <c r="I563" s="2"/>
      <c r="J563" s="2"/>
    </row>
    <row r="564" spans="1:10" ht="14.25" customHeight="1" x14ac:dyDescent="0.35">
      <c r="A564" s="2" t="s">
        <v>610</v>
      </c>
      <c r="B564" s="2" t="s">
        <v>147</v>
      </c>
      <c r="C564" s="2" t="s">
        <v>575</v>
      </c>
      <c r="D564" s="2" t="s">
        <v>612</v>
      </c>
      <c r="E564" s="3" t="s">
        <v>613</v>
      </c>
      <c r="F564" s="2" t="s">
        <v>47</v>
      </c>
      <c r="G564" s="2">
        <v>2028</v>
      </c>
      <c r="H564" s="2">
        <v>0.44700000000000001</v>
      </c>
      <c r="I564" s="2"/>
      <c r="J564" s="2"/>
    </row>
    <row r="565" spans="1:10" ht="14.25" customHeight="1" x14ac:dyDescent="0.35">
      <c r="A565" s="2" t="s">
        <v>610</v>
      </c>
      <c r="B565" s="2" t="s">
        <v>147</v>
      </c>
      <c r="C565" s="2" t="s">
        <v>575</v>
      </c>
      <c r="D565" s="2" t="s">
        <v>612</v>
      </c>
      <c r="E565" s="3" t="s">
        <v>613</v>
      </c>
      <c r="F565" s="2" t="s">
        <v>47</v>
      </c>
      <c r="G565" s="2">
        <v>2029</v>
      </c>
      <c r="H565" s="2">
        <v>0.45300000000000001</v>
      </c>
      <c r="I565" s="2"/>
      <c r="J565" s="2"/>
    </row>
    <row r="566" spans="1:10" ht="14.25" customHeight="1" x14ac:dyDescent="0.35">
      <c r="A566" s="2" t="s">
        <v>610</v>
      </c>
      <c r="B566" s="2" t="s">
        <v>147</v>
      </c>
      <c r="C566" s="2" t="s">
        <v>575</v>
      </c>
      <c r="D566" s="2" t="s">
        <v>612</v>
      </c>
      <c r="E566" s="3" t="s">
        <v>613</v>
      </c>
      <c r="F566" s="2" t="s">
        <v>47</v>
      </c>
      <c r="G566" s="2">
        <v>2045</v>
      </c>
      <c r="H566" s="2">
        <v>0.59599999999999997</v>
      </c>
      <c r="I566" s="2"/>
      <c r="J566" s="2"/>
    </row>
    <row r="567" spans="1:10" ht="14.25" customHeight="1" x14ac:dyDescent="0.35">
      <c r="A567" s="2" t="s">
        <v>618</v>
      </c>
      <c r="B567" s="2" t="s">
        <v>147</v>
      </c>
      <c r="C567" s="2" t="s">
        <v>575</v>
      </c>
      <c r="D567" s="2" t="s">
        <v>619</v>
      </c>
      <c r="E567" s="3" t="s">
        <v>620</v>
      </c>
      <c r="F567" s="2" t="s">
        <v>21</v>
      </c>
      <c r="G567" s="2">
        <v>2021</v>
      </c>
      <c r="H567" s="2">
        <v>99.43</v>
      </c>
      <c r="I567" s="2"/>
      <c r="J567" s="2"/>
    </row>
    <row r="568" spans="1:10" ht="14.25" customHeight="1" x14ac:dyDescent="0.35">
      <c r="A568" s="2" t="s">
        <v>618</v>
      </c>
      <c r="B568" s="2" t="s">
        <v>147</v>
      </c>
      <c r="C568" s="2" t="s">
        <v>575</v>
      </c>
      <c r="D568" s="2" t="s">
        <v>619</v>
      </c>
      <c r="E568" s="3" t="s">
        <v>620</v>
      </c>
      <c r="F568" s="2" t="s">
        <v>21</v>
      </c>
      <c r="G568" s="2">
        <v>2022</v>
      </c>
      <c r="H568" s="2">
        <v>94.52</v>
      </c>
      <c r="I568" s="2"/>
      <c r="J568" s="2"/>
    </row>
    <row r="569" spans="1:10" ht="14.25" customHeight="1" x14ac:dyDescent="0.35">
      <c r="A569" s="2" t="s">
        <v>618</v>
      </c>
      <c r="B569" s="2" t="s">
        <v>147</v>
      </c>
      <c r="C569" s="2" t="s">
        <v>575</v>
      </c>
      <c r="D569" s="2" t="s">
        <v>619</v>
      </c>
      <c r="E569" s="3" t="s">
        <v>620</v>
      </c>
      <c r="F569" s="2" t="s">
        <v>21</v>
      </c>
      <c r="G569" s="2">
        <v>2023</v>
      </c>
      <c r="H569" s="2">
        <v>93.91</v>
      </c>
      <c r="I569" s="2"/>
      <c r="J569" s="2"/>
    </row>
    <row r="570" spans="1:10" ht="14.25" customHeight="1" x14ac:dyDescent="0.35">
      <c r="A570" s="2" t="s">
        <v>618</v>
      </c>
      <c r="B570" s="2" t="s">
        <v>147</v>
      </c>
      <c r="C570" s="2" t="s">
        <v>575</v>
      </c>
      <c r="D570" s="2" t="s">
        <v>619</v>
      </c>
      <c r="E570" s="3" t="s">
        <v>620</v>
      </c>
      <c r="F570" s="2" t="s">
        <v>21</v>
      </c>
      <c r="G570" s="2">
        <v>2024</v>
      </c>
      <c r="H570" s="2">
        <v>92.99</v>
      </c>
      <c r="I570" s="2"/>
      <c r="J570" s="2"/>
    </row>
    <row r="571" spans="1:10" ht="14.25" customHeight="1" x14ac:dyDescent="0.35">
      <c r="A571" s="2" t="s">
        <v>618</v>
      </c>
      <c r="B571" s="2" t="s">
        <v>147</v>
      </c>
      <c r="C571" s="2" t="s">
        <v>575</v>
      </c>
      <c r="D571" s="2" t="s">
        <v>619</v>
      </c>
      <c r="E571" s="3" t="s">
        <v>620</v>
      </c>
      <c r="F571" s="2" t="s">
        <v>21</v>
      </c>
      <c r="G571" s="2">
        <v>2025</v>
      </c>
      <c r="H571" s="2">
        <v>91.25</v>
      </c>
      <c r="I571" s="2"/>
      <c r="J571" s="2"/>
    </row>
    <row r="572" spans="1:10" ht="14.25" customHeight="1" x14ac:dyDescent="0.35">
      <c r="A572" s="2" t="s">
        <v>623</v>
      </c>
      <c r="B572" s="2" t="s">
        <v>147</v>
      </c>
      <c r="C572" s="2" t="s">
        <v>575</v>
      </c>
      <c r="D572" s="2" t="s">
        <v>624</v>
      </c>
      <c r="E572" s="3" t="s">
        <v>625</v>
      </c>
      <c r="F572" s="2" t="s">
        <v>21</v>
      </c>
      <c r="G572" s="2">
        <v>2021</v>
      </c>
      <c r="H572" s="2">
        <v>57.34</v>
      </c>
      <c r="I572" s="2"/>
      <c r="J572" s="2"/>
    </row>
    <row r="573" spans="1:10" ht="14.25" customHeight="1" x14ac:dyDescent="0.35">
      <c r="A573" s="2" t="s">
        <v>623</v>
      </c>
      <c r="B573" s="2" t="s">
        <v>147</v>
      </c>
      <c r="C573" s="2" t="s">
        <v>575</v>
      </c>
      <c r="D573" s="2" t="s">
        <v>624</v>
      </c>
      <c r="E573" s="3" t="s">
        <v>625</v>
      </c>
      <c r="F573" s="2" t="s">
        <v>21</v>
      </c>
      <c r="G573" s="2">
        <v>2022</v>
      </c>
      <c r="H573" s="2">
        <v>54.46</v>
      </c>
      <c r="I573" s="2"/>
      <c r="J573" s="2"/>
    </row>
    <row r="574" spans="1:10" ht="14.25" customHeight="1" x14ac:dyDescent="0.35">
      <c r="A574" s="2" t="s">
        <v>623</v>
      </c>
      <c r="B574" s="2" t="s">
        <v>147</v>
      </c>
      <c r="C574" s="2" t="s">
        <v>575</v>
      </c>
      <c r="D574" s="2" t="s">
        <v>624</v>
      </c>
      <c r="E574" s="3" t="s">
        <v>625</v>
      </c>
      <c r="F574" s="2" t="s">
        <v>21</v>
      </c>
      <c r="G574" s="2">
        <v>2023</v>
      </c>
      <c r="H574" s="2">
        <v>55.93</v>
      </c>
      <c r="I574" s="2"/>
      <c r="J574" s="2"/>
    </row>
    <row r="575" spans="1:10" ht="14.25" customHeight="1" x14ac:dyDescent="0.35">
      <c r="A575" s="2" t="s">
        <v>623</v>
      </c>
      <c r="B575" s="2" t="s">
        <v>147</v>
      </c>
      <c r="C575" s="2" t="s">
        <v>575</v>
      </c>
      <c r="D575" s="2" t="s">
        <v>624</v>
      </c>
      <c r="E575" s="3" t="s">
        <v>625</v>
      </c>
      <c r="F575" s="2" t="s">
        <v>21</v>
      </c>
      <c r="G575" s="2">
        <v>2024</v>
      </c>
      <c r="H575" s="2">
        <v>54.31</v>
      </c>
      <c r="I575" s="2"/>
      <c r="J575" s="2"/>
    </row>
    <row r="576" spans="1:10" ht="14.25" customHeight="1" x14ac:dyDescent="0.35">
      <c r="A576" s="2" t="s">
        <v>623</v>
      </c>
      <c r="B576" s="2" t="s">
        <v>147</v>
      </c>
      <c r="C576" s="2" t="s">
        <v>575</v>
      </c>
      <c r="D576" s="2" t="s">
        <v>624</v>
      </c>
      <c r="E576" s="3" t="s">
        <v>625</v>
      </c>
      <c r="F576" s="2" t="s">
        <v>21</v>
      </c>
      <c r="G576" s="2">
        <v>2025</v>
      </c>
      <c r="H576" s="2">
        <v>73.14</v>
      </c>
      <c r="I576" s="2"/>
      <c r="J576" s="2"/>
    </row>
    <row r="577" spans="1:10" ht="14.25" customHeight="1" x14ac:dyDescent="0.35">
      <c r="A577" s="2" t="s">
        <v>626</v>
      </c>
      <c r="B577" s="2" t="s">
        <v>147</v>
      </c>
      <c r="C577" s="2" t="s">
        <v>575</v>
      </c>
      <c r="D577" s="2" t="s">
        <v>627</v>
      </c>
      <c r="E577" s="3" t="s">
        <v>628</v>
      </c>
      <c r="F577" s="2" t="s">
        <v>21</v>
      </c>
      <c r="G577" s="2">
        <v>2021</v>
      </c>
      <c r="H577" s="2">
        <v>99.96</v>
      </c>
      <c r="I577" s="2"/>
      <c r="J577" s="2"/>
    </row>
    <row r="578" spans="1:10" ht="14.25" customHeight="1" x14ac:dyDescent="0.35">
      <c r="A578" s="2" t="s">
        <v>626</v>
      </c>
      <c r="B578" s="2" t="s">
        <v>147</v>
      </c>
      <c r="C578" s="2" t="s">
        <v>575</v>
      </c>
      <c r="D578" s="2" t="s">
        <v>627</v>
      </c>
      <c r="E578" s="3" t="s">
        <v>628</v>
      </c>
      <c r="F578" s="2" t="s">
        <v>21</v>
      </c>
      <c r="G578" s="2">
        <v>2022</v>
      </c>
      <c r="H578" s="2">
        <v>100</v>
      </c>
      <c r="I578" s="2"/>
      <c r="J578" s="2"/>
    </row>
    <row r="579" spans="1:10" ht="14.25" customHeight="1" x14ac:dyDescent="0.35">
      <c r="A579" s="2" t="s">
        <v>626</v>
      </c>
      <c r="B579" s="2" t="s">
        <v>147</v>
      </c>
      <c r="C579" s="2" t="s">
        <v>575</v>
      </c>
      <c r="D579" s="2" t="s">
        <v>627</v>
      </c>
      <c r="E579" s="3" t="s">
        <v>628</v>
      </c>
      <c r="F579" s="2" t="s">
        <v>21</v>
      </c>
      <c r="G579" s="2">
        <v>2023</v>
      </c>
      <c r="H579" s="2">
        <v>100</v>
      </c>
      <c r="I579" s="2"/>
      <c r="J579" s="2"/>
    </row>
    <row r="580" spans="1:10" ht="14.25" customHeight="1" x14ac:dyDescent="0.35">
      <c r="A580" s="2" t="s">
        <v>626</v>
      </c>
      <c r="B580" s="2" t="s">
        <v>147</v>
      </c>
      <c r="C580" s="2" t="s">
        <v>575</v>
      </c>
      <c r="D580" s="2" t="s">
        <v>627</v>
      </c>
      <c r="E580" s="3" t="s">
        <v>628</v>
      </c>
      <c r="F580" s="2" t="s">
        <v>21</v>
      </c>
      <c r="G580" s="2">
        <v>2024</v>
      </c>
      <c r="H580" s="2">
        <v>100</v>
      </c>
      <c r="I580" s="2"/>
      <c r="J580" s="2"/>
    </row>
    <row r="581" spans="1:10" ht="14.25" customHeight="1" x14ac:dyDescent="0.35">
      <c r="A581" s="2" t="s">
        <v>626</v>
      </c>
      <c r="B581" s="2" t="s">
        <v>147</v>
      </c>
      <c r="C581" s="2" t="s">
        <v>575</v>
      </c>
      <c r="D581" s="2" t="s">
        <v>627</v>
      </c>
      <c r="E581" s="3" t="s">
        <v>628</v>
      </c>
      <c r="F581" s="2" t="s">
        <v>21</v>
      </c>
      <c r="G581" s="2">
        <v>2025</v>
      </c>
      <c r="H581" s="2">
        <v>100</v>
      </c>
      <c r="I581" s="2"/>
      <c r="J581" s="2"/>
    </row>
    <row r="582" spans="1:10" ht="14.25" customHeight="1" x14ac:dyDescent="0.35">
      <c r="A582" s="2" t="s">
        <v>629</v>
      </c>
      <c r="B582" s="2" t="s">
        <v>147</v>
      </c>
      <c r="C582" s="2" t="s">
        <v>575</v>
      </c>
      <c r="D582" s="2" t="s">
        <v>630</v>
      </c>
      <c r="E582" s="3" t="s">
        <v>631</v>
      </c>
      <c r="F582" s="2" t="s">
        <v>21</v>
      </c>
      <c r="G582" s="2">
        <v>2021</v>
      </c>
      <c r="H582" s="2">
        <v>81.52</v>
      </c>
      <c r="I582" s="2"/>
      <c r="J582" s="2"/>
    </row>
    <row r="583" spans="1:10" ht="14.25" customHeight="1" x14ac:dyDescent="0.35">
      <c r="A583" s="2" t="s">
        <v>629</v>
      </c>
      <c r="B583" s="2" t="s">
        <v>147</v>
      </c>
      <c r="C583" s="2" t="s">
        <v>575</v>
      </c>
      <c r="D583" s="2" t="s">
        <v>630</v>
      </c>
      <c r="E583" s="3" t="s">
        <v>631</v>
      </c>
      <c r="F583" s="2" t="s">
        <v>21</v>
      </c>
      <c r="G583" s="2">
        <v>2022</v>
      </c>
      <c r="H583" s="2">
        <v>84.85</v>
      </c>
      <c r="I583" s="2"/>
      <c r="J583" s="2"/>
    </row>
    <row r="584" spans="1:10" ht="14.25" customHeight="1" x14ac:dyDescent="0.35">
      <c r="A584" s="2" t="s">
        <v>629</v>
      </c>
      <c r="B584" s="2" t="s">
        <v>147</v>
      </c>
      <c r="C584" s="2" t="s">
        <v>575</v>
      </c>
      <c r="D584" s="2" t="s">
        <v>630</v>
      </c>
      <c r="E584" s="3" t="s">
        <v>631</v>
      </c>
      <c r="F584" s="2" t="s">
        <v>21</v>
      </c>
      <c r="G584" s="2">
        <v>2023</v>
      </c>
      <c r="H584" s="2">
        <v>83.4</v>
      </c>
      <c r="I584" s="2"/>
      <c r="J584" s="2"/>
    </row>
    <row r="585" spans="1:10" ht="14.25" customHeight="1" x14ac:dyDescent="0.35">
      <c r="A585" s="2" t="s">
        <v>629</v>
      </c>
      <c r="B585" s="2" t="s">
        <v>147</v>
      </c>
      <c r="C585" s="2" t="s">
        <v>575</v>
      </c>
      <c r="D585" s="2" t="s">
        <v>630</v>
      </c>
      <c r="E585" s="3" t="s">
        <v>631</v>
      </c>
      <c r="F585" s="2" t="s">
        <v>21</v>
      </c>
      <c r="G585" s="2">
        <v>2024</v>
      </c>
      <c r="H585" s="2">
        <v>84.65</v>
      </c>
      <c r="I585" s="2"/>
      <c r="J585" s="2"/>
    </row>
    <row r="586" spans="1:10" ht="14.25" customHeight="1" x14ac:dyDescent="0.35">
      <c r="A586" s="2" t="s">
        <v>629</v>
      </c>
      <c r="B586" s="2" t="s">
        <v>147</v>
      </c>
      <c r="C586" s="2" t="s">
        <v>575</v>
      </c>
      <c r="D586" s="2" t="s">
        <v>630</v>
      </c>
      <c r="E586" s="3" t="s">
        <v>631</v>
      </c>
      <c r="F586" s="2" t="s">
        <v>21</v>
      </c>
      <c r="G586" s="2">
        <v>2025</v>
      </c>
      <c r="H586" s="2">
        <v>88.58</v>
      </c>
      <c r="I586" s="2"/>
      <c r="J586" s="2"/>
    </row>
    <row r="587" spans="1:10" ht="14.25" customHeight="1" x14ac:dyDescent="0.35">
      <c r="A587" s="2" t="s">
        <v>632</v>
      </c>
      <c r="B587" s="2" t="s">
        <v>147</v>
      </c>
      <c r="C587" s="2" t="s">
        <v>575</v>
      </c>
      <c r="D587" s="2" t="s">
        <v>633</v>
      </c>
      <c r="E587" s="3" t="s">
        <v>634</v>
      </c>
      <c r="F587" s="2" t="s">
        <v>21</v>
      </c>
      <c r="G587" s="2">
        <v>2021</v>
      </c>
      <c r="H587" s="2">
        <v>2.39</v>
      </c>
      <c r="I587" s="2"/>
      <c r="J587" s="2"/>
    </row>
    <row r="588" spans="1:10" ht="14.25" customHeight="1" x14ac:dyDescent="0.35">
      <c r="A588" s="2" t="s">
        <v>632</v>
      </c>
      <c r="B588" s="2" t="s">
        <v>147</v>
      </c>
      <c r="C588" s="2" t="s">
        <v>575</v>
      </c>
      <c r="D588" s="2" t="s">
        <v>633</v>
      </c>
      <c r="E588" s="3" t="s">
        <v>634</v>
      </c>
      <c r="F588" s="2" t="s">
        <v>21</v>
      </c>
      <c r="G588" s="2">
        <v>2022</v>
      </c>
      <c r="H588" s="2">
        <v>5.68</v>
      </c>
      <c r="I588" s="2"/>
      <c r="J588" s="2"/>
    </row>
    <row r="589" spans="1:10" ht="14.25" customHeight="1" x14ac:dyDescent="0.35">
      <c r="A589" s="2" t="s">
        <v>632</v>
      </c>
      <c r="B589" s="2" t="s">
        <v>147</v>
      </c>
      <c r="C589" s="2" t="s">
        <v>575</v>
      </c>
      <c r="D589" s="2" t="s">
        <v>633</v>
      </c>
      <c r="E589" s="3" t="s">
        <v>634</v>
      </c>
      <c r="F589" s="2" t="s">
        <v>21</v>
      </c>
      <c r="G589" s="2">
        <v>2023</v>
      </c>
      <c r="H589" s="2">
        <v>5.84</v>
      </c>
      <c r="I589" s="2"/>
      <c r="J589" s="2"/>
    </row>
    <row r="590" spans="1:10" ht="14.25" customHeight="1" x14ac:dyDescent="0.35">
      <c r="A590" s="2" t="s">
        <v>632</v>
      </c>
      <c r="B590" s="2" t="s">
        <v>147</v>
      </c>
      <c r="C590" s="2" t="s">
        <v>575</v>
      </c>
      <c r="D590" s="2" t="s">
        <v>633</v>
      </c>
      <c r="E590" s="3" t="s">
        <v>634</v>
      </c>
      <c r="F590" s="2" t="s">
        <v>21</v>
      </c>
      <c r="G590" s="2">
        <v>2024</v>
      </c>
      <c r="H590" s="2">
        <v>5.79</v>
      </c>
      <c r="I590" s="2"/>
      <c r="J590" s="2"/>
    </row>
    <row r="591" spans="1:10" ht="14.25" customHeight="1" x14ac:dyDescent="0.35">
      <c r="A591" s="2" t="s">
        <v>632</v>
      </c>
      <c r="B591" s="2" t="s">
        <v>147</v>
      </c>
      <c r="C591" s="2" t="s">
        <v>575</v>
      </c>
      <c r="D591" s="2" t="s">
        <v>633</v>
      </c>
      <c r="E591" s="3" t="s">
        <v>634</v>
      </c>
      <c r="F591" s="2" t="s">
        <v>21</v>
      </c>
      <c r="G591" s="2">
        <v>2025</v>
      </c>
      <c r="H591" s="2">
        <v>4.34</v>
      </c>
      <c r="I591" s="2"/>
      <c r="J591" s="2"/>
    </row>
    <row r="592" spans="1:10" ht="14.25" customHeight="1" x14ac:dyDescent="0.35">
      <c r="A592" s="2" t="s">
        <v>632</v>
      </c>
      <c r="B592" s="2" t="s">
        <v>147</v>
      </c>
      <c r="C592" s="2" t="s">
        <v>575</v>
      </c>
      <c r="D592" s="2" t="s">
        <v>633</v>
      </c>
      <c r="E592" s="3" t="s">
        <v>634</v>
      </c>
      <c r="F592" s="2" t="s">
        <v>47</v>
      </c>
      <c r="G592" s="2">
        <v>2025</v>
      </c>
      <c r="H592" s="2">
        <v>6</v>
      </c>
      <c r="I592" s="2"/>
      <c r="J592" s="2"/>
    </row>
    <row r="593" spans="1:10" ht="14.25" customHeight="1" x14ac:dyDescent="0.35">
      <c r="A593" s="2" t="s">
        <v>632</v>
      </c>
      <c r="B593" s="2" t="s">
        <v>147</v>
      </c>
      <c r="C593" s="2" t="s">
        <v>575</v>
      </c>
      <c r="D593" s="2" t="s">
        <v>633</v>
      </c>
      <c r="E593" s="3" t="s">
        <v>634</v>
      </c>
      <c r="F593" s="2" t="s">
        <v>47</v>
      </c>
      <c r="G593" s="2">
        <v>2026</v>
      </c>
      <c r="H593" s="2">
        <v>7</v>
      </c>
      <c r="I593" s="2"/>
      <c r="J593" s="2"/>
    </row>
    <row r="594" spans="1:10" ht="14.25" customHeight="1" x14ac:dyDescent="0.35">
      <c r="A594" s="2" t="s">
        <v>632</v>
      </c>
      <c r="B594" s="2" t="s">
        <v>147</v>
      </c>
      <c r="C594" s="2" t="s">
        <v>575</v>
      </c>
      <c r="D594" s="2" t="s">
        <v>633</v>
      </c>
      <c r="E594" s="3" t="s">
        <v>634</v>
      </c>
      <c r="F594" s="2" t="s">
        <v>47</v>
      </c>
      <c r="G594" s="2">
        <v>2027</v>
      </c>
      <c r="H594" s="2">
        <v>8</v>
      </c>
      <c r="I594" s="2"/>
      <c r="J594" s="2"/>
    </row>
    <row r="595" spans="1:10" ht="14.25" customHeight="1" x14ac:dyDescent="0.35">
      <c r="A595" s="2" t="s">
        <v>632</v>
      </c>
      <c r="B595" s="2" t="s">
        <v>147</v>
      </c>
      <c r="C595" s="2" t="s">
        <v>575</v>
      </c>
      <c r="D595" s="2" t="s">
        <v>633</v>
      </c>
      <c r="E595" s="3" t="s">
        <v>634</v>
      </c>
      <c r="F595" s="2" t="s">
        <v>47</v>
      </c>
      <c r="G595" s="2">
        <v>2028</v>
      </c>
      <c r="H595" s="2">
        <v>9</v>
      </c>
      <c r="I595" s="2"/>
      <c r="J595" s="2"/>
    </row>
    <row r="596" spans="1:10" ht="14.25" customHeight="1" x14ac:dyDescent="0.35">
      <c r="A596" s="2" t="s">
        <v>632</v>
      </c>
      <c r="B596" s="2" t="s">
        <v>147</v>
      </c>
      <c r="C596" s="2" t="s">
        <v>575</v>
      </c>
      <c r="D596" s="2" t="s">
        <v>633</v>
      </c>
      <c r="E596" s="3" t="s">
        <v>634</v>
      </c>
      <c r="F596" s="2" t="s">
        <v>47</v>
      </c>
      <c r="G596" s="2">
        <v>2029</v>
      </c>
      <c r="H596" s="2">
        <v>10</v>
      </c>
      <c r="I596" s="2"/>
      <c r="J596" s="2"/>
    </row>
    <row r="597" spans="1:10" ht="14.25" customHeight="1" x14ac:dyDescent="0.35">
      <c r="A597" s="2" t="s">
        <v>632</v>
      </c>
      <c r="B597" s="2" t="s">
        <v>147</v>
      </c>
      <c r="C597" s="2" t="s">
        <v>575</v>
      </c>
      <c r="D597" s="2" t="s">
        <v>633</v>
      </c>
      <c r="E597" s="3" t="s">
        <v>634</v>
      </c>
      <c r="F597" s="2" t="s">
        <v>47</v>
      </c>
      <c r="G597" s="2">
        <v>2045</v>
      </c>
      <c r="H597" s="2">
        <v>50</v>
      </c>
      <c r="I597" s="2"/>
      <c r="J597" s="2"/>
    </row>
    <row r="598" spans="1:10" ht="14.25" customHeight="1" x14ac:dyDescent="0.35">
      <c r="A598" s="2" t="s">
        <v>639</v>
      </c>
      <c r="B598" s="2" t="s">
        <v>147</v>
      </c>
      <c r="C598" s="2" t="s">
        <v>575</v>
      </c>
      <c r="D598" s="2" t="s">
        <v>640</v>
      </c>
      <c r="E598" s="3" t="s">
        <v>641</v>
      </c>
      <c r="F598" s="2" t="s">
        <v>47</v>
      </c>
      <c r="G598" s="2">
        <v>2025</v>
      </c>
      <c r="H598" s="2">
        <v>16</v>
      </c>
      <c r="I598" s="2"/>
      <c r="J598" s="2"/>
    </row>
    <row r="599" spans="1:10" ht="14.25" customHeight="1" x14ac:dyDescent="0.35">
      <c r="A599" s="2" t="s">
        <v>639</v>
      </c>
      <c r="B599" s="2" t="s">
        <v>147</v>
      </c>
      <c r="C599" s="2" t="s">
        <v>575</v>
      </c>
      <c r="D599" s="2" t="s">
        <v>640</v>
      </c>
      <c r="E599" s="3" t="s">
        <v>641</v>
      </c>
      <c r="F599" s="2" t="s">
        <v>47</v>
      </c>
      <c r="G599" s="2">
        <v>2026</v>
      </c>
      <c r="H599" s="2">
        <v>32.25</v>
      </c>
      <c r="I599" s="2"/>
      <c r="J599" s="2"/>
    </row>
    <row r="600" spans="1:10" ht="14.25" customHeight="1" x14ac:dyDescent="0.35">
      <c r="A600" s="2" t="s">
        <v>639</v>
      </c>
      <c r="B600" s="2" t="s">
        <v>147</v>
      </c>
      <c r="C600" s="2" t="s">
        <v>575</v>
      </c>
      <c r="D600" s="2" t="s">
        <v>640</v>
      </c>
      <c r="E600" s="3" t="s">
        <v>641</v>
      </c>
      <c r="F600" s="2" t="s">
        <v>47</v>
      </c>
      <c r="G600" s="2">
        <v>2027</v>
      </c>
      <c r="H600" s="2">
        <v>48.5</v>
      </c>
      <c r="I600" s="2"/>
      <c r="J600" s="2"/>
    </row>
    <row r="601" spans="1:10" ht="14.25" customHeight="1" x14ac:dyDescent="0.35">
      <c r="A601" s="2" t="s">
        <v>639</v>
      </c>
      <c r="B601" s="2" t="s">
        <v>147</v>
      </c>
      <c r="C601" s="2" t="s">
        <v>575</v>
      </c>
      <c r="D601" s="2" t="s">
        <v>640</v>
      </c>
      <c r="E601" s="3" t="s">
        <v>641</v>
      </c>
      <c r="F601" s="2" t="s">
        <v>47</v>
      </c>
      <c r="G601" s="2">
        <v>2028</v>
      </c>
      <c r="H601" s="2">
        <v>64.75</v>
      </c>
      <c r="I601" s="2"/>
      <c r="J601" s="2"/>
    </row>
    <row r="602" spans="1:10" ht="14.25" customHeight="1" x14ac:dyDescent="0.35">
      <c r="A602" s="2" t="s">
        <v>639</v>
      </c>
      <c r="B602" s="2" t="s">
        <v>147</v>
      </c>
      <c r="C602" s="2" t="s">
        <v>575</v>
      </c>
      <c r="D602" s="2" t="s">
        <v>640</v>
      </c>
      <c r="E602" s="3" t="s">
        <v>641</v>
      </c>
      <c r="F602" s="2" t="s">
        <v>47</v>
      </c>
      <c r="G602" s="2">
        <v>2029</v>
      </c>
      <c r="H602" s="2">
        <v>81</v>
      </c>
      <c r="I602" s="2"/>
      <c r="J602" s="2"/>
    </row>
    <row r="603" spans="1:10" ht="14.25" customHeight="1" x14ac:dyDescent="0.35">
      <c r="A603" s="2" t="s">
        <v>639</v>
      </c>
      <c r="B603" s="2" t="s">
        <v>147</v>
      </c>
      <c r="C603" s="2" t="s">
        <v>575</v>
      </c>
      <c r="D603" s="2" t="s">
        <v>640</v>
      </c>
      <c r="E603" s="3" t="s">
        <v>641</v>
      </c>
      <c r="F603" s="2" t="s">
        <v>47</v>
      </c>
      <c r="G603" s="2">
        <v>2045</v>
      </c>
      <c r="H603" s="2">
        <v>90</v>
      </c>
      <c r="I603" s="2"/>
      <c r="J603" s="2"/>
    </row>
    <row r="604" spans="1:10" ht="14.25" customHeight="1" x14ac:dyDescent="0.35">
      <c r="A604" s="2" t="s">
        <v>654</v>
      </c>
      <c r="B604" s="2" t="s">
        <v>147</v>
      </c>
      <c r="C604" s="2" t="s">
        <v>575</v>
      </c>
      <c r="D604" s="2" t="s">
        <v>656</v>
      </c>
      <c r="E604" s="3" t="s">
        <v>657</v>
      </c>
      <c r="F604" s="2" t="s">
        <v>47</v>
      </c>
      <c r="G604" s="2">
        <v>2025</v>
      </c>
      <c r="H604" s="2">
        <v>1686.3</v>
      </c>
      <c r="I604" s="2"/>
      <c r="J604" s="2"/>
    </row>
    <row r="605" spans="1:10" ht="14.25" customHeight="1" x14ac:dyDescent="0.35">
      <c r="A605" s="2" t="s">
        <v>654</v>
      </c>
      <c r="B605" s="2" t="s">
        <v>147</v>
      </c>
      <c r="C605" s="2" t="s">
        <v>575</v>
      </c>
      <c r="D605" s="2" t="s">
        <v>656</v>
      </c>
      <c r="E605" s="3" t="s">
        <v>657</v>
      </c>
      <c r="F605" s="2" t="s">
        <v>47</v>
      </c>
      <c r="G605" s="2">
        <v>2026</v>
      </c>
      <c r="H605" s="2">
        <v>2020.3</v>
      </c>
      <c r="I605" s="2"/>
      <c r="J605" s="2"/>
    </row>
    <row r="606" spans="1:10" ht="14.25" customHeight="1" x14ac:dyDescent="0.35">
      <c r="A606" s="2" t="s">
        <v>654</v>
      </c>
      <c r="B606" s="2" t="s">
        <v>147</v>
      </c>
      <c r="C606" s="2" t="s">
        <v>575</v>
      </c>
      <c r="D606" s="2" t="s">
        <v>656</v>
      </c>
      <c r="E606" s="3" t="s">
        <v>657</v>
      </c>
      <c r="F606" s="2" t="s">
        <v>47</v>
      </c>
      <c r="G606" s="2">
        <v>2027</v>
      </c>
      <c r="H606" s="2">
        <v>2398.9</v>
      </c>
      <c r="I606" s="2"/>
      <c r="J606" s="2"/>
    </row>
    <row r="607" spans="1:10" ht="14.25" customHeight="1" x14ac:dyDescent="0.35">
      <c r="A607" s="2" t="s">
        <v>654</v>
      </c>
      <c r="B607" s="2" t="s">
        <v>147</v>
      </c>
      <c r="C607" s="2" t="s">
        <v>575</v>
      </c>
      <c r="D607" s="2" t="s">
        <v>656</v>
      </c>
      <c r="E607" s="3" t="s">
        <v>657</v>
      </c>
      <c r="F607" s="2" t="s">
        <v>47</v>
      </c>
      <c r="G607" s="2">
        <v>2028</v>
      </c>
      <c r="H607" s="2">
        <v>2820.5</v>
      </c>
      <c r="I607" s="2"/>
      <c r="J607" s="2"/>
    </row>
    <row r="608" spans="1:10" ht="14.25" customHeight="1" x14ac:dyDescent="0.35">
      <c r="A608" s="2" t="s">
        <v>654</v>
      </c>
      <c r="B608" s="2" t="s">
        <v>147</v>
      </c>
      <c r="C608" s="2" t="s">
        <v>575</v>
      </c>
      <c r="D608" s="2" t="s">
        <v>656</v>
      </c>
      <c r="E608" s="3" t="s">
        <v>657</v>
      </c>
      <c r="F608" s="2" t="s">
        <v>47</v>
      </c>
      <c r="G608" s="2">
        <v>2029</v>
      </c>
      <c r="H608" s="2">
        <v>3301.2</v>
      </c>
      <c r="I608" s="2"/>
      <c r="J608" s="2"/>
    </row>
    <row r="609" spans="1:10" ht="14.25" customHeight="1" x14ac:dyDescent="0.35">
      <c r="A609" s="2" t="s">
        <v>654</v>
      </c>
      <c r="B609" s="2" t="s">
        <v>147</v>
      </c>
      <c r="C609" s="2" t="s">
        <v>575</v>
      </c>
      <c r="D609" s="2" t="s">
        <v>656</v>
      </c>
      <c r="E609" s="3" t="s">
        <v>657</v>
      </c>
      <c r="F609" s="2" t="s">
        <v>47</v>
      </c>
      <c r="G609" s="2">
        <v>2045</v>
      </c>
      <c r="H609" s="2">
        <v>5170</v>
      </c>
      <c r="I609" s="2"/>
      <c r="J609" s="2"/>
    </row>
    <row r="610" spans="1:10" ht="14.25" customHeight="1" x14ac:dyDescent="0.35">
      <c r="A610" s="2" t="s">
        <v>663</v>
      </c>
      <c r="B610" s="2" t="s">
        <v>147</v>
      </c>
      <c r="C610" s="2" t="s">
        <v>575</v>
      </c>
      <c r="D610" s="2" t="s">
        <v>664</v>
      </c>
      <c r="E610" s="3" t="s">
        <v>665</v>
      </c>
      <c r="F610" s="2" t="s">
        <v>47</v>
      </c>
      <c r="G610" s="2">
        <v>2025</v>
      </c>
      <c r="H610" s="2">
        <v>115</v>
      </c>
      <c r="I610" s="2"/>
      <c r="J610" s="2"/>
    </row>
    <row r="611" spans="1:10" ht="14.25" customHeight="1" x14ac:dyDescent="0.35">
      <c r="A611" s="2" t="s">
        <v>663</v>
      </c>
      <c r="B611" s="2" t="s">
        <v>147</v>
      </c>
      <c r="C611" s="2" t="s">
        <v>575</v>
      </c>
      <c r="D611" s="2" t="s">
        <v>664</v>
      </c>
      <c r="E611" s="3" t="s">
        <v>665</v>
      </c>
      <c r="F611" s="2" t="s">
        <v>47</v>
      </c>
      <c r="G611" s="2">
        <v>2026</v>
      </c>
      <c r="H611" s="2">
        <v>118.1</v>
      </c>
      <c r="I611" s="2"/>
      <c r="J611" s="2"/>
    </row>
    <row r="612" spans="1:10" ht="14.25" customHeight="1" x14ac:dyDescent="0.35">
      <c r="A612" s="2" t="s">
        <v>663</v>
      </c>
      <c r="B612" s="2" t="s">
        <v>147</v>
      </c>
      <c r="C612" s="2" t="s">
        <v>575</v>
      </c>
      <c r="D612" s="2" t="s">
        <v>664</v>
      </c>
      <c r="E612" s="3" t="s">
        <v>665</v>
      </c>
      <c r="F612" s="2" t="s">
        <v>47</v>
      </c>
      <c r="G612" s="2">
        <v>2027</v>
      </c>
      <c r="H612" s="2">
        <v>121</v>
      </c>
      <c r="I612" s="2"/>
      <c r="J612" s="2"/>
    </row>
    <row r="613" spans="1:10" ht="14.25" customHeight="1" x14ac:dyDescent="0.35">
      <c r="A613" s="2" t="s">
        <v>663</v>
      </c>
      <c r="B613" s="2" t="s">
        <v>147</v>
      </c>
      <c r="C613" s="2" t="s">
        <v>575</v>
      </c>
      <c r="D613" s="2" t="s">
        <v>664</v>
      </c>
      <c r="E613" s="3" t="s">
        <v>665</v>
      </c>
      <c r="F613" s="2" t="s">
        <v>47</v>
      </c>
      <c r="G613" s="2">
        <v>2028</v>
      </c>
      <c r="H613" s="2">
        <v>123.9</v>
      </c>
      <c r="I613" s="2"/>
      <c r="J613" s="2"/>
    </row>
    <row r="614" spans="1:10" ht="14.25" customHeight="1" x14ac:dyDescent="0.35">
      <c r="A614" s="2" t="s">
        <v>663</v>
      </c>
      <c r="B614" s="2" t="s">
        <v>147</v>
      </c>
      <c r="C614" s="2" t="s">
        <v>575</v>
      </c>
      <c r="D614" s="2" t="s">
        <v>664</v>
      </c>
      <c r="E614" s="3" t="s">
        <v>665</v>
      </c>
      <c r="F614" s="2" t="s">
        <v>47</v>
      </c>
      <c r="G614" s="2">
        <v>2029</v>
      </c>
      <c r="H614" s="2">
        <v>127</v>
      </c>
      <c r="I614" s="2"/>
      <c r="J614" s="2"/>
    </row>
    <row r="615" spans="1:10" ht="14.25" customHeight="1" x14ac:dyDescent="0.35">
      <c r="A615" s="2" t="s">
        <v>663</v>
      </c>
      <c r="B615" s="2" t="s">
        <v>147</v>
      </c>
      <c r="C615" s="2" t="s">
        <v>575</v>
      </c>
      <c r="D615" s="2" t="s">
        <v>664</v>
      </c>
      <c r="E615" s="3" t="s">
        <v>665</v>
      </c>
      <c r="F615" s="2" t="s">
        <v>47</v>
      </c>
      <c r="G615" s="2">
        <v>2045</v>
      </c>
      <c r="H615" s="2">
        <v>60</v>
      </c>
      <c r="I615" s="2"/>
      <c r="J615" s="2"/>
    </row>
    <row r="616" spans="1:10" ht="14.25" customHeight="1" x14ac:dyDescent="0.35">
      <c r="A616" s="2" t="s">
        <v>671</v>
      </c>
      <c r="B616" s="2" t="s">
        <v>147</v>
      </c>
      <c r="C616" s="2" t="s">
        <v>575</v>
      </c>
      <c r="D616" s="2" t="s">
        <v>672</v>
      </c>
      <c r="E616" s="3" t="s">
        <v>673</v>
      </c>
      <c r="F616" s="2" t="s">
        <v>21</v>
      </c>
      <c r="G616" s="2">
        <v>2021</v>
      </c>
      <c r="H616" s="2">
        <v>12.75</v>
      </c>
      <c r="I616" s="2"/>
      <c r="J616" s="2"/>
    </row>
    <row r="617" spans="1:10" ht="14.25" customHeight="1" x14ac:dyDescent="0.35">
      <c r="A617" s="2" t="s">
        <v>671</v>
      </c>
      <c r="B617" s="2" t="s">
        <v>147</v>
      </c>
      <c r="C617" s="2" t="s">
        <v>575</v>
      </c>
      <c r="D617" s="2" t="s">
        <v>672</v>
      </c>
      <c r="E617" s="3" t="s">
        <v>673</v>
      </c>
      <c r="F617" s="2" t="s">
        <v>21</v>
      </c>
      <c r="G617" s="2">
        <v>2022</v>
      </c>
      <c r="H617" s="2">
        <v>23.01</v>
      </c>
      <c r="I617" s="2"/>
      <c r="J617" s="2"/>
    </row>
    <row r="618" spans="1:10" ht="14.25" customHeight="1" x14ac:dyDescent="0.35">
      <c r="A618" s="2" t="s">
        <v>671</v>
      </c>
      <c r="B618" s="2" t="s">
        <v>147</v>
      </c>
      <c r="C618" s="2" t="s">
        <v>575</v>
      </c>
      <c r="D618" s="2" t="s">
        <v>672</v>
      </c>
      <c r="E618" s="3" t="s">
        <v>673</v>
      </c>
      <c r="F618" s="2" t="s">
        <v>21</v>
      </c>
      <c r="G618" s="2">
        <v>2023</v>
      </c>
      <c r="H618" s="2">
        <v>15.92</v>
      </c>
      <c r="I618" s="2"/>
      <c r="J618" s="2"/>
    </row>
    <row r="619" spans="1:10" ht="14.25" customHeight="1" x14ac:dyDescent="0.35">
      <c r="A619" s="2" t="s">
        <v>671</v>
      </c>
      <c r="B619" s="2" t="s">
        <v>147</v>
      </c>
      <c r="C619" s="2" t="s">
        <v>575</v>
      </c>
      <c r="D619" s="2" t="s">
        <v>672</v>
      </c>
      <c r="E619" s="3" t="s">
        <v>673</v>
      </c>
      <c r="F619" s="2" t="s">
        <v>21</v>
      </c>
      <c r="G619" s="2">
        <v>2024</v>
      </c>
      <c r="H619" s="2">
        <v>14.61</v>
      </c>
      <c r="I619" s="2"/>
      <c r="J619" s="2"/>
    </row>
    <row r="620" spans="1:10" ht="14.25" customHeight="1" x14ac:dyDescent="0.35">
      <c r="A620" s="2" t="s">
        <v>671</v>
      </c>
      <c r="B620" s="2" t="s">
        <v>147</v>
      </c>
      <c r="C620" s="2" t="s">
        <v>575</v>
      </c>
      <c r="D620" s="2" t="s">
        <v>672</v>
      </c>
      <c r="E620" s="3" t="s">
        <v>673</v>
      </c>
      <c r="F620" s="2" t="s">
        <v>21</v>
      </c>
      <c r="G620" s="2">
        <v>2025</v>
      </c>
      <c r="H620" s="2">
        <v>14.48</v>
      </c>
      <c r="I620" s="2"/>
      <c r="J620" s="2"/>
    </row>
    <row r="621" spans="1:10" ht="14.25" customHeight="1" x14ac:dyDescent="0.35">
      <c r="A621" s="2" t="s">
        <v>671</v>
      </c>
      <c r="B621" s="2" t="s">
        <v>147</v>
      </c>
      <c r="C621" s="2" t="s">
        <v>575</v>
      </c>
      <c r="D621" s="2" t="s">
        <v>672</v>
      </c>
      <c r="E621" s="3" t="s">
        <v>673</v>
      </c>
      <c r="F621" s="2" t="s">
        <v>47</v>
      </c>
      <c r="G621" s="2">
        <v>2025</v>
      </c>
      <c r="H621" s="2">
        <v>14.23</v>
      </c>
      <c r="I621" s="2"/>
      <c r="J621" s="2"/>
    </row>
    <row r="622" spans="1:10" ht="14.25" customHeight="1" x14ac:dyDescent="0.35">
      <c r="A622" s="2" t="s">
        <v>671</v>
      </c>
      <c r="B622" s="2" t="s">
        <v>147</v>
      </c>
      <c r="C622" s="2" t="s">
        <v>575</v>
      </c>
      <c r="D622" s="2" t="s">
        <v>672</v>
      </c>
      <c r="E622" s="3" t="s">
        <v>673</v>
      </c>
      <c r="F622" s="2" t="s">
        <v>47</v>
      </c>
      <c r="G622" s="2">
        <v>2026</v>
      </c>
      <c r="H622" s="2">
        <v>13.16</v>
      </c>
      <c r="I622" s="2"/>
      <c r="J622" s="2"/>
    </row>
    <row r="623" spans="1:10" ht="14.25" customHeight="1" x14ac:dyDescent="0.35">
      <c r="A623" s="2" t="s">
        <v>671</v>
      </c>
      <c r="B623" s="2" t="s">
        <v>147</v>
      </c>
      <c r="C623" s="2" t="s">
        <v>575</v>
      </c>
      <c r="D623" s="2" t="s">
        <v>672</v>
      </c>
      <c r="E623" s="3" t="s">
        <v>673</v>
      </c>
      <c r="F623" s="2" t="s">
        <v>47</v>
      </c>
      <c r="G623" s="2">
        <v>2027</v>
      </c>
      <c r="H623" s="2">
        <v>12.08</v>
      </c>
      <c r="I623" s="2"/>
      <c r="J623" s="2"/>
    </row>
    <row r="624" spans="1:10" ht="14.25" customHeight="1" x14ac:dyDescent="0.35">
      <c r="A624" s="2" t="s">
        <v>671</v>
      </c>
      <c r="B624" s="2" t="s">
        <v>147</v>
      </c>
      <c r="C624" s="2" t="s">
        <v>575</v>
      </c>
      <c r="D624" s="2" t="s">
        <v>672</v>
      </c>
      <c r="E624" s="3" t="s">
        <v>673</v>
      </c>
      <c r="F624" s="2" t="s">
        <v>47</v>
      </c>
      <c r="G624" s="2">
        <v>2028</v>
      </c>
      <c r="H624" s="2">
        <v>11.01</v>
      </c>
      <c r="I624" s="2"/>
      <c r="J624" s="2"/>
    </row>
    <row r="625" spans="1:10" ht="14.25" customHeight="1" x14ac:dyDescent="0.35">
      <c r="A625" s="2" t="s">
        <v>671</v>
      </c>
      <c r="B625" s="2" t="s">
        <v>147</v>
      </c>
      <c r="C625" s="2" t="s">
        <v>575</v>
      </c>
      <c r="D625" s="2" t="s">
        <v>672</v>
      </c>
      <c r="E625" s="3" t="s">
        <v>673</v>
      </c>
      <c r="F625" s="2" t="s">
        <v>47</v>
      </c>
      <c r="G625" s="2">
        <v>2029</v>
      </c>
      <c r="H625" s="2">
        <v>9.93</v>
      </c>
      <c r="I625" s="2"/>
      <c r="J625" s="2"/>
    </row>
    <row r="626" spans="1:10" ht="14.25" customHeight="1" x14ac:dyDescent="0.35">
      <c r="A626" s="2" t="s">
        <v>671</v>
      </c>
      <c r="B626" s="2" t="s">
        <v>147</v>
      </c>
      <c r="C626" s="2" t="s">
        <v>575</v>
      </c>
      <c r="D626" s="2" t="s">
        <v>672</v>
      </c>
      <c r="E626" s="3" t="s">
        <v>673</v>
      </c>
      <c r="F626" s="2" t="s">
        <v>47</v>
      </c>
      <c r="G626" s="2">
        <v>2045</v>
      </c>
      <c r="H626" s="2">
        <v>0.31</v>
      </c>
      <c r="I626" s="2"/>
      <c r="J626" s="2"/>
    </row>
    <row r="627" spans="1:10" ht="14.25" customHeight="1" x14ac:dyDescent="0.35">
      <c r="A627" s="2" t="s">
        <v>677</v>
      </c>
      <c r="B627" s="2" t="s">
        <v>147</v>
      </c>
      <c r="C627" s="2" t="s">
        <v>575</v>
      </c>
      <c r="D627" s="2" t="s">
        <v>678</v>
      </c>
      <c r="E627" s="3" t="s">
        <v>679</v>
      </c>
      <c r="F627" s="2" t="s">
        <v>47</v>
      </c>
      <c r="G627" s="2">
        <v>2025</v>
      </c>
      <c r="H627" s="2">
        <v>0.4</v>
      </c>
      <c r="I627" s="2"/>
      <c r="J627" s="2"/>
    </row>
    <row r="628" spans="1:10" ht="14.25" customHeight="1" x14ac:dyDescent="0.35">
      <c r="A628" s="2" t="s">
        <v>677</v>
      </c>
      <c r="B628" s="2" t="s">
        <v>147</v>
      </c>
      <c r="C628" s="2" t="s">
        <v>575</v>
      </c>
      <c r="D628" s="2" t="s">
        <v>678</v>
      </c>
      <c r="E628" s="3" t="s">
        <v>679</v>
      </c>
      <c r="F628" s="2" t="s">
        <v>47</v>
      </c>
      <c r="G628" s="2">
        <v>2026</v>
      </c>
      <c r="H628" s="2">
        <v>0.55000000000000004</v>
      </c>
      <c r="I628" s="2"/>
      <c r="J628" s="2"/>
    </row>
    <row r="629" spans="1:10" ht="14.25" customHeight="1" x14ac:dyDescent="0.35">
      <c r="A629" s="2" t="s">
        <v>677</v>
      </c>
      <c r="B629" s="2" t="s">
        <v>147</v>
      </c>
      <c r="C629" s="2" t="s">
        <v>575</v>
      </c>
      <c r="D629" s="2" t="s">
        <v>678</v>
      </c>
      <c r="E629" s="3" t="s">
        <v>679</v>
      </c>
      <c r="F629" s="2" t="s">
        <v>47</v>
      </c>
      <c r="G629" s="2">
        <v>2027</v>
      </c>
      <c r="H629" s="2">
        <v>0.7</v>
      </c>
      <c r="I629" s="2"/>
      <c r="J629" s="2"/>
    </row>
    <row r="630" spans="1:10" ht="14.25" customHeight="1" x14ac:dyDescent="0.35">
      <c r="A630" s="2" t="s">
        <v>677</v>
      </c>
      <c r="B630" s="2" t="s">
        <v>147</v>
      </c>
      <c r="C630" s="2" t="s">
        <v>575</v>
      </c>
      <c r="D630" s="2" t="s">
        <v>678</v>
      </c>
      <c r="E630" s="3" t="s">
        <v>679</v>
      </c>
      <c r="F630" s="2" t="s">
        <v>47</v>
      </c>
      <c r="G630" s="2">
        <v>2028</v>
      </c>
      <c r="H630" s="2">
        <v>0.84</v>
      </c>
      <c r="I630" s="2"/>
      <c r="J630" s="2"/>
    </row>
    <row r="631" spans="1:10" ht="14.25" customHeight="1" x14ac:dyDescent="0.35">
      <c r="A631" s="2" t="s">
        <v>677</v>
      </c>
      <c r="B631" s="2" t="s">
        <v>147</v>
      </c>
      <c r="C631" s="2" t="s">
        <v>575</v>
      </c>
      <c r="D631" s="2" t="s">
        <v>678</v>
      </c>
      <c r="E631" s="3" t="s">
        <v>679</v>
      </c>
      <c r="F631" s="2" t="s">
        <v>47</v>
      </c>
      <c r="G631" s="2">
        <v>2029</v>
      </c>
      <c r="H631" s="2">
        <v>0.99</v>
      </c>
      <c r="I631" s="2"/>
      <c r="J631" s="2"/>
    </row>
    <row r="632" spans="1:10" ht="14.25" customHeight="1" x14ac:dyDescent="0.35">
      <c r="A632" s="2" t="s">
        <v>677</v>
      </c>
      <c r="B632" s="2" t="s">
        <v>147</v>
      </c>
      <c r="C632" s="2" t="s">
        <v>575</v>
      </c>
      <c r="D632" s="2" t="s">
        <v>678</v>
      </c>
      <c r="E632" s="3" t="s">
        <v>679</v>
      </c>
      <c r="F632" s="2" t="s">
        <v>47</v>
      </c>
      <c r="G632" s="2">
        <v>2045</v>
      </c>
      <c r="H632" s="2">
        <v>0.99</v>
      </c>
      <c r="I632" s="2"/>
      <c r="J632" s="2"/>
    </row>
    <row r="633" spans="1:10" ht="14.25" customHeight="1" x14ac:dyDescent="0.35">
      <c r="A633" s="2" t="s">
        <v>686</v>
      </c>
      <c r="B633" s="2" t="s">
        <v>147</v>
      </c>
      <c r="C633" s="2" t="s">
        <v>575</v>
      </c>
      <c r="D633" s="2" t="s">
        <v>687</v>
      </c>
      <c r="E633" s="3" t="s">
        <v>688</v>
      </c>
      <c r="F633" s="2" t="s">
        <v>47</v>
      </c>
      <c r="G633" s="2">
        <v>2025</v>
      </c>
      <c r="H633" s="2">
        <v>48.32</v>
      </c>
      <c r="I633" s="2"/>
      <c r="J633" s="2"/>
    </row>
    <row r="634" spans="1:10" ht="14.25" customHeight="1" x14ac:dyDescent="0.35">
      <c r="A634" s="2" t="s">
        <v>686</v>
      </c>
      <c r="B634" s="2" t="s">
        <v>147</v>
      </c>
      <c r="C634" s="2" t="s">
        <v>575</v>
      </c>
      <c r="D634" s="2" t="s">
        <v>687</v>
      </c>
      <c r="E634" s="3" t="s">
        <v>688</v>
      </c>
      <c r="F634" s="2" t="s">
        <v>47</v>
      </c>
      <c r="G634" s="2">
        <v>2026</v>
      </c>
      <c r="H634" s="2">
        <v>51.55</v>
      </c>
      <c r="I634" s="2"/>
      <c r="J634" s="2"/>
    </row>
    <row r="635" spans="1:10" ht="14.25" customHeight="1" x14ac:dyDescent="0.35">
      <c r="A635" s="2" t="s">
        <v>686</v>
      </c>
      <c r="B635" s="2" t="s">
        <v>147</v>
      </c>
      <c r="C635" s="2" t="s">
        <v>575</v>
      </c>
      <c r="D635" s="2" t="s">
        <v>687</v>
      </c>
      <c r="E635" s="3" t="s">
        <v>688</v>
      </c>
      <c r="F635" s="2" t="s">
        <v>47</v>
      </c>
      <c r="G635" s="2">
        <v>2027</v>
      </c>
      <c r="H635" s="2">
        <v>54.78</v>
      </c>
      <c r="I635" s="2"/>
      <c r="J635" s="2"/>
    </row>
    <row r="636" spans="1:10" ht="14.25" customHeight="1" x14ac:dyDescent="0.35">
      <c r="A636" s="2" t="s">
        <v>686</v>
      </c>
      <c r="B636" s="2" t="s">
        <v>147</v>
      </c>
      <c r="C636" s="2" t="s">
        <v>575</v>
      </c>
      <c r="D636" s="2" t="s">
        <v>687</v>
      </c>
      <c r="E636" s="3" t="s">
        <v>688</v>
      </c>
      <c r="F636" s="2" t="s">
        <v>47</v>
      </c>
      <c r="G636" s="2">
        <v>2028</v>
      </c>
      <c r="H636" s="2">
        <v>58.01</v>
      </c>
      <c r="I636" s="2"/>
      <c r="J636" s="2"/>
    </row>
    <row r="637" spans="1:10" ht="14.25" customHeight="1" x14ac:dyDescent="0.35">
      <c r="A637" s="2" t="s">
        <v>686</v>
      </c>
      <c r="B637" s="2" t="s">
        <v>147</v>
      </c>
      <c r="C637" s="2" t="s">
        <v>575</v>
      </c>
      <c r="D637" s="2" t="s">
        <v>687</v>
      </c>
      <c r="E637" s="3" t="s">
        <v>688</v>
      </c>
      <c r="F637" s="2" t="s">
        <v>47</v>
      </c>
      <c r="G637" s="2">
        <v>2029</v>
      </c>
      <c r="H637" s="2">
        <v>61.24</v>
      </c>
      <c r="I637" s="2"/>
      <c r="J637" s="2"/>
    </row>
    <row r="638" spans="1:10" ht="14.25" customHeight="1" x14ac:dyDescent="0.35">
      <c r="A638" s="2" t="s">
        <v>686</v>
      </c>
      <c r="B638" s="2" t="s">
        <v>147</v>
      </c>
      <c r="C638" s="2" t="s">
        <v>575</v>
      </c>
      <c r="D638" s="2" t="s">
        <v>687</v>
      </c>
      <c r="E638" s="3" t="s">
        <v>688</v>
      </c>
      <c r="F638" s="2" t="s">
        <v>47</v>
      </c>
      <c r="G638" s="2">
        <v>2045</v>
      </c>
      <c r="H638" s="2">
        <v>100</v>
      </c>
      <c r="I638" s="2"/>
      <c r="J638" s="2"/>
    </row>
    <row r="639" spans="1:10" ht="14.25" customHeight="1" x14ac:dyDescent="0.35">
      <c r="A639" s="2" t="s">
        <v>694</v>
      </c>
      <c r="B639" s="2" t="s">
        <v>147</v>
      </c>
      <c r="C639" s="2" t="s">
        <v>575</v>
      </c>
      <c r="D639" s="2" t="s">
        <v>696</v>
      </c>
      <c r="E639" s="3" t="s">
        <v>697</v>
      </c>
      <c r="F639" s="2" t="s">
        <v>21</v>
      </c>
      <c r="G639" s="2">
        <v>2021</v>
      </c>
      <c r="H639" s="2">
        <v>157.03</v>
      </c>
      <c r="I639" s="2"/>
      <c r="J639" s="2"/>
    </row>
    <row r="640" spans="1:10" ht="14.25" customHeight="1" x14ac:dyDescent="0.35">
      <c r="A640" s="2" t="s">
        <v>694</v>
      </c>
      <c r="B640" s="2" t="s">
        <v>147</v>
      </c>
      <c r="C640" s="2" t="s">
        <v>575</v>
      </c>
      <c r="D640" s="2" t="s">
        <v>696</v>
      </c>
      <c r="E640" s="3" t="s">
        <v>697</v>
      </c>
      <c r="F640" s="2" t="s">
        <v>21</v>
      </c>
      <c r="G640" s="2">
        <v>2022</v>
      </c>
      <c r="H640" s="2">
        <v>157.47</v>
      </c>
      <c r="I640" s="2"/>
      <c r="J640" s="2"/>
    </row>
    <row r="641" spans="1:10" ht="14.25" customHeight="1" x14ac:dyDescent="0.35">
      <c r="A641" s="2" t="s">
        <v>694</v>
      </c>
      <c r="B641" s="2" t="s">
        <v>147</v>
      </c>
      <c r="C641" s="2" t="s">
        <v>575</v>
      </c>
      <c r="D641" s="2" t="s">
        <v>696</v>
      </c>
      <c r="E641" s="3" t="s">
        <v>697</v>
      </c>
      <c r="F641" s="2" t="s">
        <v>21</v>
      </c>
      <c r="G641" s="2">
        <v>2023</v>
      </c>
      <c r="H641" s="2">
        <v>148.16</v>
      </c>
      <c r="I641" s="2"/>
      <c r="J641" s="2"/>
    </row>
    <row r="642" spans="1:10" ht="14.25" customHeight="1" x14ac:dyDescent="0.35">
      <c r="A642" s="2" t="s">
        <v>694</v>
      </c>
      <c r="B642" s="2" t="s">
        <v>147</v>
      </c>
      <c r="C642" s="2" t="s">
        <v>575</v>
      </c>
      <c r="D642" s="2" t="s">
        <v>696</v>
      </c>
      <c r="E642" s="3" t="s">
        <v>697</v>
      </c>
      <c r="F642" s="2" t="s">
        <v>21</v>
      </c>
      <c r="G642" s="2">
        <v>2024</v>
      </c>
      <c r="H642" s="2">
        <v>131.84</v>
      </c>
      <c r="I642" s="2"/>
      <c r="J642" s="2"/>
    </row>
    <row r="643" spans="1:10" ht="14.25" customHeight="1" x14ac:dyDescent="0.35">
      <c r="A643" s="2" t="s">
        <v>694</v>
      </c>
      <c r="B643" s="2" t="s">
        <v>147</v>
      </c>
      <c r="C643" s="2" t="s">
        <v>575</v>
      </c>
      <c r="D643" s="2" t="s">
        <v>696</v>
      </c>
      <c r="E643" s="3" t="s">
        <v>697</v>
      </c>
      <c r="F643" s="2" t="s">
        <v>21</v>
      </c>
      <c r="G643" s="2">
        <v>2025</v>
      </c>
      <c r="H643" s="2">
        <v>121.35</v>
      </c>
      <c r="I643" s="2"/>
      <c r="J643" s="2"/>
    </row>
    <row r="644" spans="1:10" ht="14.25" customHeight="1" x14ac:dyDescent="0.35">
      <c r="A644" s="2" t="s">
        <v>694</v>
      </c>
      <c r="B644" s="2" t="s">
        <v>147</v>
      </c>
      <c r="C644" s="2" t="s">
        <v>575</v>
      </c>
      <c r="D644" s="2" t="s">
        <v>696</v>
      </c>
      <c r="E644" s="3" t="s">
        <v>697</v>
      </c>
      <c r="F644" s="2" t="s">
        <v>47</v>
      </c>
      <c r="G644" s="2">
        <v>2025</v>
      </c>
      <c r="H644" s="2">
        <v>157.62</v>
      </c>
      <c r="I644" s="2"/>
      <c r="J644" s="2"/>
    </row>
    <row r="645" spans="1:10" ht="14.25" customHeight="1" x14ac:dyDescent="0.35">
      <c r="A645" s="2" t="s">
        <v>694</v>
      </c>
      <c r="B645" s="2" t="s">
        <v>147</v>
      </c>
      <c r="C645" s="2" t="s">
        <v>575</v>
      </c>
      <c r="D645" s="2" t="s">
        <v>696</v>
      </c>
      <c r="E645" s="3" t="s">
        <v>697</v>
      </c>
      <c r="F645" s="2" t="s">
        <v>47</v>
      </c>
      <c r="G645" s="2">
        <v>2026</v>
      </c>
      <c r="H645" s="2">
        <v>154</v>
      </c>
      <c r="I645" s="2"/>
      <c r="J645" s="2"/>
    </row>
    <row r="646" spans="1:10" ht="14.25" customHeight="1" x14ac:dyDescent="0.35">
      <c r="A646" s="2" t="s">
        <v>694</v>
      </c>
      <c r="B646" s="2" t="s">
        <v>147</v>
      </c>
      <c r="C646" s="2" t="s">
        <v>575</v>
      </c>
      <c r="D646" s="2" t="s">
        <v>696</v>
      </c>
      <c r="E646" s="3" t="s">
        <v>697</v>
      </c>
      <c r="F646" s="2" t="s">
        <v>47</v>
      </c>
      <c r="G646" s="2">
        <v>2027</v>
      </c>
      <c r="H646" s="2">
        <v>151</v>
      </c>
      <c r="I646" s="2"/>
      <c r="J646" s="2"/>
    </row>
    <row r="647" spans="1:10" ht="14.25" customHeight="1" x14ac:dyDescent="0.35">
      <c r="A647" s="2" t="s">
        <v>694</v>
      </c>
      <c r="B647" s="2" t="s">
        <v>147</v>
      </c>
      <c r="C647" s="2" t="s">
        <v>575</v>
      </c>
      <c r="D647" s="2" t="s">
        <v>696</v>
      </c>
      <c r="E647" s="3" t="s">
        <v>697</v>
      </c>
      <c r="F647" s="2" t="s">
        <v>47</v>
      </c>
      <c r="G647" s="2">
        <v>2028</v>
      </c>
      <c r="H647" s="2">
        <v>149</v>
      </c>
      <c r="I647" s="2"/>
      <c r="J647" s="2"/>
    </row>
    <row r="648" spans="1:10" ht="14.25" customHeight="1" x14ac:dyDescent="0.35">
      <c r="A648" s="2" t="s">
        <v>694</v>
      </c>
      <c r="B648" s="2" t="s">
        <v>147</v>
      </c>
      <c r="C648" s="2" t="s">
        <v>575</v>
      </c>
      <c r="D648" s="2" t="s">
        <v>696</v>
      </c>
      <c r="E648" s="3" t="s">
        <v>697</v>
      </c>
      <c r="F648" s="2" t="s">
        <v>47</v>
      </c>
      <c r="G648" s="2">
        <v>2029</v>
      </c>
      <c r="H648" s="2">
        <v>147</v>
      </c>
      <c r="I648" s="2"/>
      <c r="J648" s="2"/>
    </row>
    <row r="649" spans="1:10" ht="14.25" customHeight="1" x14ac:dyDescent="0.35">
      <c r="A649" s="2" t="s">
        <v>694</v>
      </c>
      <c r="B649" s="2" t="s">
        <v>147</v>
      </c>
      <c r="C649" s="2" t="s">
        <v>575</v>
      </c>
      <c r="D649" s="2" t="s">
        <v>696</v>
      </c>
      <c r="E649" s="3" t="s">
        <v>697</v>
      </c>
      <c r="F649" s="2" t="s">
        <v>47</v>
      </c>
      <c r="G649" s="2">
        <v>2045</v>
      </c>
      <c r="H649" s="2">
        <v>134.22999999999999</v>
      </c>
      <c r="I649" s="2"/>
      <c r="J649" s="2"/>
    </row>
    <row r="650" spans="1:10" ht="14.25" customHeight="1" x14ac:dyDescent="0.35">
      <c r="A650" s="2" t="s">
        <v>703</v>
      </c>
      <c r="B650" s="2" t="s">
        <v>147</v>
      </c>
      <c r="C650" s="2" t="s">
        <v>575</v>
      </c>
      <c r="D650" s="2" t="s">
        <v>704</v>
      </c>
      <c r="E650" s="3" t="s">
        <v>705</v>
      </c>
      <c r="F650" s="2" t="s">
        <v>47</v>
      </c>
      <c r="G650" s="2">
        <v>2025</v>
      </c>
      <c r="H650" s="2">
        <v>34.65</v>
      </c>
      <c r="I650" s="2"/>
      <c r="J650" s="2"/>
    </row>
    <row r="651" spans="1:10" ht="14.25" customHeight="1" x14ac:dyDescent="0.35">
      <c r="A651" s="2" t="s">
        <v>703</v>
      </c>
      <c r="B651" s="2" t="s">
        <v>147</v>
      </c>
      <c r="C651" s="2" t="s">
        <v>575</v>
      </c>
      <c r="D651" s="2" t="s">
        <v>704</v>
      </c>
      <c r="E651" s="3" t="s">
        <v>705</v>
      </c>
      <c r="F651" s="2" t="s">
        <v>47</v>
      </c>
      <c r="G651" s="2">
        <v>2026</v>
      </c>
      <c r="H651" s="2">
        <v>35.01</v>
      </c>
      <c r="I651" s="2"/>
      <c r="J651" s="2"/>
    </row>
    <row r="652" spans="1:10" ht="14.25" customHeight="1" x14ac:dyDescent="0.35">
      <c r="A652" s="2" t="s">
        <v>703</v>
      </c>
      <c r="B652" s="2" t="s">
        <v>147</v>
      </c>
      <c r="C652" s="2" t="s">
        <v>575</v>
      </c>
      <c r="D652" s="2" t="s">
        <v>704</v>
      </c>
      <c r="E652" s="3" t="s">
        <v>705</v>
      </c>
      <c r="F652" s="2" t="s">
        <v>47</v>
      </c>
      <c r="G652" s="2">
        <v>2027</v>
      </c>
      <c r="H652" s="2">
        <v>35.83</v>
      </c>
      <c r="I652" s="2"/>
      <c r="J652" s="2"/>
    </row>
    <row r="653" spans="1:10" ht="14.25" customHeight="1" x14ac:dyDescent="0.35">
      <c r="A653" s="2" t="s">
        <v>703</v>
      </c>
      <c r="B653" s="2" t="s">
        <v>147</v>
      </c>
      <c r="C653" s="2" t="s">
        <v>575</v>
      </c>
      <c r="D653" s="2" t="s">
        <v>704</v>
      </c>
      <c r="E653" s="3" t="s">
        <v>705</v>
      </c>
      <c r="F653" s="2" t="s">
        <v>47</v>
      </c>
      <c r="G653" s="2">
        <v>2028</v>
      </c>
      <c r="H653" s="2">
        <v>36.869999999999997</v>
      </c>
      <c r="I653" s="2"/>
      <c r="J653" s="2"/>
    </row>
    <row r="654" spans="1:10" ht="14.25" customHeight="1" x14ac:dyDescent="0.35">
      <c r="A654" s="2" t="s">
        <v>703</v>
      </c>
      <c r="B654" s="2" t="s">
        <v>147</v>
      </c>
      <c r="C654" s="2" t="s">
        <v>575</v>
      </c>
      <c r="D654" s="2" t="s">
        <v>704</v>
      </c>
      <c r="E654" s="3" t="s">
        <v>705</v>
      </c>
      <c r="F654" s="2" t="s">
        <v>47</v>
      </c>
      <c r="G654" s="2">
        <v>2029</v>
      </c>
      <c r="H654" s="2">
        <v>38.06</v>
      </c>
      <c r="I654" s="2"/>
      <c r="J654" s="2"/>
    </row>
    <row r="655" spans="1:10" ht="14.25" customHeight="1" x14ac:dyDescent="0.35">
      <c r="A655" s="2" t="s">
        <v>703</v>
      </c>
      <c r="B655" s="2" t="s">
        <v>147</v>
      </c>
      <c r="C655" s="2" t="s">
        <v>575</v>
      </c>
      <c r="D655" s="2" t="s">
        <v>704</v>
      </c>
      <c r="E655" s="3" t="s">
        <v>705</v>
      </c>
      <c r="F655" s="2" t="s">
        <v>47</v>
      </c>
      <c r="G655" s="2">
        <v>2045</v>
      </c>
      <c r="H655" s="2">
        <v>69.569999999999993</v>
      </c>
      <c r="I655" s="2"/>
      <c r="J655" s="2"/>
    </row>
    <row r="656" spans="1:10" ht="14.25" customHeight="1" x14ac:dyDescent="0.35">
      <c r="A656" s="2" t="s">
        <v>710</v>
      </c>
      <c r="B656" s="2" t="s">
        <v>147</v>
      </c>
      <c r="C656" s="2" t="s">
        <v>575</v>
      </c>
      <c r="D656" s="2" t="s">
        <v>711</v>
      </c>
      <c r="E656" s="3" t="s">
        <v>712</v>
      </c>
      <c r="F656" s="2" t="s">
        <v>47</v>
      </c>
      <c r="G656" s="2">
        <v>2025</v>
      </c>
      <c r="H656" s="2">
        <v>45.93</v>
      </c>
      <c r="I656" s="2"/>
      <c r="J656" s="2"/>
    </row>
    <row r="657" spans="1:10" ht="14.25" customHeight="1" x14ac:dyDescent="0.35">
      <c r="A657" s="2" t="s">
        <v>710</v>
      </c>
      <c r="B657" s="2" t="s">
        <v>147</v>
      </c>
      <c r="C657" s="2" t="s">
        <v>575</v>
      </c>
      <c r="D657" s="2" t="s">
        <v>711</v>
      </c>
      <c r="E657" s="3" t="s">
        <v>712</v>
      </c>
      <c r="F657" s="2" t="s">
        <v>47</v>
      </c>
      <c r="G657" s="2">
        <v>2026</v>
      </c>
      <c r="H657" s="2">
        <v>51.17</v>
      </c>
      <c r="I657" s="2"/>
      <c r="J657" s="2"/>
    </row>
    <row r="658" spans="1:10" ht="14.25" customHeight="1" x14ac:dyDescent="0.35">
      <c r="A658" s="2" t="s">
        <v>710</v>
      </c>
      <c r="B658" s="2" t="s">
        <v>147</v>
      </c>
      <c r="C658" s="2" t="s">
        <v>575</v>
      </c>
      <c r="D658" s="2" t="s">
        <v>711</v>
      </c>
      <c r="E658" s="3" t="s">
        <v>712</v>
      </c>
      <c r="F658" s="2" t="s">
        <v>47</v>
      </c>
      <c r="G658" s="2">
        <v>2027</v>
      </c>
      <c r="H658" s="2">
        <v>51.34</v>
      </c>
      <c r="I658" s="2"/>
      <c r="J658" s="2"/>
    </row>
    <row r="659" spans="1:10" ht="14.25" customHeight="1" x14ac:dyDescent="0.35">
      <c r="A659" s="2" t="s">
        <v>710</v>
      </c>
      <c r="B659" s="2" t="s">
        <v>147</v>
      </c>
      <c r="C659" s="2" t="s">
        <v>575</v>
      </c>
      <c r="D659" s="2" t="s">
        <v>711</v>
      </c>
      <c r="E659" s="3" t="s">
        <v>712</v>
      </c>
      <c r="F659" s="2" t="s">
        <v>47</v>
      </c>
      <c r="G659" s="2">
        <v>2028</v>
      </c>
      <c r="H659" s="2">
        <v>55.45</v>
      </c>
      <c r="I659" s="2"/>
      <c r="J659" s="2"/>
    </row>
    <row r="660" spans="1:10" ht="14.25" customHeight="1" x14ac:dyDescent="0.35">
      <c r="A660" s="2" t="s">
        <v>710</v>
      </c>
      <c r="B660" s="2" t="s">
        <v>147</v>
      </c>
      <c r="C660" s="2" t="s">
        <v>575</v>
      </c>
      <c r="D660" s="2" t="s">
        <v>711</v>
      </c>
      <c r="E660" s="3" t="s">
        <v>712</v>
      </c>
      <c r="F660" s="2" t="s">
        <v>47</v>
      </c>
      <c r="G660" s="2">
        <v>2029</v>
      </c>
      <c r="H660" s="2">
        <v>54.91</v>
      </c>
      <c r="I660" s="2"/>
      <c r="J660" s="2"/>
    </row>
    <row r="661" spans="1:10" ht="14.25" customHeight="1" x14ac:dyDescent="0.35">
      <c r="A661" s="2" t="s">
        <v>710</v>
      </c>
      <c r="B661" s="2" t="s">
        <v>147</v>
      </c>
      <c r="C661" s="2" t="s">
        <v>575</v>
      </c>
      <c r="D661" s="2" t="s">
        <v>711</v>
      </c>
      <c r="E661" s="3" t="s">
        <v>712</v>
      </c>
      <c r="F661" s="2" t="s">
        <v>47</v>
      </c>
      <c r="G661" s="2">
        <v>2045</v>
      </c>
      <c r="H661" s="2">
        <v>100</v>
      </c>
      <c r="I661" s="2"/>
      <c r="J661" s="2"/>
    </row>
    <row r="662" spans="1:10" ht="14.25" customHeight="1" x14ac:dyDescent="0.35"/>
    <row r="663" spans="1:10" ht="14.25" customHeight="1" x14ac:dyDescent="0.35"/>
    <row r="664" spans="1:10" ht="14.25" customHeight="1" x14ac:dyDescent="0.35"/>
    <row r="665" spans="1:10" ht="14.25" customHeight="1" x14ac:dyDescent="0.35"/>
    <row r="666" spans="1:10" ht="14.25" customHeight="1" x14ac:dyDescent="0.35"/>
    <row r="667" spans="1:10" ht="14.25" customHeight="1" x14ac:dyDescent="0.35"/>
    <row r="668" spans="1:10" ht="14.25" customHeight="1" x14ac:dyDescent="0.35"/>
    <row r="669" spans="1:10" ht="14.25" customHeight="1" x14ac:dyDescent="0.35"/>
    <row r="670" spans="1:10" ht="14.25" customHeight="1" x14ac:dyDescent="0.35"/>
    <row r="671" spans="1:10" ht="14.25" customHeight="1" x14ac:dyDescent="0.35"/>
    <row r="672" spans="1:10"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J661" xr:uid="{00000000-0009-0000-0000-000001000000}"/>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Basis Data Indikator</vt:lpstr>
      <vt:lpstr>Data Target-Realisasi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Sonya Ananta Panjaitan</cp:lastModifiedBy>
  <dcterms:created xsi:type="dcterms:W3CDTF">2026-08-06T07:51:41Z</dcterms:created>
  <dcterms:modified xsi:type="dcterms:W3CDTF">2026-08-12T02:07:36Z</dcterms:modified>
</cp:coreProperties>
</file>