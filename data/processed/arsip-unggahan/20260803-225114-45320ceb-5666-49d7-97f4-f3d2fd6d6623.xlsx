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rm provinsi" sheetId="1" r:id="rId4"/>
    <sheet state="visible" name="ISV IUP Kaltara" sheetId="2" r:id="rId5"/>
    <sheet state="visible" name="ISV IUP Kaltara 2026" sheetId="3" r:id="rId6"/>
    <sheet state="hidden" name="Rakor ISV IUP Kaltara 2026" sheetId="4" r:id="rId7"/>
    <sheet state="visible" name="Rakor ISV IUP Kaltara 202607" sheetId="5" r:id="rId8"/>
  </sheets>
  <definedNames>
    <definedName hidden="1" localSheetId="0" name="_xlnm._FilterDatabase">'form provinsi'!$A$1:$AN$91</definedName>
    <definedName hidden="1" localSheetId="2" name="Z_4EAE1BC8_65EE_4A00_A0E6_850D6B66D32C_.wvu.FilterData">'ISV IUP Kaltara 2026'!$A$2:$AB$85</definedName>
    <definedName hidden="1" localSheetId="3" name="Z_4EAE1BC8_65EE_4A00_A0E6_850D6B66D32C_.wvu.FilterData">'Rakor ISV IUP Kaltara 2026'!$B$2:$AA$83</definedName>
    <definedName hidden="1" localSheetId="4" name="Z_4EAE1BC8_65EE_4A00_A0E6_850D6B66D32C_.wvu.FilterData">'Rakor ISV IUP Kaltara 202607'!$B$2:$Z$163</definedName>
    <definedName hidden="1" localSheetId="2" name="Z_576DFCCB_C935_4554_80E9_8B98F1E7C008_.wvu.FilterData">'ISV IUP Kaltara 2026'!$A$2:$AB$85</definedName>
    <definedName hidden="1" localSheetId="3" name="Z_576DFCCB_C935_4554_80E9_8B98F1E7C008_.wvu.FilterData">'Rakor ISV IUP Kaltara 2026'!$B$2:$AA$83</definedName>
    <definedName hidden="1" localSheetId="4" name="Z_576DFCCB_C935_4554_80E9_8B98F1E7C008_.wvu.FilterData">'Rakor ISV IUP Kaltara 202607'!$B$2:$Z$163</definedName>
  </definedNames>
  <calcPr/>
  <customWorkbookViews>
    <customWorkbookView activeSheetId="0" maximized="1" windowHeight="0" windowWidth="0" guid="{4EAE1BC8-65EE-4A00-A0E6-850D6B66D32C}" name="Filter tiara"/>
    <customWorkbookView activeSheetId="0" maximized="1" windowHeight="0" windowWidth="0" guid="{576DFCCB-C935-4554-80E9-8B98F1E7C008}" name="Sekar"/>
  </customWorkbookViews>
  <extLst>
    <ext uri="GoogleSheetsCustomDataVersion2">
      <go:sheetsCustomData xmlns:go="http://customooxmlschemas.google.com/" r:id="rId9" roundtripDataChecksum="FI4mkaBjTKWkMZfRDHx18XGsGT24AdgG7NOPEQYkNw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32">
      <text>
        <t xml:space="preserve">======
ID#AAAB_XMbnwI
firman sidqi    (2026-07-08 08:02:21)
14.735</t>
      </text>
    </comment>
    <comment authorId="0" ref="G32">
      <text>
        <t xml:space="preserve">======
ID#AAAB_XMbnwE
firman sidqi    (2026-07-08 08:00:14)
15.015</t>
      </text>
    </comment>
  </commentList>
  <extLst>
    <ext uri="GoogleSheetsCustomDataVersion2">
      <go:sheetsCustomData xmlns:go="http://customooxmlschemas.google.com/" r:id="rId1" roundtripDataSignature="AMtx7mibwB9ndR7FlRHj0N2fqfiAVNBB5g=="/>
    </ext>
  </extLst>
</comments>
</file>

<file path=xl/sharedStrings.xml><?xml version="1.0" encoding="utf-8"?>
<sst xmlns="http://schemas.openxmlformats.org/spreadsheetml/2006/main" count="3556" uniqueCount="814">
  <si>
    <t>PIC PJK</t>
  </si>
  <si>
    <t>Tim PJK Provinsi</t>
  </si>
  <si>
    <t>PIC Provinsi</t>
  </si>
  <si>
    <t>Periode Data</t>
  </si>
  <si>
    <t>Tahun Terakhir Data</t>
  </si>
  <si>
    <t>Ketersediaan Metadata Indikator</t>
  </si>
  <si>
    <t xml:space="preserve">Indikator Proxy </t>
  </si>
  <si>
    <t>NOTES to DANS</t>
  </si>
  <si>
    <t xml:space="preserve">Fakhriza Akbar SST., MPP., M.S.E.
</t>
  </si>
  <si>
    <t>Nerwilis</t>
  </si>
  <si>
    <t>M. Abd. Aziz Assyaukani</t>
  </si>
  <si>
    <t>Tahunan</t>
  </si>
  <si>
    <t>Tersedia</t>
  </si>
  <si>
    <t>PDRB per Kapita (Rp Juta)</t>
  </si>
  <si>
    <t>Menggunakan indikator proxy</t>
  </si>
  <si>
    <t xml:space="preserve">Windi Agustin Maulina SST, M.S.E
</t>
  </si>
  <si>
    <t>Indeks Ekonomi Biru Indonesia (IBEI)</t>
  </si>
  <si>
    <t>Sosial</t>
  </si>
  <si>
    <t>Tidak Tersedia</t>
  </si>
  <si>
    <t>Kontribusi PDRB Industri Pengolahan (%)</t>
  </si>
  <si>
    <t>dobel dengan IUP</t>
  </si>
  <si>
    <t>Distribusi</t>
  </si>
  <si>
    <t xml:space="preserve">Nur Sahrizal, S.Si, M.Si </t>
  </si>
  <si>
    <t>Tiara Kusuma Widianingrum</t>
  </si>
  <si>
    <t>Semesteran</t>
  </si>
  <si>
    <t>Produksi</t>
  </si>
  <si>
    <t>Kontribusi PDRB Provinsi</t>
  </si>
  <si>
    <t>Aprilia Ira Pratiwi, SST, M.S.E.</t>
  </si>
  <si>
    <t>Indeks Daya Saing Daerah</t>
  </si>
  <si>
    <t>Sonya Ananta Panjaitan</t>
  </si>
  <si>
    <t>Sapta Hastho Ponco SST., M.Stat.</t>
  </si>
  <si>
    <t>masuk dalam RPJMD namun data belum ada</t>
  </si>
  <si>
    <t xml:space="preserve">Nanik Supriyani, S.ST, M.Si </t>
  </si>
  <si>
    <t>Masuk RPJMD Kaltara</t>
  </si>
  <si>
    <t>Ayu Pinta Gabena Siregar</t>
  </si>
  <si>
    <t xml:space="preserve">Masfufah SST, SE, M.Si </t>
  </si>
  <si>
    <t>Tidak Masuk RPJMD Kaltara</t>
  </si>
  <si>
    <t>Ahmad Rizal Hadi Sandori</t>
  </si>
  <si>
    <t>Suryo Adi Rakhmawan SST, M.Sc.</t>
  </si>
  <si>
    <t>Lucky Hafid Kusuma</t>
  </si>
  <si>
    <t>Firman Sidqi</t>
  </si>
  <si>
    <t>Dewi Herjayanti</t>
  </si>
  <si>
    <t>Muhammad Ali Irfan</t>
  </si>
  <si>
    <t>Citra Redia Putri</t>
  </si>
  <si>
    <t>Persentase kabupaten/kota yang mencapai standar kompetensi minimum pada asesmen tingkat nasional untuk:
i) Literasi Membaca
ii) Numerasi</t>
  </si>
  <si>
    <t>indikator tidak ada di kaltara, digantikan oleh indikator proxy</t>
  </si>
  <si>
    <t>Persentase satuan pendidikan yang mencapai standar kompetensi minimum pada asesmen tingkat nasional untuk:
i) Literasi Membaca
ii) Numerasi</t>
  </si>
  <si>
    <t>indikator tidak ada di kaltara</t>
  </si>
  <si>
    <t>Proporsi Penduduk Berusia 15 Tahun ke atas yang Berkualifikasi Pendidikan Tinggi (%)</t>
  </si>
  <si>
    <t>Tidak Masuk RPJMD Kaltara, digantikan oleh proxy</t>
  </si>
  <si>
    <t>Bingung, Apa bedanya dengan tingkat kemiskinan yang di ISV</t>
  </si>
  <si>
    <t>Bingung, Apa bedanya dengan Kontirubsi industri manufaktur yang di ISV</t>
  </si>
  <si>
    <t>Rasio PDRB Penyediaan Akomodasi Makan dan Minum (%)</t>
  </si>
  <si>
    <r>
      <rPr>
        <rFont val="Lato"/>
        <sz val="9.0"/>
      </rPr>
      <t xml:space="preserve">Dini Arifatin S.ST, </t>
    </r>
    <r>
      <rPr>
        <rFont val="Lato"/>
        <color rgb="FF1155CC"/>
        <sz val="9.0"/>
        <u/>
      </rPr>
      <t>M.Si</t>
    </r>
  </si>
  <si>
    <t>Jumlah Tamu Wisatawan Mancanegara (Ribu Orang)</t>
  </si>
  <si>
    <t>Nilai Tambah Ekonomi Kreatif (Rupiah)</t>
  </si>
  <si>
    <t>Masuk RPJMD Kaltara, tapi bingung dengan metadatanya</t>
  </si>
  <si>
    <t xml:space="preserve">Mimin Karmiati M.Si
</t>
  </si>
  <si>
    <t>Proporsi Jumlah Usaha Kecil dan Menengah Non Pertanian pada Level Provinsi</t>
  </si>
  <si>
    <t>Masuk RPJMD Kaltara, menggunakan indikator proxy</t>
  </si>
  <si>
    <t>Rasio Volume Usaha Koperasi terhadap PDRB</t>
  </si>
  <si>
    <t xml:space="preserve">Andi Setiawan SST., M.Si.
</t>
  </si>
  <si>
    <t>Return on Asset (ROA) BUMD</t>
  </si>
  <si>
    <t>tidak ada dalam RPJMD Kaltara, tidak ada indikator proxy</t>
  </si>
  <si>
    <t>Indeks Inovasi Daerah</t>
  </si>
  <si>
    <t>Andres Purmalino SST., M.Si</t>
  </si>
  <si>
    <t>Indeks Pembangunan Teknologi Informasi dan Komunikasi</t>
  </si>
  <si>
    <t>Koefisien Variasi Harga Antar Wilayah Tingkat Provinsi</t>
  </si>
  <si>
    <t>Triwulanan</t>
  </si>
  <si>
    <t>Bulanan</t>
  </si>
  <si>
    <t>Ekspor Barang dan Jasa (% PDRB)</t>
  </si>
  <si>
    <t>indikator tidak ada di kaltara dan tidak ada proxy</t>
  </si>
  <si>
    <t xml:space="preserve">Mohamad Fadlian Syah, SST, M.Si </t>
  </si>
  <si>
    <t>Hendry Syaputra S.Sos, M.I.Kom</t>
  </si>
  <si>
    <t>Indeks Reformasi Hukum</t>
  </si>
  <si>
    <t xml:space="preserve">Adam Luthfi Kusumatrisna SST, M.Si.
</t>
  </si>
  <si>
    <t>Erna Yulianingsih, SST, M.Appl.Ecmets</t>
  </si>
  <si>
    <t xml:space="preserve">Tri Windiarto, S.Si, M.Si </t>
  </si>
  <si>
    <t>a. Persentase Penegakan Hukum Peraturan Daerah
b. Persentase Capaian Pelaksanaan Aksi HAM</t>
  </si>
  <si>
    <t xml:space="preserve">Agus Pramono, S.IP, M.PSDM </t>
  </si>
  <si>
    <t>Rasio Pajak Daerah terhadap PDRB (%)</t>
  </si>
  <si>
    <t xml:space="preserve">Resti Dwi Fitri SST, M.T.I.
</t>
  </si>
  <si>
    <t>Total Dana Pihak Ketiga/PDRB (%)</t>
  </si>
  <si>
    <t>Nilai Transaksi Saham per Kapita per Provinsi (Ruiah)</t>
  </si>
  <si>
    <t>Jumlah Kerja Sama Provinsi</t>
  </si>
  <si>
    <t>Indeks Ketahanan Nasional</t>
  </si>
  <si>
    <t>Tika Meilaningsih, S.Tr.Stat.</t>
  </si>
  <si>
    <t xml:space="preserve">Diana Aryanti S.P, M.Si </t>
  </si>
  <si>
    <t>Tidak masuk dalam RPJMD Kaltara</t>
  </si>
  <si>
    <t>- Konsumsi Listrik per Kapita (kWh)
- Intensitas Energi Primer (SBM/Rp Milyar)</t>
  </si>
  <si>
    <r>
      <rPr>
        <rFont val="Lato"/>
        <sz val="9.0"/>
      </rPr>
      <t xml:space="preserve">Muhlis, SST, </t>
    </r>
    <r>
      <rPr>
        <rFont val="Lato"/>
        <color rgb="FF1155CC"/>
        <sz val="9.0"/>
        <u/>
      </rPr>
      <t>M.Ec</t>
    </r>
  </si>
  <si>
    <t>Kapasitas Air Baku (m3/detik)</t>
  </si>
  <si>
    <t>Indeks Risiko Bencana (IRB)</t>
  </si>
  <si>
    <t>No</t>
  </si>
  <si>
    <t>Indikator</t>
  </si>
  <si>
    <t>Realisasi</t>
  </si>
  <si>
    <t>Target</t>
  </si>
  <si>
    <t>Keterangan</t>
  </si>
  <si>
    <t>227,10</t>
  </si>
  <si>
    <t>251,15</t>
  </si>
  <si>
    <t>275,20</t>
  </si>
  <si>
    <t>299,25</t>
  </si>
  <si>
    <t>323,30</t>
  </si>
  <si>
    <t>36,59</t>
  </si>
  <si>
    <t>37,82</t>
  </si>
  <si>
    <t>40,05</t>
  </si>
  <si>
    <t>41,28</t>
  </si>
  <si>
    <t>42,51</t>
  </si>
  <si>
    <t>8,63</t>
  </si>
  <si>
    <t>9,11</t>
  </si>
  <si>
    <t>9,83</t>
  </si>
  <si>
    <t>10,55</t>
  </si>
  <si>
    <t>11,91</t>
  </si>
  <si>
    <t>Tingkat kemiskinan</t>
  </si>
  <si>
    <t>7,36</t>
  </si>
  <si>
    <t>6,77</t>
  </si>
  <si>
    <t>6,45</t>
  </si>
  <si>
    <t>6,32</t>
  </si>
  <si>
    <t>5,54</t>
  </si>
  <si>
    <t>5,07</t>
  </si>
  <si>
    <t>5,00</t>
  </si>
  <si>
    <t>4,20</t>
  </si>
  <si>
    <t>3,77</t>
  </si>
  <si>
    <t>3,33</t>
  </si>
  <si>
    <t>Rasio gini</t>
  </si>
  <si>
    <t>0,285</t>
  </si>
  <si>
    <t>0,270</t>
  </si>
  <si>
    <t>0,277</t>
  </si>
  <si>
    <t>0,259</t>
  </si>
  <si>
    <t>0.251</t>
  </si>
  <si>
    <t>0,256</t>
  </si>
  <si>
    <t>0,253</t>
  </si>
  <si>
    <t>0,251</t>
  </si>
  <si>
    <t>0,249</t>
  </si>
  <si>
    <t>0,246</t>
  </si>
  <si>
    <t>0,70</t>
  </si>
  <si>
    <t>3,26</t>
  </si>
  <si>
    <t>3,29</t>
  </si>
  <si>
    <t>3,34</t>
  </si>
  <si>
    <t>3,38</t>
  </si>
  <si>
    <t>3,42</t>
  </si>
  <si>
    <t>3,46</t>
  </si>
  <si>
    <t>3,57</t>
  </si>
  <si>
    <t>Indeks Modal Manusia</t>
  </si>
  <si>
    <t>0,56</t>
  </si>
  <si>
    <t>0,57</t>
  </si>
  <si>
    <t>0,58</t>
  </si>
  <si>
    <t>0,59</t>
  </si>
  <si>
    <t>Penurunan intensitas emisi GRK</t>
  </si>
  <si>
    <t>81.6</t>
  </si>
  <si>
    <t>87.5</t>
  </si>
  <si>
    <t>101.1</t>
  </si>
  <si>
    <t>46,96</t>
  </si>
  <si>
    <t>60,27</t>
  </si>
  <si>
    <t>63,46</t>
  </si>
  <si>
    <t>66,66</t>
  </si>
  <si>
    <t>69,85</t>
  </si>
  <si>
    <t>Indeks Kualitas Lingkungan Hidup</t>
  </si>
  <si>
    <t>80.95</t>
  </si>
  <si>
    <t>80.67</t>
  </si>
  <si>
    <t>80.77</t>
  </si>
  <si>
    <t>79.95</t>
  </si>
  <si>
    <t>85.99</t>
  </si>
  <si>
    <t>77,77</t>
  </si>
  <si>
    <t>77,97</t>
  </si>
  <si>
    <t>78,17</t>
  </si>
  <si>
    <t>78,37</t>
  </si>
  <si>
    <t>78,57</t>
  </si>
  <si>
    <t>Usia Harapan Hidup</t>
  </si>
  <si>
    <t>73,96</t>
  </si>
  <si>
    <t>74,16</t>
  </si>
  <si>
    <t>74,37</t>
  </si>
  <si>
    <t>74,57</t>
  </si>
  <si>
    <t>74,77</t>
  </si>
  <si>
    <t>Kesehatan Ibu dan Anak: Angka Kematian Ibu</t>
  </si>
  <si>
    <t>122</t>
  </si>
  <si>
    <t>109</t>
  </si>
  <si>
    <t>97</t>
  </si>
  <si>
    <t>86</t>
  </si>
  <si>
    <t>77</t>
  </si>
  <si>
    <t>Kesehatan Ibu dan Anak: Prevalensi stunting (pendek dan sangat pendek) pada balita</t>
  </si>
  <si>
    <t>15,50</t>
  </si>
  <si>
    <t>14,50</t>
  </si>
  <si>
    <t>13,50</t>
  </si>
  <si>
    <t>12,50</t>
  </si>
  <si>
    <t>11,40</t>
  </si>
  <si>
    <t>Insidensi Tuberkulosis (per 100.000 penduduk)</t>
  </si>
  <si>
    <t>90,00</t>
  </si>
  <si>
    <t>Cakupan penemuan kasus Tuberkulosis (treatment coverage)</t>
  </si>
  <si>
    <t>Cakupan kepesertaan jaminan kesehatan nasional</t>
  </si>
  <si>
    <t>98,60</t>
  </si>
  <si>
    <t>98,70</t>
  </si>
  <si>
    <t>98,80</t>
  </si>
  <si>
    <t>99,00</t>
  </si>
  <si>
    <t>99,10</t>
  </si>
  <si>
    <t>Persentase kabupaten/kota yang mencapai standar kompetensi minimum pada asesmen tingkat nasional untuk:
 i) Literasi Membaca</t>
  </si>
  <si>
    <t>20,00</t>
  </si>
  <si>
    <t>30,00</t>
  </si>
  <si>
    <t>40,00</t>
  </si>
  <si>
    <t>50,00</t>
  </si>
  <si>
    <t>60,00</t>
  </si>
  <si>
    <t>Persentase satuan pendidikan yang mencapai standar kompetensi minimum pada asesmen tingkat nasional untuk:
 ii) Numerasi</t>
  </si>
  <si>
    <t>25,00</t>
  </si>
  <si>
    <t>35,00</t>
  </si>
  <si>
    <t>Hasil Pembelajaran: Rata-rata lama sekolah penduduk usia di atas 15 tahun (tahun)</t>
  </si>
  <si>
    <t>9,70</t>
  </si>
  <si>
    <t>9,95</t>
  </si>
  <si>
    <t>10,08</t>
  </si>
  <si>
    <t>10,20</t>
  </si>
  <si>
    <t>Hasil Pembelajaran: Harapan lama sekolah</t>
  </si>
  <si>
    <t>13,32</t>
  </si>
  <si>
    <t>13,38</t>
  </si>
  <si>
    <t>13,45</t>
  </si>
  <si>
    <t>13,51</t>
  </si>
  <si>
    <t>13,57</t>
  </si>
  <si>
    <t>14,68</t>
  </si>
  <si>
    <t>15,19</t>
  </si>
  <si>
    <t>15,45</t>
  </si>
  <si>
    <t>16,25</t>
  </si>
  <si>
    <t>16,80</t>
  </si>
  <si>
    <t>Cakupan kepesertaan jaminan sosial ketenagakerjaan</t>
  </si>
  <si>
    <t>98,90</t>
  </si>
  <si>
    <t>Persentase pekerja lulusan pendidikan menengah dan tinggi yang bekerja di bidang keahlian menengah tinggi</t>
  </si>
  <si>
    <t>77,18</t>
  </si>
  <si>
    <t>78,77</t>
  </si>
  <si>
    <t>79,56</t>
  </si>
  <si>
    <t>80,35</t>
  </si>
  <si>
    <t>Persentase penyandang disabilitas bekerja di sektor formal (%)</t>
  </si>
  <si>
    <t>42,50</t>
  </si>
  <si>
    <t>45,00</t>
  </si>
  <si>
    <t>47,50</t>
  </si>
  <si>
    <t>Produktivitas Industri dan Pertanian: Rasio PDRB Industri Pengolahan (%)</t>
  </si>
  <si>
    <t>Produktivitas Industri dan Pertanian: Pertumbuhan PDRB Pertanian, Kehutanan dan Perikanan (%)</t>
  </si>
  <si>
    <t>3,50</t>
  </si>
  <si>
    <t>3,60</t>
  </si>
  <si>
    <t>3,65</t>
  </si>
  <si>
    <t>3,70</t>
  </si>
  <si>
    <t>3,75</t>
  </si>
  <si>
    <t>Pertumbuhan PDRB Sektor Industri Pengolahan Nonmigas Provinsi</t>
  </si>
  <si>
    <t>1,75</t>
  </si>
  <si>
    <t>1,88</t>
  </si>
  <si>
    <t>2,02</t>
  </si>
  <si>
    <t>2,17</t>
  </si>
  <si>
    <t>2,33</t>
  </si>
  <si>
    <t>6.703</t>
  </si>
  <si>
    <t>22.269</t>
  </si>
  <si>
    <t>27.649</t>
  </si>
  <si>
    <t>26.604</t>
  </si>
  <si>
    <t>20.224</t>
  </si>
  <si>
    <t>16.794</t>
  </si>
  <si>
    <t>18.473</t>
  </si>
  <si>
    <t>20.320</t>
  </si>
  <si>
    <t>22.325</t>
  </si>
  <si>
    <t>24.588</t>
  </si>
  <si>
    <t>82.800.000.000</t>
  </si>
  <si>
    <t>101.799.072.594</t>
  </si>
  <si>
    <t>133.110.384.125</t>
  </si>
  <si>
    <t>1,5</t>
  </si>
  <si>
    <t>1,97</t>
  </si>
  <si>
    <t>1,99</t>
  </si>
  <si>
    <t>2,01</t>
  </si>
  <si>
    <t>2,03</t>
  </si>
  <si>
    <t>Produktivitas UMKM, Koperasi, BUMN: Rasio Kewirausahaan</t>
  </si>
  <si>
    <t>3,37</t>
  </si>
  <si>
    <t>3,52</t>
  </si>
  <si>
    <t>3,85</t>
  </si>
  <si>
    <t>4,18</t>
  </si>
  <si>
    <t>4,51</t>
  </si>
  <si>
    <t>0,31</t>
  </si>
  <si>
    <t>0,41</t>
  </si>
  <si>
    <t>0,47</t>
  </si>
  <si>
    <t>0,49</t>
  </si>
  <si>
    <t>0,52</t>
  </si>
  <si>
    <t>0,97</t>
  </si>
  <si>
    <t>1,13</t>
  </si>
  <si>
    <t>1,29</t>
  </si>
  <si>
    <t>1,45</t>
  </si>
  <si>
    <t>1,61</t>
  </si>
  <si>
    <t>Penciptaan Lapangan Kerja yang Baik: Tingkat Pengangguran Terbuka</t>
  </si>
  <si>
    <t>3,69</t>
  </si>
  <si>
    <t>3,49</t>
  </si>
  <si>
    <t>3,27</t>
  </si>
  <si>
    <t>3,09</t>
  </si>
  <si>
    <t>2,89</t>
  </si>
  <si>
    <t>Penciptaan Lapangan Kerja yang Baik: Proporsi Penciptaan Lapangan Kerja Formal (%)</t>
  </si>
  <si>
    <t>50,56</t>
  </si>
  <si>
    <t>52,53</t>
  </si>
  <si>
    <t>52,50</t>
  </si>
  <si>
    <t>53,47</t>
  </si>
  <si>
    <t>54,80</t>
  </si>
  <si>
    <t>Tingkat Partisipasi Angkatan Kerja Perempuan</t>
  </si>
  <si>
    <t>52,14</t>
  </si>
  <si>
    <t>53,56</t>
  </si>
  <si>
    <t>54,98</t>
  </si>
  <si>
    <t>56,40</t>
  </si>
  <si>
    <t>57,82</t>
  </si>
  <si>
    <t>58,05</t>
  </si>
  <si>
    <t>50.84</t>
  </si>
  <si>
    <t>58,45</t>
  </si>
  <si>
    <t>60,01</t>
  </si>
  <si>
    <t>61,00</t>
  </si>
  <si>
    <t>62,40</t>
  </si>
  <si>
    <t>65,01</t>
  </si>
  <si>
    <t>Tingkat Penerapan Ekonomi Hijau: Indeks Ekonomi Hijau</t>
  </si>
  <si>
    <t>70,47</t>
  </si>
  <si>
    <t>71,78</t>
  </si>
  <si>
    <t>73,79</t>
  </si>
  <si>
    <t>75,93</t>
  </si>
  <si>
    <t>77,14</t>
  </si>
  <si>
    <t>Tingkat Penerapan Ekonomi Hijau: Porsi EBT dalam Bauran Energi Primer (%)</t>
  </si>
  <si>
    <t>25,5</t>
  </si>
  <si>
    <t>29,50</t>
  </si>
  <si>
    <t>33,90</t>
  </si>
  <si>
    <t>38,60</t>
  </si>
  <si>
    <t>43,30</t>
  </si>
  <si>
    <t>6,50</t>
  </si>
  <si>
    <t>6,63</t>
  </si>
  <si>
    <t>6,75</t>
  </si>
  <si>
    <t>6,88</t>
  </si>
  <si>
    <t>7,00</t>
  </si>
  <si>
    <t>8,4</t>
  </si>
  <si>
    <t>8,27</t>
  </si>
  <si>
    <t>8,15</t>
  </si>
  <si>
    <t>8,02</t>
  </si>
  <si>
    <t>7,9</t>
  </si>
  <si>
    <t>Pembentukan Modal Tetap Bruto (% PDRB)</t>
  </si>
  <si>
    <t>0,65</t>
  </si>
  <si>
    <t>2,37</t>
  </si>
  <si>
    <t>9,13</t>
  </si>
  <si>
    <t>6,84</t>
  </si>
  <si>
    <t>4,47</t>
  </si>
  <si>
    <t>26,20</t>
  </si>
  <si>
    <t>27,00</t>
  </si>
  <si>
    <t>27,79</t>
  </si>
  <si>
    <t>28,59</t>
  </si>
  <si>
    <t>29,38</t>
  </si>
  <si>
    <t>14,45</t>
  </si>
  <si>
    <t>7,14</t>
  </si>
  <si>
    <t>2,41</t>
  </si>
  <si>
    <t>2,07</t>
  </si>
  <si>
    <t>2,98</t>
  </si>
  <si>
    <t>20,32</t>
  </si>
  <si>
    <t>20,96</t>
  </si>
  <si>
    <t>21,60</t>
  </si>
  <si>
    <t>22,64</t>
  </si>
  <si>
    <t>22,88</t>
  </si>
  <si>
    <t>Kota Maju, Inklusif, dan Berkelanjutan: Rumah tangga dengan akses hunian layak, terjangkau, dan berkelanjutan (%)</t>
  </si>
  <si>
    <t>74,85</t>
  </si>
  <si>
    <t>76,42</t>
  </si>
  <si>
    <t>78,00</t>
  </si>
  <si>
    <t>79,57</t>
  </si>
  <si>
    <t>81,14</t>
  </si>
  <si>
    <t>Kota Maju, Inklusif, dan Berkelanjutan: Persentase Desa Mandiri (%)</t>
  </si>
  <si>
    <t>17,23</t>
  </si>
  <si>
    <t>18,12</t>
  </si>
  <si>
    <t>19,02</t>
  </si>
  <si>
    <t>19,69</t>
  </si>
  <si>
    <t>20,36</t>
  </si>
  <si>
    <t>97,00</t>
  </si>
  <si>
    <t>97,40</t>
  </si>
  <si>
    <t>98,40</t>
  </si>
  <si>
    <t>Indeks Sistem Pemerintahan Berbasis Elektronik</t>
  </si>
  <si>
    <t>2,38</t>
  </si>
  <si>
    <t>1,98</t>
  </si>
  <si>
    <t>2,83</t>
  </si>
  <si>
    <t>3,79</t>
  </si>
  <si>
    <t>3,80</t>
  </si>
  <si>
    <t>3,84</t>
  </si>
  <si>
    <t>3,90</t>
  </si>
  <si>
    <t>3,96</t>
  </si>
  <si>
    <t>Indeks Pelayanan Publik</t>
  </si>
  <si>
    <t>4,25</t>
  </si>
  <si>
    <t>4,30</t>
  </si>
  <si>
    <t>4,32</t>
  </si>
  <si>
    <t>4,36</t>
  </si>
  <si>
    <t>Anti Korupsi: Indeks Integritas Nasional -</t>
  </si>
  <si>
    <t>75,22</t>
  </si>
  <si>
    <t>75,99</t>
  </si>
  <si>
    <t>76,76</t>
  </si>
  <si>
    <t>77,53</t>
  </si>
  <si>
    <t>78,30</t>
  </si>
  <si>
    <t>a. Persentase Penegakan Hukum Peraturan Daerah</t>
  </si>
  <si>
    <t>95,00</t>
  </si>
  <si>
    <t>96,00</t>
  </si>
  <si>
    <t>98,00</t>
  </si>
  <si>
    <t>b. Persentase Capaian Pelaksanaan Aksi HAM</t>
  </si>
  <si>
    <t>92,50</t>
  </si>
  <si>
    <t>93,00</t>
  </si>
  <si>
    <t>93,50</t>
  </si>
  <si>
    <t>94,00</t>
  </si>
  <si>
    <t>Proporsi Penduduk yang Merasa Aman Berjalan Sendirian di Area Tempat Tinggalnya (%)</t>
  </si>
  <si>
    <t>68,50</t>
  </si>
  <si>
    <t>69,25</t>
  </si>
  <si>
    <t>70,00</t>
  </si>
  <si>
    <t>70,75</t>
  </si>
  <si>
    <t>71,50</t>
  </si>
  <si>
    <t>Indeks Demokrasi Indonesia</t>
  </si>
  <si>
    <t>79,50</t>
  </si>
  <si>
    <t>80,25</t>
  </si>
  <si>
    <t>81,55</t>
  </si>
  <si>
    <t>82,75</t>
  </si>
  <si>
    <t>83,15</t>
  </si>
  <si>
    <t>0,72</t>
  </si>
  <si>
    <t>0,74</t>
  </si>
  <si>
    <t>0,76</t>
  </si>
  <si>
    <t>0,78</t>
  </si>
  <si>
    <t>Tingkat inflasi</t>
  </si>
  <si>
    <t>2,50</t>
  </si>
  <si>
    <t>18,97</t>
  </si>
  <si>
    <t>22,81</t>
  </si>
  <si>
    <t>26,64</t>
  </si>
  <si>
    <t>30,48</t>
  </si>
  <si>
    <t>34,31</t>
  </si>
  <si>
    <t>Pendalaman/Intermediasi Sektor Keuangan: Aset Dana Pensiun/PDB (%)</t>
  </si>
  <si>
    <t>0,23</t>
  </si>
  <si>
    <t>0,48</t>
  </si>
  <si>
    <t>0,99</t>
  </si>
  <si>
    <t>1,24</t>
  </si>
  <si>
    <t>Nilai Transaksi Saham per Kapita per Provinsi (Rupiah)</t>
  </si>
  <si>
    <t>3.449.809,08</t>
  </si>
  <si>
    <t>5.235.330,10</t>
  </si>
  <si>
    <t>7.020.851,11</t>
  </si>
  <si>
    <t>8.806.372,13</t>
  </si>
  <si>
    <t>10.591.893,14</t>
  </si>
  <si>
    <t>Pendalaman/Intermediasi Sektor Keuangan: Total Kredit/PDB (%)</t>
  </si>
  <si>
    <t>12,00</t>
  </si>
  <si>
    <t>15,58</t>
  </si>
  <si>
    <t>19,15</t>
  </si>
  <si>
    <t>22,73</t>
  </si>
  <si>
    <t>26,30</t>
  </si>
  <si>
    <t>Inklusi Keuangan (%)</t>
  </si>
  <si>
    <t>97,30</t>
  </si>
  <si>
    <t>97,65</t>
  </si>
  <si>
    <t>98,01</t>
  </si>
  <si>
    <t>98,36</t>
  </si>
  <si>
    <t>98,71</t>
  </si>
  <si>
    <t>18</t>
  </si>
  <si>
    <t>19</t>
  </si>
  <si>
    <t>2,55</t>
  </si>
  <si>
    <t>2,65</t>
  </si>
  <si>
    <t>2,75</t>
  </si>
  <si>
    <t>2,85</t>
  </si>
  <si>
    <t>2,95</t>
  </si>
  <si>
    <t>Indeks Pembangunan Kebudayaan</t>
  </si>
  <si>
    <t>57,87</t>
  </si>
  <si>
    <t>58,40</t>
  </si>
  <si>
    <t>58,93</t>
  </si>
  <si>
    <t>59,46</t>
  </si>
  <si>
    <t>59,99</t>
  </si>
  <si>
    <t>Indeks Kerukunan Umat Beragama:</t>
  </si>
  <si>
    <t>79,24</t>
  </si>
  <si>
    <t>79,62</t>
  </si>
  <si>
    <t>80,01</t>
  </si>
  <si>
    <t>80,39</t>
  </si>
  <si>
    <t>80,77</t>
  </si>
  <si>
    <t>Indeks Pembangunan Kualitas Keluarga</t>
  </si>
  <si>
    <t>71,71</t>
  </si>
  <si>
    <t>75,94</t>
  </si>
  <si>
    <t>74,03</t>
  </si>
  <si>
    <t>77,50</t>
  </si>
  <si>
    <t>78,15</t>
  </si>
  <si>
    <t>78,80</t>
  </si>
  <si>
    <t>79,44</t>
  </si>
  <si>
    <t>80,09</t>
  </si>
  <si>
    <t>Indeks Ketimpangan Gender (IKG)</t>
  </si>
  <si>
    <t>0,43</t>
  </si>
  <si>
    <t>0,42</t>
  </si>
  <si>
    <t>0,40</t>
  </si>
  <si>
    <t>Indeks Pengelolaan Keanekaragaman Hayati</t>
  </si>
  <si>
    <t>0,434</t>
  </si>
  <si>
    <t>0,437</t>
  </si>
  <si>
    <t>0,440</t>
  </si>
  <si>
    <t>0,447</t>
  </si>
  <si>
    <t>0,453</t>
  </si>
  <si>
    <t>Kualitas Lingkungan Hidup: Indeks Kualitas Lingkungan Hidup - Indeks Kualitas Udara (IKU)</t>
  </si>
  <si>
    <t>99,43</t>
  </si>
  <si>
    <t>94.52</t>
  </si>
  <si>
    <t>93.91</t>
  </si>
  <si>
    <t>92.99</t>
  </si>
  <si>
    <t>91.25</t>
  </si>
  <si>
    <t>Target tidak ditetapkan dalam dokumen RPJPD maupun RPJMD</t>
  </si>
  <si>
    <t>Kualitas Lingkungan Hidup: Indeks Kualitas Lingkungan Hidup - Indeks Kualitas Air (IKA)</t>
  </si>
  <si>
    <t>57.34</t>
  </si>
  <si>
    <t>54.46</t>
  </si>
  <si>
    <t>55.93</t>
  </si>
  <si>
    <t>54.31</t>
  </si>
  <si>
    <t>73.14</t>
  </si>
  <si>
    <t>Kualitas Lingkungan Hidup: Indeks Kualitas Lingkungan Hidup - Indeks Kualitas Lahan (IKL)</t>
  </si>
  <si>
    <t>99.96</t>
  </si>
  <si>
    <t>Kualitas Lingkungan Hidup: Indeks Kualitas Lingkungan Hidup - Indeks Kualitas Air Laut (IKAL)</t>
  </si>
  <si>
    <t>81.52</t>
  </si>
  <si>
    <t>84.85</t>
  </si>
  <si>
    <t>83.4</t>
  </si>
  <si>
    <t>84.65</t>
  </si>
  <si>
    <t>88.58</t>
  </si>
  <si>
    <t>Kualitas Lingkungan Hidup: Rumah Tangga dengan Akses Sanitasi Aman (%)</t>
  </si>
  <si>
    <t>6,00</t>
  </si>
  <si>
    <t>8,00</t>
  </si>
  <si>
    <t>9,00</t>
  </si>
  <si>
    <t>10,00</t>
  </si>
  <si>
    <t>Kualitas Lingkungan Hidup: Timbulan Sampah Terolah di Fasilitas Pengolahan Sampah (%)</t>
  </si>
  <si>
    <t>16,00</t>
  </si>
  <si>
    <t>32,25</t>
  </si>
  <si>
    <t>48,50</t>
  </si>
  <si>
    <t>64,75</t>
  </si>
  <si>
    <t>81,00</t>
  </si>
  <si>
    <t>Timbulan Sampah Terolah di Fasilitas Pengolahan Sampah</t>
  </si>
  <si>
    <t>72.a</t>
  </si>
  <si>
    <t>Konsumsi Listrik per Kapita (kWh)</t>
  </si>
  <si>
    <t>1.686,3</t>
  </si>
  <si>
    <t>2.020,3</t>
  </si>
  <si>
    <t>2.398,9</t>
  </si>
  <si>
    <t>2.820,5</t>
  </si>
  <si>
    <t>3.301,2</t>
  </si>
  <si>
    <t>72.b</t>
  </si>
  <si>
    <t>Intensitas Energi Primer (SBM/Rp Milyar)</t>
  </si>
  <si>
    <t>115,0</t>
  </si>
  <si>
    <t>118,1</t>
  </si>
  <si>
    <t>121,0</t>
  </si>
  <si>
    <t>123,9</t>
  </si>
  <si>
    <t>127,0</t>
  </si>
  <si>
    <t>Ketahanan Energi, Air, dan Pangan: Prevalensi ketidakcukupan konsumsi pangan (%)</t>
  </si>
  <si>
    <t>14,23</t>
  </si>
  <si>
    <t>13,16</t>
  </si>
  <si>
    <t>12,08</t>
  </si>
  <si>
    <t>11,01</t>
  </si>
  <si>
    <t>9,93</t>
  </si>
  <si>
    <t>0,55</t>
  </si>
  <si>
    <t>0,84</t>
  </si>
  <si>
    <t>Ketahanan Energi, Air, dan Pangan: Ketahanan Air - Akses Rumah Tangga Perkotaan terhadap Air Siap Minum Perpipaan (%)</t>
  </si>
  <si>
    <t>48,32</t>
  </si>
  <si>
    <t>51,55</t>
  </si>
  <si>
    <t>54,78</t>
  </si>
  <si>
    <t>58,01</t>
  </si>
  <si>
    <t>61,24</t>
  </si>
  <si>
    <t>121,35</t>
  </si>
  <si>
    <t>157,62</t>
  </si>
  <si>
    <t>154,00</t>
  </si>
  <si>
    <t>151,00</t>
  </si>
  <si>
    <t>149,00</t>
  </si>
  <si>
    <t>147,00</t>
  </si>
  <si>
    <t>Persentase Penurunan Emisi GRK(%): Kumulatif</t>
  </si>
  <si>
    <t>34,65</t>
  </si>
  <si>
    <t>35,01</t>
  </si>
  <si>
    <t>35,83</t>
  </si>
  <si>
    <t>36,87</t>
  </si>
  <si>
    <t>38,06</t>
  </si>
  <si>
    <t>Persentase Penurunan Emisi GRK(%): Tahunan</t>
  </si>
  <si>
    <t>45,93</t>
  </si>
  <si>
    <t>51,17</t>
  </si>
  <si>
    <t>51,34</t>
  </si>
  <si>
    <t>55,45</t>
  </si>
  <si>
    <t>54,91</t>
  </si>
  <si>
    <t>Tim PIC</t>
  </si>
  <si>
    <t>Tim Nerwilis</t>
  </si>
  <si>
    <t>Tim Sosial</t>
  </si>
  <si>
    <t>Tim Distribusi</t>
  </si>
  <si>
    <t>Tim Produksi</t>
  </si>
  <si>
    <t>priode realisasi</t>
  </si>
  <si>
    <t>Setda-Biro Ekonomi</t>
  </si>
  <si>
    <t>157,09</t>
  </si>
  <si>
    <t>192,59</t>
  </si>
  <si>
    <t>201,79</t>
  </si>
  <si>
    <t>198,68</t>
  </si>
  <si>
    <t>208,21</t>
  </si>
  <si>
    <t>BPS PDRB per Kapita ADHB</t>
  </si>
  <si>
    <t>PJK</t>
  </si>
  <si>
    <t>Sekar</t>
  </si>
  <si>
    <t>Tiara</t>
  </si>
  <si>
    <t>Lucky</t>
  </si>
  <si>
    <t>Ali</t>
  </si>
  <si>
    <t>Dinas Perikanan dan Kelautan</t>
  </si>
  <si>
    <t xml:space="preserve">33,47 </t>
  </si>
  <si>
    <t>Sumber data Bapennas</t>
  </si>
  <si>
    <t>Aziz</t>
  </si>
  <si>
    <t>Ayu Pinta</t>
  </si>
  <si>
    <t>Firman</t>
  </si>
  <si>
    <t>Citra</t>
  </si>
  <si>
    <t>Dinas Perindustrian dan Perdagangan</t>
  </si>
  <si>
    <t>8,90</t>
  </si>
  <si>
    <t>7,77</t>
  </si>
  <si>
    <t>7,69</t>
  </si>
  <si>
    <t>8,75</t>
  </si>
  <si>
    <t>BPS: Distribusi Industri Pengolahan</t>
  </si>
  <si>
    <t>Sonya</t>
  </si>
  <si>
    <t>Alul</t>
  </si>
  <si>
    <t>Dewi</t>
  </si>
  <si>
    <t>Dinas Sosial</t>
  </si>
  <si>
    <t>BPS</t>
  </si>
  <si>
    <t>Rizal</t>
  </si>
  <si>
    <t>BAPPEDA</t>
  </si>
  <si>
    <t>Farel</t>
  </si>
  <si>
    <t>0,66</t>
  </si>
  <si>
    <t>0,67</t>
  </si>
  <si>
    <t>3,19</t>
  </si>
  <si>
    <r>
      <rPr/>
      <t xml:space="preserve">data dari luar BPS. butuh pejelasan metadata
sumber: </t>
    </r>
    <r>
      <rPr>
        <color rgb="FF1155CC"/>
        <u/>
      </rPr>
      <t>https://brin.go.id/drid/page/indeks-daya-saing-daerah</t>
    </r>
  </si>
  <si>
    <t>data tidak tersedia</t>
  </si>
  <si>
    <t>Dinas Lingkungan Hidup</t>
  </si>
  <si>
    <t xml:space="preserve">1. Penurunan Emisi Gas Rumah Kaca (GRK): Laporan
AKSARA, Kementerian PPN/Bappenas; 
2. Produk Domestik Regional Bruto (Harga Konstan 2010):
BPS. </t>
  </si>
  <si>
    <t>Dinas Kesehatan</t>
  </si>
  <si>
    <t>27,5</t>
  </si>
  <si>
    <t>22,1</t>
  </si>
  <si>
    <t>17,4</t>
  </si>
  <si>
    <t>17,6</t>
  </si>
  <si>
    <t>SSGI Kemenkes</t>
  </si>
  <si>
    <t>Insidensi Tuberkulosis (per 100.000 penduduk): Cakupan penemuan kasus Tuberkulosis (treatment coverage)</t>
  </si>
  <si>
    <t>data tidak tersedia, dari Dinkes/Kemenkes</t>
  </si>
  <si>
    <t>BPJS</t>
  </si>
  <si>
    <t>sumber data BPJS dan DJSN menurut bukped</t>
  </si>
  <si>
    <t>16a</t>
  </si>
  <si>
    <t>Dinas Pendidikan</t>
  </si>
  <si>
    <t>Sumber: Perhitungan dari dinas pendidikan Kaltara</t>
  </si>
  <si>
    <t>16b</t>
  </si>
  <si>
    <t>Persentase kabupaten/kota yang mencapai standar kompetensi minimum pada asesmen tingkat nasional untuk:
 ii) Numerasi</t>
  </si>
  <si>
    <t>17a</t>
  </si>
  <si>
    <t>Persentase satuan pendidikan yang mencapai standar kompetensi minimum pada asesmen tingkat nasional untuk:
 i) Literasi Membaca</t>
  </si>
  <si>
    <t>17b</t>
  </si>
  <si>
    <t>9,27</t>
  </si>
  <si>
    <t>9,34</t>
  </si>
  <si>
    <t>9,35</t>
  </si>
  <si>
    <t>9,44</t>
  </si>
  <si>
    <t>12,94</t>
  </si>
  <si>
    <t>13,06</t>
  </si>
  <si>
    <t>13,20</t>
  </si>
  <si>
    <t>13,21</t>
  </si>
  <si>
    <t>13,31</t>
  </si>
  <si>
    <t>Setda-Biro Kesra</t>
  </si>
  <si>
    <t>11,24</t>
  </si>
  <si>
    <t>11,45</t>
  </si>
  <si>
    <t>11,77</t>
  </si>
  <si>
    <t>11,34</t>
  </si>
  <si>
    <t>12,90</t>
  </si>
  <si>
    <t>BPS: Susenas</t>
  </si>
  <si>
    <t>BPJS Ketenagakerjaan dan BPS, Susenas.(di Susenas tidak bisa mengolah data jaminan sosial ketenagakerjaan)</t>
  </si>
  <si>
    <t>(Sakernas) definisi bidang keahlian menengah tinggi tidak ada ukuran jelasnya</t>
  </si>
  <si>
    <t>Dinas Ketenagakerjaan dan Migrasi</t>
  </si>
  <si>
    <t>BPS: Sakernas</t>
  </si>
  <si>
    <t>25a</t>
  </si>
  <si>
    <t xml:space="preserve">Produktivitas Industri dan Pertanian: Pertumbuhan PDRB Pertanian, Kehutanan dan Perikanan (%) </t>
  </si>
  <si>
    <t>3,43</t>
  </si>
  <si>
    <t>3,74</t>
  </si>
  <si>
    <t>2,60</t>
  </si>
  <si>
    <t>BPS: Laju Perumbuhan PDRB Pertanian, Kehutanan, dan Perikanan</t>
  </si>
  <si>
    <t>25b</t>
  </si>
  <si>
    <t>Produktivitas Industri dan Pertanian: Pertumbuhan PDRB Sektor Industri Pengolahan Nonmigas Provinsi</t>
  </si>
  <si>
    <t>BPS: Laju Perumbuhan PDRB Industri Pengolahan Nonmigas</t>
  </si>
  <si>
    <t>Dinas Pariwisata</t>
  </si>
  <si>
    <t>1,50</t>
  </si>
  <si>
    <t>1,38</t>
  </si>
  <si>
    <t>1,65</t>
  </si>
  <si>
    <t>1,77</t>
  </si>
  <si>
    <t>15</t>
  </si>
  <si>
    <t xml:space="preserve">Data tidak tersedia, subsektor yang digunakan berbeda. </t>
  </si>
  <si>
    <t>Dinas Koperasi, UKM</t>
  </si>
  <si>
    <t>Data tidak tersedia</t>
  </si>
  <si>
    <t>PDRB ADHB Kaltara (Juta Rupiah)
2021: 111.530.221,6
2022: 138.674.956,6
2023: 147.278.623,3
2024: 146.976.698,9
2025: 156.025.744,7
Sumber data volume usaha koperasi daerah dari ODS Koperasi. Kementerian Koperasi dan UKM</t>
  </si>
  <si>
    <t>Penciptaan Lapangan Kerja yang Baik: Tingkat Pengangguran Terbuka (Semester 1;Semester 2)</t>
  </si>
  <si>
    <t>Dinas Tenaga Kerja dan Transmigrasi</t>
  </si>
  <si>
    <t>4.67;4.58</t>
  </si>
  <si>
    <t>4.62;4.33</t>
  </si>
  <si>
    <t>4.10;4.01</t>
  </si>
  <si>
    <t>4.01;3.9</t>
  </si>
  <si>
    <t>3.9;3.85</t>
  </si>
  <si>
    <t>tidak ada kondef didalam buku pedomannya</t>
  </si>
  <si>
    <t>Dinas P3A</t>
  </si>
  <si>
    <t>17</t>
  </si>
  <si>
    <t>Data dari eksternal BPS, butuh penjelasan meta data</t>
  </si>
  <si>
    <t>Dinas ESDM</t>
  </si>
  <si>
    <t>Data belum tersedia. sumber data dari Bappenas</t>
  </si>
  <si>
    <t>BRIDA</t>
  </si>
  <si>
    <t>Data belum tersedia. sumber data dari ESDM</t>
  </si>
  <si>
    <t>Data belum tersedia. sumber data BPS dan Komdigi</t>
  </si>
  <si>
    <t>Dinas Penanaman Modal dan Pelayanan Terpatu Satu Pintu</t>
  </si>
  <si>
    <t xml:space="preserve">data belum tersedia; sumber data: kementerian perdagangan </t>
  </si>
  <si>
    <t>28,50</t>
  </si>
  <si>
    <t>24,39</t>
  </si>
  <si>
    <t>26,01</t>
  </si>
  <si>
    <t>28,48</t>
  </si>
  <si>
    <t>28,38</t>
  </si>
  <si>
    <t>data berbeda dengan yang di input bapperida. perlu konfirmasi metode penghitungan</t>
  </si>
  <si>
    <t>Dinas Perkimtan</t>
  </si>
  <si>
    <t>80,76</t>
  </si>
  <si>
    <t>84,39</t>
  </si>
  <si>
    <t>86,45</t>
  </si>
  <si>
    <t>84,86</t>
  </si>
  <si>
    <t>85,79</t>
  </si>
  <si>
    <t>Dinas Pemberdayaan Masyarakat Desa</t>
  </si>
  <si>
    <t>65,65</t>
  </si>
  <si>
    <t>67,21</t>
  </si>
  <si>
    <t>71,43</t>
  </si>
  <si>
    <t>69,65</t>
  </si>
  <si>
    <t>74,86</t>
  </si>
  <si>
    <t>BPS: persentase rumah tangga yang memiliki akses terhadap hunian yang layak dan terjangkau</t>
  </si>
  <si>
    <t>Setda-Biro Organisasi</t>
  </si>
  <si>
    <t>6,94</t>
  </si>
  <si>
    <t>8,72</t>
  </si>
  <si>
    <t>12,98</t>
  </si>
  <si>
    <t>16,11</t>
  </si>
  <si>
    <r>
      <rPr/>
      <t xml:space="preserve">DPMD: Data Indeks Desa Membangun untuk wilayah Kalimantan Utara
</t>
    </r>
    <r>
      <rPr>
        <color rgb="FF1155CC"/>
        <u/>
      </rPr>
      <t>https://dpmd.kaltaraprov.go.id/rekap/idm.php?tahun=&amp;kecamatan=&amp;status=</t>
    </r>
  </si>
  <si>
    <t>Diskominfosantik</t>
  </si>
  <si>
    <t>Sumber data KemenPANRB</t>
  </si>
  <si>
    <t>23</t>
  </si>
  <si>
    <t>Data bersumber dari Bappeda</t>
  </si>
  <si>
    <t>Badan Kesatuan Bangsa dan Politik Daerah</t>
  </si>
  <si>
    <t>BAPENDA</t>
  </si>
  <si>
    <t>53,18</t>
  </si>
  <si>
    <t>87,97</t>
  </si>
  <si>
    <t>- 2021 bersumber SPTK, nama indikatornya persentase ruta yg merasa khawatir dgn keamanan saat berjalan kaki sendirian di malam hari
- 2022-2023 hasil proyeksi dr 2021
- 2024 bersumber dr Susenas MBSP 2025, nama indikatornya persentase ruta yg merasa aman saat berjalan kaki sendirian pd malam hari di lingkungan sekitar rumah
- 2025 bersumber dr Susenas Maret 2025, nama indikatornya persentase ruta yg merasa aman saat berjalan kaki sendirian pd malam hari di lingkungan sekitar rumah
Nama indikator yg digunakan pd 2021-2023 berbeda dgn 2024. Jd, sebenarnya tidak bisa dibandingkan. Yang ditampilkan hanya tahun 2024 dan 2025 saja,</t>
  </si>
  <si>
    <t>81.07</t>
  </si>
  <si>
    <t>25</t>
  </si>
  <si>
    <t>Bappenda dan BKAD</t>
  </si>
  <si>
    <t>2,73</t>
  </si>
  <si>
    <t>4,74</t>
  </si>
  <si>
    <t>2,44</t>
  </si>
  <si>
    <t>2,57</t>
  </si>
  <si>
    <t>YoY</t>
  </si>
  <si>
    <t>Data DPK bersumber dari OJK, butuh penjelasan meta data terkait konversi satuan dan nilai tahunan</t>
  </si>
  <si>
    <t>Pendalaman/Intermediasi Sektor Keuangan: Aset Dana Pensiun/PDRB (%)</t>
  </si>
  <si>
    <t>Data ADP belum tersedia. sumber data dari eksternal</t>
  </si>
  <si>
    <t>Data belum tersedia. sumber data dari OJK</t>
  </si>
  <si>
    <t>Data Total Kedit belum tersedia. sumber data dari eksternal</t>
  </si>
  <si>
    <t>OJK</t>
  </si>
  <si>
    <t>91,69</t>
  </si>
  <si>
    <t>angka hingga level provinsi tidak tersedia pada tahun 2021, 2023-2025</t>
  </si>
  <si>
    <t>Bapperida</t>
  </si>
  <si>
    <t>Belum tersedia metadata</t>
  </si>
  <si>
    <t>Belum tersedia untuk kalimantan utara,  data bersumber dari Bapperida</t>
  </si>
  <si>
    <t>50,08</t>
  </si>
  <si>
    <t>55,40</t>
  </si>
  <si>
    <t>56,70</t>
  </si>
  <si>
    <t>51,81</t>
  </si>
  <si>
    <t>Kementerian Kebudayaan RI. Data tahun 2025 belum tersedia.</t>
  </si>
  <si>
    <t>Kemenag</t>
  </si>
  <si>
    <t>78.55</t>
  </si>
  <si>
    <t>78.64</t>
  </si>
  <si>
    <t>27</t>
  </si>
  <si>
    <t>Data Indeks Kualitas Keluarga KemenPPPA terakhir sampai tahun 2023</t>
  </si>
  <si>
    <t>Indeks Pengelolaan Keanekaragaman Hayati Daerah</t>
  </si>
  <si>
    <t>DInas Lingkungan Hidup</t>
  </si>
  <si>
    <t>2.39</t>
  </si>
  <si>
    <t>5.68</t>
  </si>
  <si>
    <t>5.84</t>
  </si>
  <si>
    <t>5.79</t>
  </si>
  <si>
    <t>4.34</t>
  </si>
  <si>
    <t>29</t>
  </si>
  <si>
    <t xml:space="preserve">Konsumsi Listrik per kapita (kWh/Kapita) adalah pemakaian tenaga listrik dibagi jumlah penduduk pada suatu wilayah dalam periode satu tahun. Pemakaian tenaga listrik tersebut merupakan jumlah kWh (kilo Watt hours) energi listrik yang digunakan secara langsung ataupun tidak langsung. sumber data Kementerian ESDM, PT PLN, dan BPS  (sepertinya BPS Hanya jumlah penduduk saja) </t>
  </si>
  <si>
    <t xml:space="preserve">Intensitas energi primer diperoleh dengan cara membagi total pasokan energi primer dengan produk domestik bruto berdasarkan paritas daya beli. sumbernya Handbook of Energy &amp; Economic Statistics of Indonesia, Kementerian ESDM  </t>
  </si>
  <si>
    <t>12,75</t>
  </si>
  <si>
    <t>23,01</t>
  </si>
  <si>
    <t>15,92</t>
  </si>
  <si>
    <t>14,61</t>
  </si>
  <si>
    <t>14,48</t>
  </si>
  <si>
    <t xml:space="preserve">Debit air yang dapat diolah dan atau dimanfaatkan untuk keperluan domestik, perkotaan, industri, dan lain-lain yang bersumber dari mata air, air tanah, air permukaan, air hujan, atau sumber air lainnya. sumber 1. Buku Informasi Statistik Infrastruktur PUPR (Kementerian Pekerjaan Umum dan Perumahan Rakyat) </t>
  </si>
  <si>
    <t>1. Surveilans Kualitas Air Minum Rumah Tangga oleh
Kementerian Kesehatan/Dinas Kesehatan 
2. Survei Sosial Ekonomi Nasional (Susenas) KOR BPS</t>
  </si>
  <si>
    <t>BPBD</t>
  </si>
  <si>
    <t>Kategori</t>
  </si>
  <si>
    <t>ISV</t>
  </si>
  <si>
    <t>data dari luar BPS. butuh pejelasan metadata</t>
  </si>
  <si>
    <t>IUP</t>
  </si>
  <si>
    <t>BPS: Sakernas (di Susenas tidak bisa mengolah data jaminan sosial ketenagakerjaan)</t>
  </si>
  <si>
    <r>
      <rPr/>
      <t xml:space="preserve">DPMD: Data Indeks Desa Membangun untuk wilayah Kalimantan Utara
</t>
    </r>
    <r>
      <rPr>
        <color rgb="FF1155CC"/>
        <u/>
      </rPr>
      <t>https://dpmd.kaltaraprov.go.id/rekap/idm.php?tahun=&amp;kecamatan=&amp;status=</t>
    </r>
  </si>
  <si>
    <t>Tahun</t>
  </si>
  <si>
    <t>1.612,75</t>
  </si>
  <si>
    <t>44,83</t>
  </si>
  <si>
    <t>25,26</t>
  </si>
  <si>
    <t>0,54</t>
  </si>
  <si>
    <t>0,209</t>
  </si>
  <si>
    <t>0,85</t>
  </si>
  <si>
    <t>4,5</t>
  </si>
  <si>
    <t>0,71</t>
  </si>
  <si>
    <t>100,00</t>
  </si>
  <si>
    <t>84,64</t>
  </si>
  <si>
    <t>79,35</t>
  </si>
  <si>
    <t>16</t>
  </si>
  <si>
    <t>3,6</t>
  </si>
  <si>
    <t>99,50</t>
  </si>
  <si>
    <t>80,00</t>
  </si>
  <si>
    <t>12,59</t>
  </si>
  <si>
    <t>14,80</t>
  </si>
  <si>
    <t>11,92 - 12,67</t>
  </si>
  <si>
    <t>95,32</t>
  </si>
  <si>
    <t>85,00</t>
  </si>
  <si>
    <t>5,35</t>
  </si>
  <si>
    <t>133.110.384.126</t>
  </si>
  <si>
    <t>5,17</t>
  </si>
  <si>
    <t>63,80</t>
  </si>
  <si>
    <t>93,78</t>
  </si>
  <si>
    <t>72,00</t>
  </si>
  <si>
    <t>7,80</t>
  </si>
  <si>
    <t>2,82</t>
  </si>
  <si>
    <t>22,03</t>
  </si>
  <si>
    <t>44,48</t>
  </si>
  <si>
    <t>9,40</t>
  </si>
  <si>
    <r>
      <rPr/>
      <t xml:space="preserve">DPMD: Data Indeks Desa Membangun untuk wilayah Kalimantan Utara
</t>
    </r>
    <r>
      <rPr>
        <color rgb="FF1155CC"/>
        <u/>
      </rPr>
      <t>https://dpmd.kaltaraprov.go.id/rekap/idm.php?tahun=&amp;kecamatan=&amp;status=</t>
    </r>
  </si>
  <si>
    <t>90,61</t>
  </si>
  <si>
    <t>100</t>
  </si>
  <si>
    <t>81,10</t>
  </si>
  <si>
    <t xml:space="preserve">Tinggi
</t>
  </si>
  <si>
    <t>1,00</t>
  </si>
  <si>
    <t>3,00</t>
  </si>
  <si>
    <t>73,50</t>
  </si>
  <si>
    <t>24.914.798,68</t>
  </si>
  <si>
    <t>69,20</t>
  </si>
  <si>
    <t>99,13</t>
  </si>
  <si>
    <t>4</t>
  </si>
  <si>
    <t>4,09</t>
  </si>
  <si>
    <t>66,87</t>
  </si>
  <si>
    <t>89,56</t>
  </si>
  <si>
    <t>76,58 - 76,72</t>
  </si>
  <si>
    <t>0,213</t>
  </si>
  <si>
    <t>0,596</t>
  </si>
  <si>
    <t>5.170,00</t>
  </si>
  <si>
    <t>134,23</t>
  </si>
  <si>
    <t>69,57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</si>
</sst>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31">
    <font>
      <sz val="10.0"/>
      <color rgb="FF000000"/>
      <name val="Arial"/>
      <scheme val="minor"/>
    </font>
    <font>
      <b/>
      <sz val="9.0"/>
      <color theme="1"/>
      <name val="Lato"/>
    </font>
    <font>
      <sz val="9.0"/>
      <color theme="1"/>
      <name val="Lato"/>
    </font>
    <font>
      <u/>
      <sz val="9.0"/>
      <color theme="1"/>
      <name val="Lato"/>
    </font>
    <font>
      <u/>
      <sz val="9.0"/>
      <color theme="1"/>
      <name val="Lato"/>
    </font>
    <font>
      <sz val="9.0"/>
      <color rgb="FF1155CC"/>
      <name val="Lato"/>
    </font>
    <font>
      <sz val="9.0"/>
      <color rgb="FF000000"/>
      <name val="Lato"/>
    </font>
    <font>
      <sz val="9.0"/>
      <color rgb="FF11734B"/>
      <name val="Lato"/>
    </font>
    <font>
      <u/>
      <sz val="9.0"/>
      <color theme="1"/>
      <name val="Lato"/>
    </font>
    <font>
      <u/>
      <sz val="9.0"/>
      <color rgb="FF1155CC"/>
      <name val="Lato"/>
    </font>
    <font>
      <sz val="9.0"/>
      <color rgb="FF753800"/>
      <name val="Lato"/>
    </font>
    <font>
      <u/>
      <sz val="9.0"/>
      <color rgb="FF0000FF"/>
      <name val="Lato"/>
    </font>
    <font>
      <sz val="10.0"/>
      <color rgb="FF000000"/>
      <name val="Arial"/>
    </font>
    <font>
      <u/>
      <sz val="9.0"/>
      <color rgb="FF1155CC"/>
      <name val="Lato"/>
    </font>
    <font>
      <u/>
      <sz val="9.0"/>
      <color rgb="FF0000FF"/>
      <name val="Lato"/>
    </font>
    <font>
      <u/>
      <sz val="9.0"/>
      <color rgb="FF0000FF"/>
      <name val="Lato"/>
    </font>
    <font>
      <color theme="1"/>
      <name val="Arial"/>
      <scheme val="minor"/>
    </font>
    <font>
      <b/>
      <color rgb="FF000000"/>
      <name val="Arial"/>
    </font>
    <font/>
    <font>
      <color rgb="FF000000"/>
      <name val="Arial"/>
    </font>
    <font>
      <color theme="1"/>
      <name val="Arial"/>
    </font>
    <font>
      <b/>
      <sz val="11.0"/>
      <color theme="1"/>
      <name val="Lato"/>
    </font>
    <font>
      <b/>
      <sz val="11.0"/>
      <color theme="1"/>
      <name val="Arial"/>
      <scheme val="minor"/>
    </font>
    <font>
      <sz val="11.0"/>
      <color theme="1"/>
      <name val="Lato"/>
    </font>
    <font>
      <sz val="11.0"/>
      <color theme="1"/>
      <name val="Arial"/>
      <scheme val="minor"/>
    </font>
    <font>
      <u/>
      <color rgb="FF0000FF"/>
    </font>
    <font>
      <color rgb="FF000000"/>
      <name val="Lato"/>
    </font>
    <font>
      <u/>
      <color rgb="FF0000FF"/>
    </font>
    <font>
      <sz val="11.0"/>
      <color rgb="FF000000"/>
      <name val="Arial"/>
    </font>
    <font>
      <sz val="11.0"/>
      <color theme="1"/>
      <name val="Arial"/>
    </font>
    <font>
      <u/>
      <color rgb="FF0000FF"/>
    </font>
  </fonts>
  <fills count="13">
    <fill>
      <patternFill patternType="none"/>
    </fill>
    <fill>
      <patternFill patternType="lightGray"/>
    </fill>
    <fill>
      <patternFill patternType="solid">
        <fgColor rgb="FFFF9900"/>
        <bgColor rgb="FFFF9900"/>
      </patternFill>
    </fill>
    <fill>
      <patternFill patternType="solid">
        <fgColor rgb="FFF4CCCC"/>
        <bgColor rgb="FFF4CCCC"/>
      </patternFill>
    </fill>
    <fill>
      <patternFill patternType="solid">
        <fgColor rgb="FFFFFFFF"/>
        <bgColor rgb="FFFFFFFF"/>
      </patternFill>
    </fill>
    <fill>
      <patternFill patternType="solid">
        <fgColor rgb="FFD9D9D9"/>
        <bgColor rgb="FFD9D9D9"/>
      </patternFill>
    </fill>
    <fill>
      <patternFill patternType="solid">
        <fgColor rgb="FF00FF00"/>
        <bgColor rgb="FF00FF00"/>
      </patternFill>
    </fill>
    <fill>
      <patternFill patternType="solid">
        <fgColor rgb="FF00FFFF"/>
        <bgColor rgb="FF00FFFF"/>
      </patternFill>
    </fill>
    <fill>
      <patternFill patternType="solid">
        <fgColor rgb="FFCCCCCC"/>
        <bgColor rgb="FFCCCCCC"/>
      </patternFill>
    </fill>
    <fill>
      <patternFill patternType="solid">
        <fgColor rgb="FFFFFF00"/>
        <bgColor rgb="FFFFFF00"/>
      </patternFill>
    </fill>
    <fill>
      <patternFill patternType="solid">
        <fgColor rgb="FFFF0000"/>
        <bgColor rgb="FFFF0000"/>
      </patternFill>
    </fill>
    <fill>
      <patternFill patternType="solid">
        <fgColor rgb="FFD9EAD3"/>
        <bgColor rgb="FFD9EAD3"/>
      </patternFill>
    </fill>
    <fill>
      <patternFill patternType="solid">
        <fgColor rgb="FF999999"/>
        <bgColor rgb="FF999999"/>
      </patternFill>
    </fill>
  </fills>
  <borders count="11">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CCCCCC"/>
      </left>
      <right style="medium">
        <color rgb="FF000000"/>
      </right>
      <top style="medium">
        <color rgb="FF000000"/>
      </top>
      <bottom style="medium">
        <color rgb="FF000000"/>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1" fillId="0" fontId="1" numFmtId="0" xfId="0" applyAlignment="1" applyBorder="1" applyFont="1">
      <alignment horizontal="left" shrinkToFit="0" vertical="top" wrapText="1"/>
    </xf>
    <xf borderId="1" fillId="0" fontId="1" numFmtId="2" xfId="0" applyAlignment="1" applyBorder="1" applyFont="1" applyNumberFormat="1">
      <alignment shrinkToFit="0" vertical="top" wrapText="1"/>
    </xf>
    <xf borderId="0" fillId="0" fontId="1" numFmtId="0" xfId="0" applyAlignment="1" applyFont="1">
      <alignment shrinkToFit="0" vertical="top" wrapText="1"/>
    </xf>
    <xf borderId="1" fillId="0" fontId="2" numFmtId="0" xfId="0" applyAlignment="1" applyBorder="1" applyFont="1">
      <alignment shrinkToFit="0" vertical="top" wrapText="1"/>
    </xf>
    <xf borderId="1" fillId="0" fontId="2" numFmtId="0" xfId="0" applyAlignment="1" applyBorder="1" applyFont="1">
      <alignment horizontal="left" shrinkToFit="0" vertical="top" wrapText="1"/>
    </xf>
    <xf borderId="1" fillId="0" fontId="2" numFmtId="0" xfId="0" applyAlignment="1" applyBorder="1" applyFont="1">
      <alignment vertical="top"/>
    </xf>
    <xf borderId="1" fillId="0" fontId="3" numFmtId="0" xfId="0" applyAlignment="1" applyBorder="1" applyFont="1">
      <alignment shrinkToFit="0" vertical="top" wrapText="1"/>
    </xf>
    <xf borderId="1" fillId="0" fontId="4" numFmtId="0" xfId="0" applyAlignment="1" applyBorder="1" applyFont="1">
      <alignment vertical="top"/>
    </xf>
    <xf borderId="1" fillId="0" fontId="5" numFmtId="0" xfId="0" applyAlignment="1" applyBorder="1" applyFont="1">
      <alignment shrinkToFit="0" vertical="top" wrapText="1"/>
    </xf>
    <xf borderId="1" fillId="0" fontId="2" numFmtId="2" xfId="0" applyAlignment="1" applyBorder="1" applyFont="1" applyNumberFormat="1">
      <alignment vertical="top"/>
    </xf>
    <xf borderId="1" fillId="0" fontId="2" numFmtId="0" xfId="0" applyAlignment="1" applyBorder="1" applyFont="1">
      <alignment shrinkToFit="0" wrapText="1"/>
    </xf>
    <xf borderId="1" fillId="0" fontId="2" numFmtId="0" xfId="0" applyAlignment="1" applyBorder="1" applyFont="1">
      <alignment horizontal="left" shrinkToFit="0" wrapText="1"/>
    </xf>
    <xf borderId="2" fillId="0" fontId="6" numFmtId="0" xfId="0" applyAlignment="1" applyBorder="1" applyFont="1">
      <alignment shrinkToFit="0" vertical="top" wrapText="1"/>
    </xf>
    <xf borderId="3" fillId="0" fontId="6" numFmtId="0" xfId="0" applyAlignment="1" applyBorder="1" applyFont="1">
      <alignment horizontal="right" shrinkToFit="0" vertical="top" wrapText="1"/>
    </xf>
    <xf borderId="3" fillId="0" fontId="7" numFmtId="0" xfId="0" applyAlignment="1" applyBorder="1" applyFont="1">
      <alignment shrinkToFit="0" vertical="top" wrapText="1"/>
    </xf>
    <xf borderId="0" fillId="0" fontId="2" numFmtId="0" xfId="0" applyAlignment="1" applyFont="1">
      <alignment shrinkToFit="0" vertical="top" wrapText="1"/>
    </xf>
    <xf borderId="1" fillId="2" fontId="2" numFmtId="0" xfId="0" applyAlignment="1" applyBorder="1" applyFill="1" applyFont="1">
      <alignment shrinkToFit="0" vertical="top" wrapText="1"/>
    </xf>
    <xf borderId="1" fillId="2" fontId="8" numFmtId="0" xfId="0" applyAlignment="1" applyBorder="1" applyFont="1">
      <alignment shrinkToFit="0" vertical="top" wrapText="1"/>
    </xf>
    <xf borderId="1" fillId="0" fontId="9" numFmtId="0" xfId="0" applyAlignment="1" applyBorder="1" applyFont="1">
      <alignment shrinkToFit="0" vertical="top" wrapText="1"/>
    </xf>
    <xf borderId="4" fillId="0" fontId="6" numFmtId="0" xfId="0" applyAlignment="1" applyBorder="1" applyFont="1">
      <alignment shrinkToFit="0" vertical="top" wrapText="1"/>
    </xf>
    <xf borderId="5" fillId="0" fontId="6" numFmtId="0" xfId="0" applyAlignment="1" applyBorder="1" applyFont="1">
      <alignment horizontal="right" shrinkToFit="0" vertical="top" wrapText="1"/>
    </xf>
    <xf borderId="5" fillId="0" fontId="7" numFmtId="0" xfId="0" applyAlignment="1" applyBorder="1" applyFont="1">
      <alignment shrinkToFit="0" vertical="top" wrapText="1"/>
    </xf>
    <xf borderId="0" fillId="0" fontId="2" numFmtId="0" xfId="0" applyAlignment="1" applyFont="1">
      <alignment vertical="top"/>
    </xf>
    <xf borderId="5" fillId="0" fontId="10" numFmtId="0" xfId="0" applyAlignment="1" applyBorder="1" applyFont="1">
      <alignment shrinkToFit="0" vertical="top" wrapText="1"/>
    </xf>
    <xf borderId="1" fillId="0" fontId="11" numFmtId="0" xfId="0" applyAlignment="1" applyBorder="1" applyFont="1">
      <alignment shrinkToFit="0" vertical="top" wrapText="1"/>
    </xf>
    <xf borderId="4" fillId="0" fontId="12" numFmtId="0" xfId="0" applyAlignment="1" applyBorder="1" applyFont="1">
      <alignment shrinkToFit="0" vertical="top" wrapText="1"/>
    </xf>
    <xf borderId="5" fillId="0" fontId="6" numFmtId="0" xfId="0" applyAlignment="1" applyBorder="1" applyFont="1">
      <alignment shrinkToFit="0" vertical="top" wrapText="1"/>
    </xf>
    <xf borderId="1" fillId="0" fontId="13" numFmtId="0" xfId="0" applyAlignment="1" applyBorder="1" applyFont="1">
      <alignment vertical="top"/>
    </xf>
    <xf borderId="1" fillId="0" fontId="2" numFmtId="0" xfId="0" applyAlignment="1" applyBorder="1" applyFont="1">
      <alignment horizontal="left" vertical="top"/>
    </xf>
    <xf borderId="1" fillId="3" fontId="2" numFmtId="0" xfId="0" applyAlignment="1" applyBorder="1" applyFill="1" applyFont="1">
      <alignment shrinkToFit="0" vertical="top" wrapText="1"/>
    </xf>
    <xf borderId="5" fillId="0" fontId="12" numFmtId="0" xfId="0" applyAlignment="1" applyBorder="1" applyFont="1">
      <alignment shrinkToFit="0" vertical="top" wrapText="1"/>
    </xf>
    <xf borderId="1" fillId="0" fontId="14" numFmtId="0" xfId="0" applyAlignment="1" applyBorder="1" applyFont="1">
      <alignment vertical="top"/>
    </xf>
    <xf borderId="1" fillId="2" fontId="2" numFmtId="0" xfId="0" applyAlignment="1" applyBorder="1" applyFont="1">
      <alignment vertical="top"/>
    </xf>
    <xf borderId="4" fillId="4" fontId="6" numFmtId="0" xfId="0" applyAlignment="1" applyBorder="1" applyFill="1" applyFont="1">
      <alignment shrinkToFit="0" vertical="top" wrapText="1"/>
    </xf>
    <xf borderId="5" fillId="4" fontId="6" numFmtId="0" xfId="0" applyAlignment="1" applyBorder="1" applyFont="1">
      <alignment shrinkToFit="0" vertical="top" wrapText="1"/>
    </xf>
    <xf borderId="5" fillId="4" fontId="10" numFmtId="0" xfId="0" applyAlignment="1" applyBorder="1" applyFont="1">
      <alignment shrinkToFit="0" vertical="top" wrapText="1"/>
    </xf>
    <xf borderId="4" fillId="4" fontId="12" numFmtId="0" xfId="0" applyAlignment="1" applyBorder="1" applyFont="1">
      <alignment shrinkToFit="0" vertical="top" wrapText="1"/>
    </xf>
    <xf borderId="1" fillId="0" fontId="15" numFmtId="0" xfId="0" applyAlignment="1" applyBorder="1" applyFont="1">
      <alignment shrinkToFit="0" wrapText="1"/>
    </xf>
    <xf borderId="0" fillId="0" fontId="2" numFmtId="0" xfId="0" applyAlignment="1" applyFont="1">
      <alignment horizontal="left" vertical="top"/>
    </xf>
    <xf borderId="0" fillId="0" fontId="16" numFmtId="0" xfId="0" applyFont="1"/>
    <xf borderId="6" fillId="5" fontId="17" numFmtId="0" xfId="0" applyAlignment="1" applyBorder="1" applyFill="1" applyFont="1">
      <alignment horizontal="center" readingOrder="0" vertical="center"/>
    </xf>
    <xf borderId="7" fillId="6" fontId="17" numFmtId="0" xfId="0" applyAlignment="1" applyBorder="1" applyFill="1" applyFont="1">
      <alignment horizontal="center" readingOrder="0" vertical="center"/>
    </xf>
    <xf borderId="8" fillId="0" fontId="18" numFmtId="0" xfId="0" applyBorder="1" applyFont="1"/>
    <xf borderId="9" fillId="0" fontId="18" numFmtId="0" xfId="0" applyBorder="1" applyFont="1"/>
    <xf borderId="7" fillId="7" fontId="17" numFmtId="0" xfId="0" applyAlignment="1" applyBorder="1" applyFill="1" applyFont="1">
      <alignment horizontal="center" readingOrder="0" vertical="center"/>
    </xf>
    <xf borderId="10" fillId="0" fontId="18" numFmtId="0" xfId="0" applyBorder="1" applyFont="1"/>
    <xf borderId="10" fillId="6" fontId="17" numFmtId="0" xfId="0" applyAlignment="1" applyBorder="1" applyFont="1">
      <alignment horizontal="center" readingOrder="0" vertical="center"/>
    </xf>
    <xf borderId="10" fillId="7" fontId="17" numFmtId="0" xfId="0" applyAlignment="1" applyBorder="1" applyFont="1">
      <alignment horizontal="center" readingOrder="0" vertical="center"/>
    </xf>
    <xf borderId="1" fillId="0" fontId="19" numFmtId="0" xfId="0" applyAlignment="1" applyBorder="1" applyFont="1">
      <alignment horizontal="center" readingOrder="0" shrinkToFit="0" vertical="center" wrapText="1"/>
    </xf>
    <xf borderId="1" fillId="0" fontId="19" numFmtId="0" xfId="0" applyAlignment="1" applyBorder="1" applyFont="1">
      <alignment readingOrder="0" shrinkToFit="0" vertical="center" wrapText="1"/>
    </xf>
    <xf borderId="1" fillId="0" fontId="19" numFmtId="0" xfId="0" applyAlignment="1" applyBorder="1" applyFont="1">
      <alignment horizontal="center" shrinkToFit="0" vertical="center" wrapText="0"/>
    </xf>
    <xf borderId="1" fillId="0" fontId="19" numFmtId="49" xfId="0" applyAlignment="1" applyBorder="1" applyFont="1" applyNumberFormat="1">
      <alignment horizontal="center" readingOrder="0" shrinkToFit="0" vertical="center" wrapText="0"/>
    </xf>
    <xf borderId="1" fillId="0" fontId="16" numFmtId="0" xfId="0" applyBorder="1" applyFont="1"/>
    <xf borderId="1" fillId="0" fontId="20" numFmtId="49" xfId="0" applyAlignment="1" applyBorder="1" applyFont="1" applyNumberFormat="1">
      <alignment horizontal="center" readingOrder="0" vertical="center"/>
    </xf>
    <xf borderId="1" fillId="0" fontId="19" numFmtId="0" xfId="0" applyAlignment="1" applyBorder="1" applyFont="1">
      <alignment horizontal="center" readingOrder="0" shrinkToFit="0" vertical="center" wrapText="0"/>
    </xf>
    <xf quotePrefix="1" borderId="1" fillId="0" fontId="19" numFmtId="0" xfId="0" applyAlignment="1" applyBorder="1" applyFont="1">
      <alignment horizontal="center" readingOrder="0" shrinkToFit="0" vertical="center" wrapText="0"/>
    </xf>
    <xf quotePrefix="1" borderId="1" fillId="0" fontId="19" numFmtId="49" xfId="0" applyAlignment="1" applyBorder="1" applyFont="1" applyNumberFormat="1">
      <alignment horizontal="center" readingOrder="0" shrinkToFit="0" vertical="center" wrapText="0"/>
    </xf>
    <xf borderId="1" fillId="0" fontId="16" numFmtId="0" xfId="0" applyAlignment="1" applyBorder="1" applyFont="1">
      <alignment horizontal="left" readingOrder="0" shrinkToFit="0" vertical="center" wrapText="1"/>
    </xf>
    <xf borderId="1" fillId="0" fontId="19" numFmtId="0" xfId="0" applyAlignment="1" applyBorder="1" applyFont="1">
      <alignment readingOrder="0" shrinkToFit="0" vertical="center" wrapText="1"/>
    </xf>
    <xf borderId="1" fillId="0" fontId="16" numFmtId="0" xfId="0" applyAlignment="1" applyBorder="1" applyFont="1">
      <alignment horizontal="center" vertical="center"/>
    </xf>
    <xf borderId="1" fillId="0" fontId="16" numFmtId="0" xfId="0" applyAlignment="1" applyBorder="1" applyFont="1">
      <alignment readingOrder="0" shrinkToFit="0" wrapText="1"/>
    </xf>
    <xf borderId="1" fillId="0" fontId="19" numFmtId="49" xfId="0" applyAlignment="1" applyBorder="1" applyFont="1" applyNumberFormat="1">
      <alignment horizontal="center" readingOrder="0" shrinkToFit="0" vertical="center" wrapText="1"/>
    </xf>
    <xf borderId="1" fillId="0" fontId="16" numFmtId="0" xfId="0" applyAlignment="1" applyBorder="1" applyFont="1">
      <alignment readingOrder="0" shrinkToFit="0" vertical="center" wrapText="1"/>
    </xf>
    <xf borderId="1" fillId="0" fontId="19" numFmtId="164" xfId="0" applyAlignment="1" applyBorder="1" applyFont="1" applyNumberFormat="1">
      <alignment horizontal="center" readingOrder="0" shrinkToFit="0" vertical="center" wrapText="0"/>
    </xf>
    <xf borderId="1" fillId="0" fontId="19" numFmtId="49" xfId="0" applyAlignment="1" applyBorder="1" applyFont="1" applyNumberFormat="1">
      <alignment horizontal="center" shrinkToFit="0" vertical="center" wrapText="0"/>
    </xf>
    <xf borderId="1" fillId="0" fontId="19" numFmtId="0" xfId="0" applyAlignment="1" applyBorder="1" applyFont="1">
      <alignment shrinkToFit="0" vertical="bottom" wrapText="0"/>
    </xf>
    <xf borderId="1" fillId="0" fontId="16" numFmtId="0" xfId="0" applyAlignment="1" applyBorder="1" applyFont="1">
      <alignment horizontal="center" readingOrder="0" vertical="center"/>
    </xf>
    <xf borderId="1" fillId="0" fontId="16" numFmtId="49" xfId="0" applyAlignment="1" applyBorder="1" applyFont="1" applyNumberFormat="1">
      <alignment horizontal="center" readingOrder="0" vertical="center"/>
    </xf>
    <xf borderId="0" fillId="0" fontId="16" numFmtId="0" xfId="0" applyAlignment="1" applyFont="1">
      <alignment horizontal="center" vertical="center"/>
    </xf>
    <xf borderId="1" fillId="5" fontId="17" numFmtId="0" xfId="0" applyAlignment="1" applyBorder="1" applyFont="1">
      <alignment horizontal="center" readingOrder="0" vertical="center"/>
    </xf>
    <xf borderId="0" fillId="0" fontId="21" numFmtId="0" xfId="0" applyAlignment="1" applyFont="1">
      <alignment readingOrder="0" shrinkToFit="0" vertical="center" wrapText="1"/>
    </xf>
    <xf borderId="0" fillId="0" fontId="22" numFmtId="0" xfId="0" applyAlignment="1" applyFont="1">
      <alignment readingOrder="0" vertical="center"/>
    </xf>
    <xf borderId="0" fillId="0" fontId="16" numFmtId="0" xfId="0" applyAlignment="1" applyFont="1">
      <alignment readingOrder="0"/>
    </xf>
    <xf borderId="1" fillId="8" fontId="6" numFmtId="0" xfId="0" applyAlignment="1" applyBorder="1" applyFill="1" applyFont="1">
      <alignment readingOrder="0"/>
    </xf>
    <xf borderId="0" fillId="0" fontId="22" numFmtId="0" xfId="0" applyAlignment="1" applyFont="1">
      <alignment readingOrder="0" vertical="top"/>
    </xf>
    <xf borderId="0" fillId="0" fontId="21" numFmtId="0" xfId="0" applyAlignment="1" applyFont="1">
      <alignment readingOrder="0" shrinkToFit="0" vertical="top" wrapText="1"/>
    </xf>
    <xf borderId="1" fillId="8" fontId="6" numFmtId="0" xfId="0" applyAlignment="1" applyBorder="1" applyFont="1">
      <alignment readingOrder="0" shrinkToFit="0" wrapText="0"/>
    </xf>
    <xf borderId="0" fillId="0" fontId="23" numFmtId="0" xfId="0" applyAlignment="1" applyFont="1">
      <alignment readingOrder="0" shrinkToFit="0" vertical="top" wrapText="1"/>
    </xf>
    <xf borderId="0" fillId="0" fontId="24" numFmtId="0" xfId="0" applyAlignment="1" applyFont="1">
      <alignment readingOrder="0" vertical="top"/>
    </xf>
    <xf borderId="0" fillId="0" fontId="24" numFmtId="0" xfId="0" applyAlignment="1" applyFont="1">
      <alignment vertical="top"/>
    </xf>
    <xf borderId="0" fillId="0" fontId="23" numFmtId="0" xfId="0" applyAlignment="1" applyFont="1">
      <alignment shrinkToFit="0" vertical="top" wrapText="1"/>
    </xf>
    <xf borderId="1" fillId="0" fontId="16" numFmtId="0" xfId="0" applyAlignment="1" applyBorder="1" applyFont="1">
      <alignment shrinkToFit="0" vertical="center" wrapText="1"/>
    </xf>
    <xf borderId="0" fillId="0" fontId="2" numFmtId="0" xfId="0" applyAlignment="1" applyFont="1">
      <alignment shrinkToFit="0" vertical="top" wrapText="1"/>
    </xf>
    <xf borderId="0" fillId="0" fontId="2" numFmtId="0" xfId="0" applyAlignment="1" applyFont="1">
      <alignment shrinkToFit="0" vertical="bottom" wrapText="1"/>
    </xf>
    <xf borderId="1" fillId="0" fontId="25" numFmtId="0" xfId="0" applyAlignment="1" applyBorder="1" applyFont="1">
      <alignment readingOrder="0" shrinkToFit="0" vertical="center" wrapText="1"/>
    </xf>
    <xf borderId="0" fillId="0" fontId="2" numFmtId="0" xfId="0" applyAlignment="1" applyFont="1">
      <alignment vertical="top"/>
    </xf>
    <xf borderId="1" fillId="8" fontId="26" numFmtId="0" xfId="0" applyAlignment="1" applyBorder="1" applyFont="1">
      <alignment readingOrder="0" shrinkToFit="0" wrapText="0"/>
    </xf>
    <xf borderId="1" fillId="0" fontId="27" numFmtId="0" xfId="0" applyAlignment="1" applyBorder="1" applyFont="1">
      <alignment horizontal="left" readingOrder="0" shrinkToFit="0" vertical="center" wrapText="1"/>
    </xf>
    <xf borderId="1" fillId="9" fontId="19" numFmtId="0" xfId="0" applyAlignment="1" applyBorder="1" applyFill="1" applyFont="1">
      <alignment horizontal="center" readingOrder="0" shrinkToFit="0" vertical="center" wrapText="0"/>
    </xf>
    <xf borderId="1" fillId="10" fontId="19" numFmtId="0" xfId="0" applyAlignment="1" applyBorder="1" applyFill="1" applyFont="1">
      <alignment horizontal="center" shrinkToFit="0" vertical="center" wrapText="0"/>
    </xf>
    <xf borderId="0" fillId="0" fontId="16" numFmtId="0" xfId="0" applyAlignment="1" applyFont="1">
      <alignment vertical="center"/>
    </xf>
    <xf borderId="0" fillId="0" fontId="20" numFmtId="0" xfId="0" applyAlignment="1" applyFont="1">
      <alignment vertical="top"/>
    </xf>
    <xf borderId="0" fillId="0" fontId="20" numFmtId="0" xfId="0" applyAlignment="1" applyFont="1">
      <alignment vertical="bottom"/>
    </xf>
    <xf borderId="1" fillId="11" fontId="19" numFmtId="0" xfId="0" applyAlignment="1" applyBorder="1" applyFill="1" applyFont="1">
      <alignment horizontal="center" readingOrder="0" shrinkToFit="0" vertical="center" wrapText="1"/>
    </xf>
    <xf borderId="1" fillId="11" fontId="19" numFmtId="0" xfId="0" applyAlignment="1" applyBorder="1" applyFont="1">
      <alignment readingOrder="0" shrinkToFit="0" vertical="center" wrapText="1"/>
    </xf>
    <xf borderId="1" fillId="11" fontId="6" numFmtId="0" xfId="0" applyAlignment="1" applyBorder="1" applyFont="1">
      <alignment horizontal="center" readingOrder="0" shrinkToFit="0" vertical="center" wrapText="1"/>
    </xf>
    <xf borderId="1" fillId="11" fontId="19" numFmtId="0" xfId="0" applyAlignment="1" applyBorder="1" applyFont="1">
      <alignment horizontal="center" readingOrder="0" shrinkToFit="0" vertical="center" wrapText="0"/>
    </xf>
    <xf borderId="1" fillId="11" fontId="19" numFmtId="49" xfId="0" applyAlignment="1" applyBorder="1" applyFont="1" applyNumberFormat="1">
      <alignment horizontal="center" readingOrder="0" shrinkToFit="0" vertical="center" wrapText="0"/>
    </xf>
    <xf borderId="1" fillId="11" fontId="16" numFmtId="0" xfId="0" applyAlignment="1" applyBorder="1" applyFont="1">
      <alignment readingOrder="0" shrinkToFit="0" vertical="center" wrapText="1"/>
    </xf>
    <xf borderId="1" fillId="11" fontId="19" numFmtId="0" xfId="0" applyAlignment="1" applyBorder="1" applyFont="1">
      <alignment horizontal="center" shrinkToFit="0" vertical="center" wrapText="0"/>
    </xf>
    <xf borderId="1" fillId="11" fontId="20" numFmtId="49" xfId="0" applyAlignment="1" applyBorder="1" applyFont="1" applyNumberFormat="1">
      <alignment horizontal="center" readingOrder="0" vertical="center"/>
    </xf>
    <xf quotePrefix="1" borderId="1" fillId="11" fontId="19" numFmtId="0" xfId="0" applyAlignment="1" applyBorder="1" applyFont="1">
      <alignment horizontal="center" readingOrder="0" shrinkToFit="0" vertical="center" wrapText="0"/>
    </xf>
    <xf quotePrefix="1" borderId="1" fillId="11" fontId="19" numFmtId="49" xfId="0" applyAlignment="1" applyBorder="1" applyFont="1" applyNumberFormat="1">
      <alignment horizontal="center" readingOrder="0" shrinkToFit="0" vertical="center" wrapText="0"/>
    </xf>
    <xf borderId="1" fillId="11" fontId="16" numFmtId="0" xfId="0" applyAlignment="1" applyBorder="1" applyFont="1">
      <alignment shrinkToFit="0" vertical="center" wrapText="1"/>
    </xf>
    <xf borderId="1" fillId="11" fontId="16" numFmtId="0" xfId="0" applyAlignment="1" applyBorder="1" applyFont="1">
      <alignment horizontal="left" readingOrder="0" shrinkToFit="0" vertical="center" wrapText="1"/>
    </xf>
    <xf borderId="1" fillId="8" fontId="6" numFmtId="0" xfId="0" applyAlignment="1" applyBorder="1" applyFont="1">
      <alignment horizontal="center" readingOrder="0" shrinkToFit="0" vertical="center" wrapText="1"/>
    </xf>
    <xf borderId="1" fillId="8" fontId="26" numFmtId="0" xfId="0" applyAlignment="1" applyBorder="1" applyFont="1">
      <alignment horizontal="center" readingOrder="0" shrinkToFit="0" vertical="center" wrapText="1"/>
    </xf>
    <xf borderId="7" fillId="2" fontId="17" numFmtId="0" xfId="0" applyAlignment="1" applyBorder="1" applyFont="1">
      <alignment horizontal="center" readingOrder="0" vertical="center"/>
    </xf>
    <xf borderId="0" fillId="4" fontId="16" numFmtId="0" xfId="0" applyFont="1"/>
    <xf borderId="10" fillId="2" fontId="17" numFmtId="0" xfId="0" applyAlignment="1" applyBorder="1" applyFont="1">
      <alignment horizontal="center" readingOrder="0" vertical="center"/>
    </xf>
    <xf borderId="6" fillId="4" fontId="19" numFmtId="0" xfId="0" applyAlignment="1" applyBorder="1" applyFont="1">
      <alignment horizontal="center" readingOrder="0" shrinkToFit="0" vertical="center" wrapText="1"/>
    </xf>
    <xf borderId="6" fillId="4" fontId="19" numFmtId="0" xfId="0" applyAlignment="1" applyBorder="1" applyFont="1">
      <alignment readingOrder="0" shrinkToFit="0" vertical="center" wrapText="1"/>
    </xf>
    <xf borderId="1" fillId="12" fontId="28" numFmtId="0" xfId="0" applyAlignment="1" applyBorder="1" applyFill="1" applyFont="1">
      <alignment horizontal="center" readingOrder="0" shrinkToFit="0" vertical="center" wrapText="1"/>
    </xf>
    <xf borderId="1" fillId="12" fontId="28" numFmtId="0" xfId="0" applyAlignment="1" applyBorder="1" applyFont="1">
      <alignment horizontal="center" readingOrder="0" shrinkToFit="0" vertical="center" wrapText="0"/>
    </xf>
    <xf borderId="1" fillId="12" fontId="28" numFmtId="49" xfId="0" applyAlignment="1" applyBorder="1" applyFont="1" applyNumberFormat="1">
      <alignment horizontal="center" readingOrder="0" shrinkToFit="0" vertical="center" wrapText="0"/>
    </xf>
    <xf borderId="6" fillId="4" fontId="16" numFmtId="0" xfId="0" applyAlignment="1" applyBorder="1" applyFont="1">
      <alignment readingOrder="0" shrinkToFit="0" vertical="center" wrapText="1"/>
    </xf>
    <xf borderId="1" fillId="4" fontId="28" numFmtId="0" xfId="0" applyAlignment="1" applyBorder="1" applyFont="1">
      <alignment horizontal="center" readingOrder="0" shrinkToFit="0" vertical="center" wrapText="1"/>
    </xf>
    <xf borderId="1" fillId="4" fontId="28" numFmtId="0" xfId="0" applyAlignment="1" applyBorder="1" applyFont="1">
      <alignment horizontal="center" readingOrder="0" shrinkToFit="0" vertical="center" wrapText="0"/>
    </xf>
    <xf borderId="1" fillId="4" fontId="28" numFmtId="49" xfId="0" applyAlignment="1" applyBorder="1" applyFont="1" applyNumberFormat="1">
      <alignment horizontal="center" readingOrder="0" shrinkToFit="0" vertical="center" wrapText="0"/>
    </xf>
    <xf borderId="1" fillId="12" fontId="28" numFmtId="0" xfId="0" applyAlignment="1" applyBorder="1" applyFont="1">
      <alignment horizontal="center" shrinkToFit="0" vertical="center" wrapText="0"/>
    </xf>
    <xf borderId="1" fillId="4" fontId="28" numFmtId="0" xfId="0" applyAlignment="1" applyBorder="1" applyFont="1">
      <alignment horizontal="center" shrinkToFit="0" vertical="center" wrapText="0"/>
    </xf>
    <xf borderId="1" fillId="4" fontId="29" numFmtId="49" xfId="0" applyAlignment="1" applyBorder="1" applyFont="1" applyNumberFormat="1">
      <alignment horizontal="center" readingOrder="0" vertical="center"/>
    </xf>
    <xf borderId="1" fillId="12" fontId="24" numFmtId="0" xfId="0" applyBorder="1" applyFont="1"/>
    <xf borderId="1" fillId="12" fontId="29" numFmtId="49" xfId="0" applyAlignment="1" applyBorder="1" applyFont="1" applyNumberFormat="1">
      <alignment horizontal="center" readingOrder="0" vertical="center"/>
    </xf>
    <xf quotePrefix="1" borderId="1" fillId="12" fontId="28" numFmtId="49" xfId="0" applyAlignment="1" applyBorder="1" applyFont="1" applyNumberFormat="1">
      <alignment horizontal="center" readingOrder="0" shrinkToFit="0" vertical="center" wrapText="0"/>
    </xf>
    <xf quotePrefix="1" borderId="1" fillId="4" fontId="28" numFmtId="0" xfId="0" applyAlignment="1" applyBorder="1" applyFont="1">
      <alignment horizontal="center" readingOrder="0" shrinkToFit="0" vertical="center" wrapText="0"/>
    </xf>
    <xf borderId="6" fillId="4" fontId="16" numFmtId="0" xfId="0" applyAlignment="1" applyBorder="1" applyFont="1">
      <alignment shrinkToFit="0" vertical="center" wrapText="1"/>
    </xf>
    <xf borderId="6" fillId="4" fontId="16" numFmtId="0" xfId="0" applyAlignment="1" applyBorder="1" applyFont="1">
      <alignment horizontal="left" readingOrder="0" shrinkToFit="0" vertical="center" wrapText="1"/>
    </xf>
    <xf borderId="6" fillId="4" fontId="19" numFmtId="0" xfId="0" applyAlignment="1" applyBorder="1" applyFont="1">
      <alignment readingOrder="0" shrinkToFit="0" vertical="center" wrapText="1"/>
    </xf>
    <xf borderId="1" fillId="9" fontId="28" numFmtId="49" xfId="0" applyAlignment="1" applyBorder="1" applyFont="1" applyNumberFormat="1">
      <alignment horizontal="center" readingOrder="0" shrinkToFit="0" vertical="center" wrapText="0"/>
    </xf>
    <xf borderId="1" fillId="4" fontId="28" numFmtId="49" xfId="0" applyAlignment="1" applyBorder="1" applyFont="1" applyNumberFormat="1">
      <alignment horizontal="center" readingOrder="0" shrinkToFit="0" vertical="center" wrapText="1"/>
    </xf>
    <xf borderId="1" fillId="12" fontId="28" numFmtId="49" xfId="0" applyAlignment="1" applyBorder="1" applyFont="1" applyNumberFormat="1">
      <alignment horizontal="center" readingOrder="0" shrinkToFit="0" vertical="center" wrapText="1"/>
    </xf>
    <xf borderId="1" fillId="9" fontId="28" numFmtId="49" xfId="0" applyAlignment="1" applyBorder="1" applyFont="1" applyNumberFormat="1">
      <alignment horizontal="center" readingOrder="0" shrinkToFit="0" vertical="center" wrapText="1"/>
    </xf>
    <xf borderId="1" fillId="9" fontId="24" numFmtId="0" xfId="0" applyBorder="1" applyFont="1"/>
    <xf borderId="6" fillId="4" fontId="30" numFmtId="0" xfId="0" applyAlignment="1" applyBorder="1" applyFont="1">
      <alignment horizontal="left" readingOrder="0" shrinkToFit="0" vertical="center" wrapText="1"/>
    </xf>
    <xf borderId="1" fillId="4" fontId="24" numFmtId="0" xfId="0" applyBorder="1" applyFont="1"/>
    <xf borderId="1" fillId="4" fontId="28" numFmtId="164" xfId="0" applyAlignment="1" applyBorder="1" applyFont="1" applyNumberFormat="1">
      <alignment horizontal="center" readingOrder="0" shrinkToFit="0" vertical="center" wrapText="0"/>
    </xf>
    <xf borderId="1" fillId="4" fontId="28" numFmtId="49" xfId="0" applyAlignment="1" applyBorder="1" applyFont="1" applyNumberFormat="1">
      <alignment horizontal="center" shrinkToFit="0" vertical="center" wrapText="0"/>
    </xf>
    <xf borderId="1" fillId="12" fontId="28" numFmtId="49" xfId="0" applyAlignment="1" applyBorder="1" applyFont="1" applyNumberFormat="1">
      <alignment horizontal="center" shrinkToFit="0" vertical="center" wrapText="0"/>
    </xf>
    <xf borderId="1" fillId="9" fontId="28" numFmtId="49" xfId="0" applyAlignment="1" applyBorder="1" applyFont="1" applyNumberFormat="1">
      <alignment horizontal="center" shrinkToFit="0" vertical="center" wrapText="0"/>
    </xf>
    <xf borderId="1" fillId="4" fontId="28" numFmtId="0" xfId="0" applyAlignment="1" applyBorder="1" applyFont="1">
      <alignment shrinkToFit="0" vertical="bottom" wrapText="0"/>
    </xf>
    <xf borderId="1" fillId="12" fontId="28" numFmtId="0" xfId="0" applyAlignment="1" applyBorder="1" applyFont="1">
      <alignment shrinkToFit="0" vertical="bottom" wrapText="0"/>
    </xf>
    <xf borderId="1" fillId="4" fontId="24" numFmtId="49" xfId="0" applyAlignment="1" applyBorder="1" applyFont="1" applyNumberFormat="1">
      <alignment horizontal="center" readingOrder="0" vertical="center"/>
    </xf>
    <xf borderId="6" fillId="4" fontId="16" numFmtId="0" xfId="0" applyAlignment="1" applyBorder="1" applyFont="1">
      <alignment horizontal="center" readingOrder="0" vertical="center"/>
    </xf>
    <xf borderId="1" fillId="12" fontId="24" numFmtId="49" xfId="0" applyAlignment="1" applyBorder="1" applyFont="1" applyNumberFormat="1">
      <alignment horizontal="center" readingOrder="0" vertical="center"/>
    </xf>
    <xf borderId="1" fillId="4" fontId="16" numFmtId="0" xfId="0" applyAlignment="1" applyBorder="1" applyFont="1">
      <alignment horizontal="center" readingOrder="0" vertical="center"/>
    </xf>
    <xf borderId="1" fillId="4" fontId="16" numFmtId="0" xfId="0" applyAlignment="1" applyBorder="1" applyFont="1">
      <alignment readingOrder="0" shrinkToFit="0" vertical="center" wrapText="1"/>
    </xf>
    <xf borderId="1" fillId="4" fontId="16" numFmtId="0" xfId="0" applyAlignment="1" applyBorder="1" applyFont="1">
      <alignment horizontal="left" readingOrder="0" shrinkToFit="0" vertical="center" wrapText="1"/>
    </xf>
    <xf borderId="1" fillId="4" fontId="16" numFmtId="0" xfId="0" applyAlignment="1" applyBorder="1" applyFont="1">
      <alignment horizontal="center" vertical="center"/>
    </xf>
    <xf borderId="1" fillId="4" fontId="16" numFmtId="0" xfId="0" applyBorder="1" applyFont="1"/>
    <xf borderId="1" fillId="0" fontId="24" numFmtId="0" xfId="0" applyBorder="1" applyFont="1"/>
    <xf borderId="1" fillId="0" fontId="16" numFmtId="0" xfId="0" applyAlignment="1" applyBorder="1" applyFont="1">
      <alignment vertical="center"/>
    </xf>
    <xf borderId="0" fillId="0" fontId="16" numFmtId="0" xfId="0" applyAlignment="1" applyFon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bL0VYlLQayyiyu9GsR1cYf6pBZSRb_IE" TargetMode="External"/><Relationship Id="rId42" Type="http://schemas.openxmlformats.org/officeDocument/2006/relationships/hyperlink" Target="https://www.bps.go.id/id/publication/2024/12/20/43880dc0f8be5ab92199f8b9/potret-penyandang-disabilitas-di-indonesia--hasil-long-form-sp2020.html" TargetMode="External"/><Relationship Id="rId41" Type="http://schemas.openxmlformats.org/officeDocument/2006/relationships/hyperlink" Target="https://satudata.kemnaker.go.id/data/kumpulan-data/1151" TargetMode="External"/><Relationship Id="rId44" Type="http://schemas.openxmlformats.org/officeDocument/2006/relationships/hyperlink" Target="https://www.bps.go.id/id/statistics-table/3/UzFSTVVXUlliME5XYzBZNUwwNVFRa3h6Y1d3M1p6MDkjMw==/produk-domestik-bruto-atas-dasar-harga-berlaku-menurut-lapangan-usaha--miliar-rupiah---2023.html?year=2024" TargetMode="External"/><Relationship Id="rId43" Type="http://schemas.openxmlformats.org/officeDocument/2006/relationships/hyperlink" Target="http://s.st/" TargetMode="External"/><Relationship Id="rId46" Type="http://schemas.openxmlformats.org/officeDocument/2006/relationships/hyperlink" Target="https://drive.google.com/file/d/1-zFE0EbPQZGu8UbuxVam-k2dditjffkL/view?usp=drive_link" TargetMode="External"/><Relationship Id="rId45" Type="http://schemas.openxmlformats.org/officeDocument/2006/relationships/hyperlink" Target="http://s.st/" TargetMode="External"/><Relationship Id="rId107" Type="http://schemas.openxmlformats.org/officeDocument/2006/relationships/hyperlink" Target="https://sirusa.web.bps.go.id/metadata/indikator/1610" TargetMode="External"/><Relationship Id="rId106" Type="http://schemas.openxmlformats.org/officeDocument/2006/relationships/hyperlink" Target="https://data.go.id/dataset/dataset/indek-kerukunan-umat-beragama" TargetMode="External"/><Relationship Id="rId105" Type="http://schemas.openxmlformats.org/officeDocument/2006/relationships/hyperlink" Target="https://dapobud.kemendikbudristek.com/ipk-sub/" TargetMode="External"/><Relationship Id="rId104" Type="http://schemas.openxmlformats.org/officeDocument/2006/relationships/hyperlink" Target="https://opendata.jabarprov.go.id/id/dataset/indeks-pembangunan-kebudayaan-berdasarkan-provinsi-di-indonesia" TargetMode="External"/><Relationship Id="rId109" Type="http://schemas.openxmlformats.org/officeDocument/2006/relationships/hyperlink" Target="https://www.bps.go.id/id/statistics-table/2/MjE5NiMy/indeks-ketimpangan-gerder--ikg-.html" TargetMode="External"/><Relationship Id="rId108" Type="http://schemas.openxmlformats.org/officeDocument/2006/relationships/hyperlink" Target="https://www.bps.go.id/id/publication/2025/07/31/83ae68c36720895d3895ec58/indeks-ketimpangan-gender-2024.html" TargetMode="External"/><Relationship Id="rId48" Type="http://schemas.openxmlformats.org/officeDocument/2006/relationships/hyperlink" Target="https://sirusa.web.bps.go.id/metadata/indikator/48438" TargetMode="External"/><Relationship Id="rId47" Type="http://schemas.openxmlformats.org/officeDocument/2006/relationships/hyperlink" Target="http://s.st/" TargetMode="External"/><Relationship Id="rId49" Type="http://schemas.openxmlformats.org/officeDocument/2006/relationships/hyperlink" Target="https://www.bps.go.id/id/publication/2023/06/29/4293acd4c70c003f804fab9d/tourism-satellite-account-indonesia-2017-2021.html" TargetMode="External"/><Relationship Id="rId103" Type="http://schemas.openxmlformats.org/officeDocument/2006/relationships/hyperlink" Target="https://power.lowyinstitute.org/data/military-capability/" TargetMode="External"/><Relationship Id="rId102" Type="http://schemas.openxmlformats.org/officeDocument/2006/relationships/hyperlink" Target="https://power.lowyinstitute.org/downloads/lowy-institute-2025-asia-power-index-key-findings-report.pdf" TargetMode="External"/><Relationship Id="rId101" Type="http://schemas.openxmlformats.org/officeDocument/2006/relationships/hyperlink" Target="https://power.lowyinstitute.org/data/diplomatic-influence/" TargetMode="External"/><Relationship Id="rId100" Type="http://schemas.openxmlformats.org/officeDocument/2006/relationships/hyperlink" Target="https://ojk.go.id/id/berita-dan-kegiatan/siaran-pers/Documents/Pages/OJK-dan-BPS-Umumkan-Hasil-Survei-Nasional-Literasi-Dan-Inklusi-Keuangan-SNLIK-Tahun-2025/SP%2069%20Indeks%20Literasi%20dan%20Inklusi%20Keuangan%20Masyarakat%20Meningkat,%20OJK%20dan%20BPS%20Umumkan%20Hasil%20Survei%20Nasional%20Literasi%20Dan%20Inklusi%20Keuangan%20(SNLIK)%20Tahun%202025.pdf" TargetMode="External"/><Relationship Id="rId31" Type="http://schemas.openxmlformats.org/officeDocument/2006/relationships/hyperlink" Target="https://data.kemendikdasmen.go.id/dataset/p/asesmen-nasional/rapor-publik-asesmen-nasional-2024-peserta-didik-2024-indonesia-2" TargetMode="External"/><Relationship Id="rId30" Type="http://schemas.openxmlformats.org/officeDocument/2006/relationships/hyperlink" Target="https://drive.google.com/drive/folders/1bL0VYlLQayyiyu9GsR1cYf6pBZSRb_IE" TargetMode="External"/><Relationship Id="rId33" Type="http://schemas.openxmlformats.org/officeDocument/2006/relationships/hyperlink" Target="https://www.bps.go.id/id/statistics-table/2/NDE1IzI=/-metode-baru-rata-rata-lama-sekolah.html" TargetMode="External"/><Relationship Id="rId32" Type="http://schemas.openxmlformats.org/officeDocument/2006/relationships/hyperlink" Target="https://sirusa.web.bps.go.id/metadata/indikator/1021" TargetMode="External"/><Relationship Id="rId35" Type="http://schemas.openxmlformats.org/officeDocument/2006/relationships/hyperlink" Target="https://sirusa.web.bps.go.id/metadata/indikator/48466" TargetMode="External"/><Relationship Id="rId34" Type="http://schemas.openxmlformats.org/officeDocument/2006/relationships/hyperlink" Target="https://sirusa.web.bps.go.id/metadata/indikator/50575" TargetMode="External"/><Relationship Id="rId37" Type="http://schemas.openxmlformats.org/officeDocument/2006/relationships/hyperlink" Target="http://atudata.kemnaker.go.id/satudata-public/2025/04/files/publikasi/1765197145548_Laporan%2520APK%2520per%2520101125%2520ttd%2520Dirjen.pdf" TargetMode="External"/><Relationship Id="rId36" Type="http://schemas.openxmlformats.org/officeDocument/2006/relationships/hyperlink" Target="https://www.bps.go.id/id/statistics-table/2/MTQ0MyMy/angka-partisipasi-kasar-apk-perguruan-tinggi-pt-menurut-provinsi.html" TargetMode="External"/><Relationship Id="rId39" Type="http://schemas.openxmlformats.org/officeDocument/2006/relationships/hyperlink" Target="https://docs.google.com/spreadsheets/d/1iLxf9omlEdU-HVozKx9CrMzIkB0QLdWe/edit?usp=sharing&amp;ouid=116167848821916757688&amp;rtpof=true&amp;sd=true" TargetMode="External"/><Relationship Id="rId38" Type="http://schemas.openxmlformats.org/officeDocument/2006/relationships/hyperlink" Target="https://www.bps.go.id/id/statistics-table/2/MTE3OSMy/tingkat-pengangguran-terbuka-berdasarkan-tingkat-pendidikan.html" TargetMode="External"/><Relationship Id="rId20" Type="http://schemas.openxmlformats.org/officeDocument/2006/relationships/hyperlink" Target="https://sirusa.web.bps.go.id/metadata/indikator/43093" TargetMode="External"/><Relationship Id="rId22" Type="http://schemas.openxmlformats.org/officeDocument/2006/relationships/hyperlink" Target="https://www.bps.go.id/id/publication/2025/12/30/8ffdc46aa817bf0c4c47e105/indikator-tujuan-pembangunan-berkelanjutan-indonesia-2025.html" TargetMode="External"/><Relationship Id="rId21" Type="http://schemas.openxmlformats.org/officeDocument/2006/relationships/hyperlink" Target="https://www.bps.go.id/id/statistics-table/2/MjIwNyMy/-metode-baru--indeks-pembangunan-manusia-menurut-provinsi--umur-harapan-hidup-hasil-long-form-sp2020-.html" TargetMode="External"/><Relationship Id="rId24" Type="http://schemas.openxmlformats.org/officeDocument/2006/relationships/hyperlink" Target="https://iris.who.int/server/api/core/bitstreams/e97dd6f4-b567-4396-8680-717bac6869a9/content" TargetMode="External"/><Relationship Id="rId23" Type="http://schemas.openxmlformats.org/officeDocument/2006/relationships/hyperlink" Target="https://www.bps.go.id/id/statistics-table/2/MTUzMSMy/prevalensi-balita-sangat-pendek-dan-pendek-menurut-kabupaten-kota-tahun-2018--persen-.html" TargetMode="External"/><Relationship Id="rId26" Type="http://schemas.openxmlformats.org/officeDocument/2006/relationships/hyperlink" Target="https://www.oecd.org/content/dam/oecd/en/publications/reports/2023/12/pisa-2022-results-volume-i_76772a36/53f23881-en.pdf" TargetMode="External"/><Relationship Id="rId121" Type="http://schemas.openxmlformats.org/officeDocument/2006/relationships/hyperlink" Target="https://sirusa.web.bps.go.id/metadata/indikator/57460" TargetMode="External"/><Relationship Id="rId25" Type="http://schemas.openxmlformats.org/officeDocument/2006/relationships/hyperlink" Target="https://worldhealthorg.shinyapps.io/tb_profiles/?_inputs_&amp;tab=%22charts%22&amp;lan=%22EN%22&amp;iso3=%22IDN%22&amp;entity_type=%22country%22" TargetMode="External"/><Relationship Id="rId120" Type="http://schemas.openxmlformats.org/officeDocument/2006/relationships/hyperlink" Target="https://data.blitarkab.go.id/data/akses-rumah-tangga-perkotaan-terhadap-air-siap-minum-perpipaan-30268oz7" TargetMode="External"/><Relationship Id="rId28" Type="http://schemas.openxmlformats.org/officeDocument/2006/relationships/hyperlink" Target="https://data.go.id/dataset/dataset/rata-rata-nilai-programme-for-international-student-assessment-pisa-matematika-membaca-sai-2024" TargetMode="External"/><Relationship Id="rId27" Type="http://schemas.openxmlformats.org/officeDocument/2006/relationships/hyperlink" Target="https://www.oecd.org/en/publications/pisa-2022-results-volume-i-and-ii-country-notes_ed6fbcc5-en/indonesia_c2e1ae0e-en.html" TargetMode="External"/><Relationship Id="rId125" Type="http://schemas.openxmlformats.org/officeDocument/2006/relationships/drawing" Target="../drawings/drawing1.xml"/><Relationship Id="rId29" Type="http://schemas.openxmlformats.org/officeDocument/2006/relationships/hyperlink" Target="https://drive.google.com/drive/folders/1bL0VYlLQayyiyu9GsR1cYf6pBZSRb_IE" TargetMode="External"/><Relationship Id="rId124" Type="http://schemas.openxmlformats.org/officeDocument/2006/relationships/hyperlink" Target="http://m.ec/" TargetMode="External"/><Relationship Id="rId123" Type="http://schemas.openxmlformats.org/officeDocument/2006/relationships/hyperlink" Target="https://data.go.id/dataset/dataset/data-capaian-penurunan-emisi-gas-rumah-kaca-grk" TargetMode="External"/><Relationship Id="rId122" Type="http://schemas.openxmlformats.org/officeDocument/2006/relationships/hyperlink" Target="https://data.go.id/dataset/dataset/data-capaian-penurunan-emisi-gas-rumah-kaca-grk" TargetMode="External"/><Relationship Id="rId95" Type="http://schemas.openxmlformats.org/officeDocument/2006/relationships/hyperlink" Target="https://www.bps.go.id/id/pressrelease/2026/01/05/2527/inflasi-year-on-year--y-on-y--pada-desember-2025-sebesar-2-92-persen.html" TargetMode="External"/><Relationship Id="rId94" Type="http://schemas.openxmlformats.org/officeDocument/2006/relationships/hyperlink" Target="https://sirusa.web.bps.go.id/metadata/indikator/82830" TargetMode="External"/><Relationship Id="rId97" Type="http://schemas.openxmlformats.org/officeDocument/2006/relationships/hyperlink" Target="https://ojk.go.id/id/kanal/iknb/data-dan-statistik/asuransi/Documents/Pages/Statistik-Perasuransian-2022/Statistik%20Perasuransian%202022.pdf" TargetMode="External"/><Relationship Id="rId96" Type="http://schemas.openxmlformats.org/officeDocument/2006/relationships/hyperlink" Target="https://ojk.go.id/id/kanal/iknb/data-dan-statistik/dana-pensiun/Pages/Statistik-Bulanan-Dana-Pensiun-Juli-2025.aspx" TargetMode="External"/><Relationship Id="rId11" Type="http://schemas.openxmlformats.org/officeDocument/2006/relationships/hyperlink" Target="https://www.bps.go.id/id/statistics-table/2/OTgjMg==/gini-ratio-menurut-provinsi-dan-daerah.html" TargetMode="External"/><Relationship Id="rId99" Type="http://schemas.openxmlformats.org/officeDocument/2006/relationships/hyperlink" Target="https://ojk.go.id/id/Statistik/Pasar-Modal/Laporan-Tahunan/Documents/Fact%20Book%20Pasar%20Modal,%20Keuangan%20Derivatif,%20dan%20Bursa%20Karbon%20(PMDK)%202024.pdf" TargetMode="External"/><Relationship Id="rId10" Type="http://schemas.openxmlformats.org/officeDocument/2006/relationships/hyperlink" Target="https://web-api.bps.go.id/download.php?f=VeT2lNCuk7lg+OMbjS6KpFhqc2hUdkdoVGZDTnhQcThhaHBMczIzWTE2YS8yN2toT1ZKRDREdnliVmtVL3BEWjJYWWIybGVwNlBWR2twaVdQeERpZ2drMjJEaVRwOUhvVHRvZGpiTDB6K2lSbEExUmtLWkV5R09OalQwaGo2MC9TdXFvSjE0djd1YlN1UnI2WkNFVGdRdHVlVTVMRkF1YzRxbDljS293U3R4UmU3elZLZ3EvcmZhU1RnS3FQd2pQdXdVYU5lZzRsU3BYTnh4NVFleVRXWlpDdTdpUkUrL3h2SnZOL0M2b3VWWnoxRVhiZDVrWnlmRXlEK3MxS3VQQkJISzgyenhXckZOUEhXUm1WRWhyaUgyZXBMOEhvS3JuemJDUFY5WDg2K3JudUl4M1dMSEMxdyt4TFM0PQ==&amp;_gl=1*1xwbifc*_ga*MzczNTkwNDAyLjE3NTg1NDQ5MTQ.*_ga_XXTTVXWHDB*czE3NzA2ODg2NTckbzY5JGcxJHQxNzcwNjkxNTIwJGo1NiRsMCRoMA.." TargetMode="External"/><Relationship Id="rId98" Type="http://schemas.openxmlformats.org/officeDocument/2006/relationships/hyperlink" Target="https://ojk.go.id/id/kanal/iknb/data-dan-statistik/asuransi/default.aspx" TargetMode="External"/><Relationship Id="rId13" Type="http://schemas.openxmlformats.org/officeDocument/2006/relationships/hyperlink" Target="https://www.bps.go.id/id/statistics-table/2/NTM0IzI=/-seri-2010--1--pdrb-atas-dasar-harga-berlaku-menurut-pengeluaran--milyar-rupiah-.html" TargetMode="External"/><Relationship Id="rId12" Type="http://schemas.openxmlformats.org/officeDocument/2006/relationships/hyperlink" Target="http://s.st/" TargetMode="External"/><Relationship Id="rId91" Type="http://schemas.openxmlformats.org/officeDocument/2006/relationships/hyperlink" Target="https://drive.google.com/drive/folders/1bL0VYlLQayyiyu9GsR1cYf6pBZSRb_IE" TargetMode="External"/><Relationship Id="rId90" Type="http://schemas.openxmlformats.org/officeDocument/2006/relationships/hyperlink" Target="https://www.bps.go.id/id/statistics-table/2/MjE2MCMy/-metode-baru--aspek-indeks-demokrasi-indonesia--idi--menurut-provinsi.html" TargetMode="External"/><Relationship Id="rId93" Type="http://schemas.openxmlformats.org/officeDocument/2006/relationships/hyperlink" Target="https://data.go.id/dataset/dataset/rasio-pajak-terhadap-pdb" TargetMode="External"/><Relationship Id="rId92" Type="http://schemas.openxmlformats.org/officeDocument/2006/relationships/hyperlink" Target="https://data.go.id/dataset/dataset/rasio-pajak-terhadap-pdb" TargetMode="External"/><Relationship Id="rId118" Type="http://schemas.openxmlformats.org/officeDocument/2006/relationships/hyperlink" Target="https://documents1.worldbank.org/curated/en/099955012072141213/pdf/P1707570f6196802e0aa0502e431b42d79f.pdf" TargetMode="External"/><Relationship Id="rId117" Type="http://schemas.openxmlformats.org/officeDocument/2006/relationships/hyperlink" Target="https://www.bps.go.id/id/publication/2025/12/12/e73efd3b09f4c257ef30cbef/indikator-perumahan-dan-kesehatan-lingkungan-2025.html" TargetMode="External"/><Relationship Id="rId116" Type="http://schemas.openxmlformats.org/officeDocument/2006/relationships/hyperlink" Target="https://sirusa.web.bps.go.id/metadata/indikator/92110" TargetMode="External"/><Relationship Id="rId115" Type="http://schemas.openxmlformats.org/officeDocument/2006/relationships/hyperlink" Target="https://dlh.jatimprov.go.id/page/indeks-kualitas-air-laut-689d6a5509aaa" TargetMode="External"/><Relationship Id="rId119" Type="http://schemas.openxmlformats.org/officeDocument/2006/relationships/hyperlink" Target="http://m.ec/" TargetMode="External"/><Relationship Id="rId15" Type="http://schemas.openxmlformats.org/officeDocument/2006/relationships/hyperlink" Target="https://data360.worldbank.org/en/dataset/WB_HCI" TargetMode="External"/><Relationship Id="rId110" Type="http://schemas.openxmlformats.org/officeDocument/2006/relationships/hyperlink" Target="https://gaw-bariri.bmkg.go.id/index.php/karya-tulis-dan-artikel/gawsarium/324-kualitas-udara" TargetMode="External"/><Relationship Id="rId14" Type="http://schemas.openxmlformats.org/officeDocument/2006/relationships/hyperlink" Target="https://www.pareto-economics.com/global-power-index.html" TargetMode="External"/><Relationship Id="rId17" Type="http://schemas.openxmlformats.org/officeDocument/2006/relationships/hyperlink" Target="https://www.bps.go.id/id/statistics-table/1/MjA3MiMx/emisi-gas-rumah-kaca-menurut-jenis-sektor--ribu-ton-co2e---2000-2019.html" TargetMode="External"/><Relationship Id="rId16" Type="http://schemas.openxmlformats.org/officeDocument/2006/relationships/hyperlink" Target="https://sirusa.web.bps.go.id/metadata/indikator/38331" TargetMode="External"/><Relationship Id="rId19" Type="http://schemas.openxmlformats.org/officeDocument/2006/relationships/hyperlink" Target="https://www.bps.go.id/id/statistics-table/2/MjUzMSMy/indeks-kualitas-lingkungan-hidup-menurut-provinsi.html" TargetMode="External"/><Relationship Id="rId114" Type="http://schemas.openxmlformats.org/officeDocument/2006/relationships/hyperlink" Target="https://www.bps.go.id/id/statistics-table/2/MjUzMiMy/komponen-penyusun-indeks-kualitas-lingkungan-hidup-menurut-provinsi.html" TargetMode="External"/><Relationship Id="rId18" Type="http://schemas.openxmlformats.org/officeDocument/2006/relationships/hyperlink" Target="https://web-api.bps.go.id/download.php?f=OvjcO0MhAxndIOd7Oglj/0NFODVBTWlneUtjY05mZHVsdGNUQmsxVEFxOWUrKzZ1YmtPUmlEYzlwSXJ0YVdEWGZTbW85QldZY0RNYk5EN0lOdVJTTEljM0d2Q0M5UERsdHZvTlVRSjJRM0dZYWkycE5xOUk2Y0k4emFEN2RhdE9rOUw2OFRoVUVqSSs3WDRCWXJONFcybW1aSVZUWjhYditmWmVWYzh3MEVyeC9zdnRtSU5oNTlnUllDUFlOZ29NMEdkbjJlLzhGOXI5c3NEM1ZzZFZGTUM0TTEvZC9pZWMxOGZZc3dRak5IcVVGeTBEaEhDb1MzN1oxeU9HRkFieGFJb2ZCZXBYTTgxYlMxeGQwYWxzemY0U1hIK2N4bXZza3FrWW5nPT0=&amp;_gl=1*1yrakoe*_ga*MzczNTkwNDAyLjE3NTg1NDQ5MTQ.*_ga_XXTTVXWHDB*czE3NzA2OTM1OTAkbzcwJGcxJHQxNzcwNjkzODc1JGo1NyRsMCRoMA.." TargetMode="External"/><Relationship Id="rId113" Type="http://schemas.openxmlformats.org/officeDocument/2006/relationships/hyperlink" Target="https://data.go.id/dataset/dataset/indeks-kualitas-air7" TargetMode="External"/><Relationship Id="rId112" Type="http://schemas.openxmlformats.org/officeDocument/2006/relationships/hyperlink" Target="https://web-api.bps.go.id/download.php?f=OvjcO0MhAxndIOd7Oglj/0NFODVBTWlneUtjY05mZHVsdGNUQmsxVEFxOWUrKzZ1YmtPUmlEYzlwSXJ0YVdEWGZTbW85QldZY0RNYk5EN0lOdVJTTEljM0d2Q0M5UERsdHZvTlVRSjJRM0dZYWkycE5xOUk2Y0k4emFEN2RhdE9rOUw2OFRoVUVqSSs3WDRCWXJONFcybW1aSVZUWjhYditmWmVWYzh3MEVyeC9zdnRtSU5oNTlnUllDUFlOZ29NMEdkbjJlLzhGOXI5c3NEM1ZzZFZGTUM0TTEvZC9pZWMxOGZZc3dRak5IcVVGeTBEaEhDb1MzN1oxeU9HRkFieGFJb2ZCZXBYTTgxYlMxeGQwYWxzemY0U1hIK2N4bXZza3FrWW5nPT0=&amp;_gl=1*1yrakoe*_ga*MzczNTkwNDAyLjE3NTg1NDQ5MTQ.*_ga_XXTTVXWHDB*czE3NzA2OTM1OTAkbzcwJGcxJHQxNzcwNjkzODc1JGo1NyRsMCRoMA." TargetMode="External"/><Relationship Id="rId111" Type="http://schemas.openxmlformats.org/officeDocument/2006/relationships/hyperlink" Target="https://sirusa.web.bps.go.id/metadata/indikator/63178" TargetMode="External"/><Relationship Id="rId84" Type="http://schemas.openxmlformats.org/officeDocument/2006/relationships/hyperlink" Target="https://ppid.kemendagri.go.id/storage/dokumen/ySU39fK8LzjMeRSWsT9HdPmHc3FN9RrMr9Y3yN2S.pdf" TargetMode="External"/><Relationship Id="rId83" Type="http://schemas.openxmlformats.org/officeDocument/2006/relationships/hyperlink" Target="https://spi.kpk.go.id/dashboard/hasil/" TargetMode="External"/><Relationship Id="rId86" Type="http://schemas.openxmlformats.org/officeDocument/2006/relationships/hyperlink" Target="https://data.go.id/dataset/dataset/indeks-pembangunan-hukum" TargetMode="External"/><Relationship Id="rId85" Type="http://schemas.openxmlformats.org/officeDocument/2006/relationships/hyperlink" Target="https://share.google/Ie2Bhetzpy3IYSWS8" TargetMode="External"/><Relationship Id="rId88" Type="http://schemas.openxmlformats.org/officeDocument/2006/relationships/hyperlink" Target="https://www.bps.go.id/id/statistics-table/2/MTMxMiMy/proporsi-penduduk-yang-merasa-aman-berjalan-sendirian-di-area-tempat-tinggalnya-.html" TargetMode="External"/><Relationship Id="rId87" Type="http://schemas.openxmlformats.org/officeDocument/2006/relationships/hyperlink" Target="https://sirusa.web.bps.go.id/metadata/indikator/48302" TargetMode="External"/><Relationship Id="rId89" Type="http://schemas.openxmlformats.org/officeDocument/2006/relationships/hyperlink" Target="https://sirusa.web.bps.go.id/metadata/indikator/37930" TargetMode="External"/><Relationship Id="rId80" Type="http://schemas.openxmlformats.org/officeDocument/2006/relationships/hyperlink" Target="https://www.menpan.go.id/site/download/file/5618-1-indeks-pelayanan-publik" TargetMode="External"/><Relationship Id="rId82" Type="http://schemas.openxmlformats.org/officeDocument/2006/relationships/hyperlink" Target="https://drive.google.com/drive/folders/1bL0VYlLQayyiyu9GsR1cYf6pBZSRb_IE" TargetMode="External"/><Relationship Id="rId81" Type="http://schemas.openxmlformats.org/officeDocument/2006/relationships/hyperlink" Target="https://opendata.jabarprov.go.id/id/dataset/indeks-pelayanan-publik-berdasarkan-provinsi-di-indonesia-53" TargetMode="External"/><Relationship Id="rId1" Type="http://schemas.openxmlformats.org/officeDocument/2006/relationships/hyperlink" Target="https://data.worldbank.org/indicator/NY.GNP.PCAP.CD?locations=ID" TargetMode="External"/><Relationship Id="rId2" Type="http://schemas.openxmlformats.org/officeDocument/2006/relationships/hyperlink" Target="https://drive.google.com/file/d/1-WxjBMWo6BjQLIcjtFT9esZoHB7ZfXi0/view?usp=drive_link" TargetMode="External"/><Relationship Id="rId3" Type="http://schemas.openxmlformats.org/officeDocument/2006/relationships/hyperlink" Target="http://s.st/" TargetMode="External"/><Relationship Id="rId4" Type="http://schemas.openxmlformats.org/officeDocument/2006/relationships/hyperlink" Target="https://data.go.id/dataset/dataset/kontribusi-pdb-maritim-terhadap-pdb-nasional-menurut-cluster-atas-dasar-harga-berlaku" TargetMode="External"/><Relationship Id="rId9" Type="http://schemas.openxmlformats.org/officeDocument/2006/relationships/hyperlink" Target="https://docs.google.com/spreadsheets/d/1iLxf9omlEdU-HVozKx9CrMzIkB0QLdWe/edit?usp=sharing&amp;ouid=116167848821916757688&amp;rtpof=true&amp;sd=true" TargetMode="External"/><Relationship Id="rId5" Type="http://schemas.openxmlformats.org/officeDocument/2006/relationships/hyperlink" Target="http://s.st/" TargetMode="External"/><Relationship Id="rId6" Type="http://schemas.openxmlformats.org/officeDocument/2006/relationships/hyperlink" Target="https://web-api.bps.go.id/download.php?f=M6H6+xb+JEsFbxpH28ZvZXAvak5ScExlTm9Fc0U3VVVxNkVtNldPai9IS254UTh6aWVWcmprL3YxZEJZUWtuSUVwWnFlRmd5eUt0R1ZVSmFnNGp5M0dnREdQZHE2MlZ6ZkE3WFVWeGNER0RPdXduK1Q4OWFJZUx4Z2I5UmYzQWRtQWdjNlZHN2xhTFJNbUo2N1NNZ1RYNkxPeFNWTklsdWFlblB0Z09Camhpc3h6S3FDelFUYlpXQnRNa3pRWXdXZmVlTzRJczY1elJRZFhiNVNHL1lac1ZNbTRmY0FEckNFcUU3SGsyOWJ1TEtxZlpvZWFRWkhSUU50MjNRM2hlM2dEL2dPT3RKSkljdnlsTlM1aDJrZzFZMzRNUWRwZjhQNnVFcFlnPT0=&amp;_gl=1*1st8vvv*_ga*MzczNTkwNDAyLjE3NTg1NDQ5MTQ.*_ga_XXTTVXWHDB*czE3NzA2ODg2NTckbzY5JGcxJHQxNzcwNjkwMjY5JGozOSRsMCRoMA." TargetMode="External"/><Relationship Id="rId7" Type="http://schemas.openxmlformats.org/officeDocument/2006/relationships/hyperlink" Target="https://www.bps.go.id/id/statistics-table/2/MTIxNiMy/laju-pertumbuhan-pdb-industri-manufaktur.html" TargetMode="External"/><Relationship Id="rId8" Type="http://schemas.openxmlformats.org/officeDocument/2006/relationships/hyperlink" Target="https://sirusa.web.bps.go.id/metadata/indikator/46113" TargetMode="External"/><Relationship Id="rId73" Type="http://schemas.openxmlformats.org/officeDocument/2006/relationships/hyperlink" Target="https://drive.google.com/drive/folders/1bL0VYlLQayyiyu9GsR1cYf6pBZSRb_IE" TargetMode="External"/><Relationship Id="rId72" Type="http://schemas.openxmlformats.org/officeDocument/2006/relationships/hyperlink" Target="https://www.bps.go.id/id/statistics-table/2/MjUzNyMy/pdrb-triwulanan-atas-dasar-harga-konstan--2010-100--menurut-pengeluaran-di-kabupaten-kota-seluruh-indonesia--milyar-rupiah-.html" TargetMode="External"/><Relationship Id="rId75" Type="http://schemas.openxmlformats.org/officeDocument/2006/relationships/hyperlink" Target="http://s.st/" TargetMode="External"/><Relationship Id="rId74" Type="http://schemas.openxmlformats.org/officeDocument/2006/relationships/hyperlink" Target="https://www.bps.go.id/id/publication/2025/06/10/ca543e942579ced46afd603b/produk-domestik-regional-bruto-kabupaten-kota-di-indonesia-2020-2024.html" TargetMode="External"/><Relationship Id="rId77" Type="http://schemas.openxmlformats.org/officeDocument/2006/relationships/hyperlink" Target="https://share.google/Ie2Bhetzpy3IYSWS8" TargetMode="External"/><Relationship Id="rId76" Type="http://schemas.openxmlformats.org/officeDocument/2006/relationships/hyperlink" Target="https://sirusa.web.bps.go.id/metadata/indikator/48422" TargetMode="External"/><Relationship Id="rId79" Type="http://schemas.openxmlformats.org/officeDocument/2006/relationships/hyperlink" Target="https://data.go.id/dataset/dataset/indeks-spbe10" TargetMode="External"/><Relationship Id="rId78" Type="http://schemas.openxmlformats.org/officeDocument/2006/relationships/hyperlink" Target="https://data.go.id/dataset/dataset/indeks-pembangunan-hukum" TargetMode="External"/><Relationship Id="rId71" Type="http://schemas.openxmlformats.org/officeDocument/2006/relationships/hyperlink" Target="https://www.pelindo.co.id/media/download/507/biaya-logistik-di-indonesia-turun-40-persen-dalam-lima-tahun" TargetMode="External"/><Relationship Id="rId70" Type="http://schemas.openxmlformats.org/officeDocument/2006/relationships/hyperlink" Target="https://www.imd.org/entity-profile/indonesia-digital/" TargetMode="External"/><Relationship Id="rId62" Type="http://schemas.openxmlformats.org/officeDocument/2006/relationships/hyperlink" Target="https://satudata.dharmasrayakab.go.id/id/dataset/proporsi-penciptaan-lapangan-kerja-formal" TargetMode="External"/><Relationship Id="rId61" Type="http://schemas.openxmlformats.org/officeDocument/2006/relationships/hyperlink" Target="https://web-api.bps.go.id/download.php?f=P7DeZnTJ65FkJQ1qE3dB9GRMQ2h1dzhCRnZ6SFA1QTRzMWNLODdyWjZ4V3k0SHJxK2YvSWpmTHYzNlNRYjBIbHkydTR6eEFIMklNV1pTZng2NlpaM2d2OThCYUZxLzJKNzJUbWY5eGJKZUk4UXNJNlRYQ0ttUi9PR3l5ZVlOSm0zZkQ0UWVxbk40OEJmZ0RrTC9HS3pyMVpKR2NMTWVOclFFUjBvK0xTWlpwYTk0N2ZjalFmR2F3UkhjZDFQVnRBS2pQR1ZpUE91NzZ1SERvTkdpTjVBeXJLNllrSTNYTU1WRnM0QnpJdUI5YklZSks5ZW0rMWQvS3JCV0FlTXJ0MWd5bGttQURtZFdxdWhpTms=&amp;_gl=1*24jkot*_ga*MzczNTkwNDAyLjE3NTg1NDQ5MTQ.*_ga_XXTTVXWHDB*czE3NzEzODExMDEkbzcyJGcxJHQxNzcxMzgxMzg4JGoxNyRsMCRoMA.." TargetMode="External"/><Relationship Id="rId64" Type="http://schemas.openxmlformats.org/officeDocument/2006/relationships/hyperlink" Target="https://jakarta.bps.go.id/id/statistics-table/2/MTI5OCMy/tingkat-partisipasi-angkatan-kerja--tpak--penduduk-laki-laki-dan-perempuan--persen-.html" TargetMode="External"/><Relationship Id="rId63" Type="http://schemas.openxmlformats.org/officeDocument/2006/relationships/hyperlink" Target="https://sirusa.web.bps.go.id/metadata/indikator/63112" TargetMode="External"/><Relationship Id="rId66" Type="http://schemas.openxmlformats.org/officeDocument/2006/relationships/hyperlink" Target="https://www.wipo.int/publications/en/series/index.jsp?id=129" TargetMode="External"/><Relationship Id="rId65" Type="http://schemas.openxmlformats.org/officeDocument/2006/relationships/hyperlink" Target="https://drive.google.com/drive/folders/1bL0VYlLQayyiyu9GsR1cYf6pBZSRb_IE" TargetMode="External"/><Relationship Id="rId68" Type="http://schemas.openxmlformats.org/officeDocument/2006/relationships/hyperlink" Target="https://lcdi-indonesia.id/wp-content/uploads/2022/08/Green-Economy-Index-A-Step-Forward-to-Measure-the-Progress-of-Low-Carbon-and-Green-Economy-in-Indonesia.pdf" TargetMode="External"/><Relationship Id="rId67" Type="http://schemas.openxmlformats.org/officeDocument/2006/relationships/hyperlink" Target="http://s.st/" TargetMode="External"/><Relationship Id="rId60" Type="http://schemas.openxmlformats.org/officeDocument/2006/relationships/hyperlink" Target="https://www.bps.go.id/id/publication/2026/01/12/7cafd1df082c81784e0e15f8/booklet-sakernas-agustus-2025.html" TargetMode="External"/><Relationship Id="rId69" Type="http://schemas.openxmlformats.org/officeDocument/2006/relationships/hyperlink" Target="https://www.imd.org/centers/wcc/world-competitiveness-center/rankings/world-digital-competitiveness-ranking/" TargetMode="External"/><Relationship Id="rId51" Type="http://schemas.openxmlformats.org/officeDocument/2006/relationships/hyperlink" Target="https://www.bi.go.id/id/publikasi/laporan/Documents/Indonesia-Tourism-Outlook-2025-2026.pdf" TargetMode="External"/><Relationship Id="rId50" Type="http://schemas.openxmlformats.org/officeDocument/2006/relationships/hyperlink" Target="https://www.bps.go.id/id/statistics-table/2/MTE4OCMy/proporsi-kontribusi-pariwisata-terhadap-pdb--persen-.html" TargetMode="External"/><Relationship Id="rId53" Type="http://schemas.openxmlformats.org/officeDocument/2006/relationships/hyperlink" Target="http://m.si/" TargetMode="External"/><Relationship Id="rId52" Type="http://schemas.openxmlformats.org/officeDocument/2006/relationships/hyperlink" Target="https://kemenpar.go.id/statistik-devisa-pariwisata" TargetMode="External"/><Relationship Id="rId55" Type="http://schemas.openxmlformats.org/officeDocument/2006/relationships/hyperlink" Target="https://jakarta.bps.go.id/id/publication/2019/12/31/6158504af2c2c62597990070/laporan-studi-penyusunan-pdrb-ekonomi-kreatif-provinsi-dki-jakarta.html" TargetMode="External"/><Relationship Id="rId54" Type="http://schemas.openxmlformats.org/officeDocument/2006/relationships/hyperlink" Target="http://s.st/" TargetMode="External"/><Relationship Id="rId57" Type="http://schemas.openxmlformats.org/officeDocument/2006/relationships/hyperlink" Target="http://s.st/" TargetMode="External"/><Relationship Id="rId56" Type="http://schemas.openxmlformats.org/officeDocument/2006/relationships/hyperlink" Target="https://drive.google.com/drive/folders/1bL0VYlLQayyiyu9GsR1cYf6pBZSRb_IE" TargetMode="External"/><Relationship Id="rId59" Type="http://schemas.openxmlformats.org/officeDocument/2006/relationships/hyperlink" Target="https://sirusa.web.bps.go.id/metadata/indikator/48426" TargetMode="External"/><Relationship Id="rId58" Type="http://schemas.openxmlformats.org/officeDocument/2006/relationships/hyperlink" Target="https://sdi.beltim.go.id/kodref/02.08.04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brin.go.id/drid/page/indeks-daya-saing-daerah" TargetMode="External"/><Relationship Id="rId3" Type="http://schemas.openxmlformats.org/officeDocument/2006/relationships/hyperlink" Target="https://dpmd.kaltaraprov.go.id/rekap/idm.php?tahun=&amp;kecamatan=&amp;status=" TargetMode="Externa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hyperlink" Target="https://dpmd.kaltaraprov.go.id/rekap/idm.php?tahun=&amp;kecamatan=&amp;status="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pmd.kaltaraprov.go.id/rekap/idm.php?tahun=&amp;kecamatan=&amp;status="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88"/>
    <col customWidth="1" hidden="1" min="2" max="2" width="16.75"/>
    <col customWidth="1" hidden="1" min="3" max="3" width="12.63"/>
    <col customWidth="1" min="4" max="4" width="5.0"/>
    <col customWidth="1" min="5" max="5" width="81.13"/>
    <col customWidth="1" min="6" max="6" width="12.63"/>
    <col customWidth="1" min="7" max="7" width="25.63"/>
    <col customWidth="1" min="8" max="8" width="12.63"/>
    <col customWidth="1" min="9" max="9" width="34.13"/>
    <col customWidth="1" min="10" max="10" width="12.63"/>
    <col customWidth="1" min="11" max="11" width="34.63"/>
    <col customWidth="1" min="12" max="12" width="12.63"/>
    <col customWidth="1" min="13" max="13" width="16.0"/>
    <col customWidth="1" min="15" max="15" width="15.63"/>
    <col customWidth="1" min="16" max="16" width="12.63"/>
    <col customWidth="1" min="18" max="26" width="12.63"/>
    <col customWidth="1" min="27" max="27" width="0.13"/>
    <col customWidth="1" min="28" max="28" width="8.25"/>
    <col customWidth="1" min="29" max="29" width="23.38"/>
    <col customWidth="1" min="30" max="30" width="14.38"/>
    <col customWidth="1" min="33" max="33" width="33.13"/>
    <col customWidth="1" min="34" max="34" width="45.88"/>
    <col customWidth="1" min="35" max="35" width="26.0"/>
  </cols>
  <sheetData>
    <row r="1" ht="45.0" customHeight="1">
      <c r="A1" s="1" t="str">
        <f>IFERROR(__xludf.DUMMYFUNCTION("IMPORTRANGE(""https://docs.google.com/spreadsheets/d/1mSOCbzIS1QEoPdD66B5LFI9hiv_nSnVCLOlU0PbiRhw/edit?usp=sharing"",""'ISV-IUP'!A:Z"")"),"Kategori")</f>
        <v>Kategori</v>
      </c>
      <c r="B1" s="1" t="str">
        <f>IFERROR(__xludf.DUMMYFUNCTION("""COMPUTED_VALUE"""),"Kelompok Indikator")</f>
        <v>Kelompok Indikator</v>
      </c>
      <c r="C1" s="1" t="str">
        <f>IFERROR(__xludf.DUMMYFUNCTION("""COMPUTED_VALUE"""),"Arah Pembangunan")</f>
        <v>Arah Pembangunan</v>
      </c>
      <c r="D1" s="1" t="str">
        <f>IFERROR(__xludf.DUMMYFUNCTION("""COMPUTED_VALUE"""),"No")</f>
        <v>No</v>
      </c>
      <c r="E1" s="1" t="str">
        <f>IFERROR(__xludf.DUMMYFUNCTION("""COMPUTED_VALUE"""),"Indikator")</f>
        <v>Indikator</v>
      </c>
      <c r="F1" s="1" t="str">
        <f>IFERROR(__xludf.DUMMYFUNCTION("""COMPUTED_VALUE"""),"Metadata Indikator")</f>
        <v>Metadata Indikator</v>
      </c>
      <c r="G1" s="2" t="str">
        <f>IFERROR(__xludf.DUMMYFUNCTION("""COMPUTED_VALUE"""),"PJK Koordinator Penyedia Indikator")</f>
        <v>PJK Koordinator Penyedia Indikator</v>
      </c>
      <c r="H1" s="1" t="str">
        <f>IFERROR(__xludf.DUMMYFUNCTION("""COMPUTED_VALUE"""),"Unit Kerja BAPPENAS")</f>
        <v>Unit Kerja BAPPENAS</v>
      </c>
      <c r="I1" s="1" t="str">
        <f>IFERROR(__xludf.DUMMYFUNCTION("""COMPUTED_VALUE"""),"Unit Kerja BAPPENAS BARU")</f>
        <v>Unit Kerja BAPPENAS BARU</v>
      </c>
      <c r="J1" s="1" t="str">
        <f>IFERROR(__xludf.DUMMYFUNCTION("""COMPUTED_VALUE"""),"Penghasil Indikator")</f>
        <v>Penghasil Indikator</v>
      </c>
      <c r="K1" s="1" t="str">
        <f>IFERROR(__xludf.DUMMYFUNCTION("""COMPUTED_VALUE"""),"K/L/D/i Pengampu Indikator")</f>
        <v>K/L/D/i Pengampu Indikator</v>
      </c>
      <c r="L1" s="1" t="str">
        <f>IFERROR(__xludf.DUMMYFUNCTION("""COMPUTED_VALUE"""),"Ketersediaan")</f>
        <v>Ketersediaan</v>
      </c>
      <c r="M1" s="1" t="str">
        <f>IFERROR(__xludf.DUMMYFUNCTION("""COMPUTED_VALUE"""),"PIC DGDS")</f>
        <v>PIC DGDS</v>
      </c>
      <c r="N1" s="1" t="str">
        <f>IFERROR(__xludf.DUMMYFUNCTION("""COMPUTED_VALUE"""),"Catatan Teknis")</f>
        <v>Catatan Teknis</v>
      </c>
      <c r="O1" s="1" t="str">
        <f>IFERROR(__xludf.DUMMYFUNCTION("""COMPUTED_VALUE"""),"Tautan Metadata Indikator")</f>
        <v>Tautan Metadata Indikator</v>
      </c>
      <c r="P1" s="1" t="str">
        <f>IFERROR(__xludf.DUMMYFUNCTION("""COMPUTED_VALUE"""),"Link Publikasi")</f>
        <v>Link Publikasi</v>
      </c>
      <c r="Q1" s="1" t="str">
        <f>IFERROR(__xludf.DUMMYFUNCTION("""COMPUTED_VALUE"""),"Usulan Proxy")</f>
        <v>Usulan Proxy</v>
      </c>
      <c r="R1" s="1" t="str">
        <f>IFERROR(__xludf.DUMMYFUNCTION("""COMPUTED_VALUE"""),"Perbaikan Nama Indikator")</f>
        <v>Perbaikan Nama Indikator</v>
      </c>
      <c r="S1" s="1" t="str">
        <f>IFERROR(__xludf.DUMMYFUNCTION("""COMPUTED_VALUE"""),"Link Data")</f>
        <v>Link Data</v>
      </c>
      <c r="T1" s="1" t="str">
        <f>IFERROR(__xludf.DUMMYFUNCTION("""COMPUTED_VALUE"""),"Periode Data ")</f>
        <v>Periode Data </v>
      </c>
      <c r="U1" s="1" t="str">
        <f>IFERROR(__xludf.DUMMYFUNCTION("""COMPUTED_VALUE"""),"Latest Publication ")</f>
        <v>Latest Publication </v>
      </c>
      <c r="V1" s="1" t="str">
        <f>IFERROR(__xludf.DUMMYFUNCTION("""COMPUTED_VALUE"""),"Indikator SDGs")</f>
        <v>Indikator SDGs</v>
      </c>
      <c r="W1" s="1" t="str">
        <f>IFERROR(__xludf.DUMMYFUNCTION("""COMPUTED_VALUE"""),"Rapat 22/04/2026")</f>
        <v>Rapat 22/04/2026</v>
      </c>
      <c r="X1" s="3" t="str">
        <f>IFERROR(__xludf.DUMMYFUNCTION("""COMPUTED_VALUE"""),"Angka 2025")</f>
        <v>Angka 2025</v>
      </c>
      <c r="Y1" s="1"/>
      <c r="Z1" s="1"/>
      <c r="AA1" s="1" t="s">
        <v>0</v>
      </c>
      <c r="AB1" s="1" t="s">
        <v>1</v>
      </c>
      <c r="AC1" s="1" t="s">
        <v>2</v>
      </c>
      <c r="AD1" s="1" t="s">
        <v>3</v>
      </c>
      <c r="AE1" s="1" t="s">
        <v>4</v>
      </c>
      <c r="AF1" s="1" t="s">
        <v>5</v>
      </c>
      <c r="AG1" s="1" t="s">
        <v>6</v>
      </c>
      <c r="AH1" s="1" t="s">
        <v>7</v>
      </c>
      <c r="AI1" s="4"/>
      <c r="AJ1" s="4"/>
      <c r="AK1" s="4"/>
      <c r="AL1" s="4"/>
      <c r="AM1" s="4"/>
      <c r="AN1" s="4"/>
    </row>
    <row r="2" ht="27.0" customHeight="1">
      <c r="A2" s="5" t="str">
        <f>IFERROR(__xludf.DUMMYFUNCTION("""COMPUTED_VALUE"""),"ISV")</f>
        <v>ISV</v>
      </c>
      <c r="B2" s="5" t="str">
        <f>IFERROR(__xludf.DUMMYFUNCTION("""COMPUTED_VALUE"""),"Peningkatan Pendapatan per Kapita")</f>
        <v>Peningkatan Pendapatan per Kapita</v>
      </c>
      <c r="C2" s="5"/>
      <c r="D2" s="5">
        <f>IFERROR(__xludf.DUMMYFUNCTION("""COMPUTED_VALUE"""),1.0)</f>
        <v>1</v>
      </c>
      <c r="E2" s="5" t="str">
        <f>IFERROR(__xludf.DUMMYFUNCTION("""COMPUTED_VALUE"""),"GNI per kapita  ")</f>
        <v>GNI per kapita  </v>
      </c>
      <c r="F2" s="5"/>
      <c r="G2" s="6" t="str">
        <f>IFERROR(__xludf.DUMMYFUNCTION("""COMPUTED_VALUE"""),"Dit. Neraca Pengeluaran")</f>
        <v>Dit. Neraca Pengeluaran</v>
      </c>
      <c r="H2" s="5" t="str">
        <f>IFERROR(__xludf.DUMMYFUNCTION("""COMPUTED_VALUE"""),"Dit. Perencanaan Makro dan Analisis Statistik BAPPENAS")</f>
        <v>Dit. Perencanaan Makro dan Analisis Statistik BAPPENAS</v>
      </c>
      <c r="I2" s="5" t="str">
        <f>IFERROR(__xludf.DUMMYFUNCTION("""COMPUTED_VALUE"""),"Direktorat Perencanaan Ekonomi Makro dan Pengembangan Model Pembangunan")</f>
        <v>Direktorat Perencanaan Ekonomi Makro dan Pengembangan Model Pembangunan</v>
      </c>
      <c r="J2" s="7"/>
      <c r="K2" s="5" t="str">
        <f>IFERROR(__xludf.DUMMYFUNCTION("""COMPUTED_VALUE"""),"Kementerian PPN/Bappenas")</f>
        <v>Kementerian PPN/Bappenas</v>
      </c>
      <c r="L2" s="5" t="str">
        <f>IFERROR(__xludf.DUMMYFUNCTION("""COMPUTED_VALUE"""),"Tersedia Nasional")</f>
        <v>Tersedia Nasional</v>
      </c>
      <c r="M2" s="5" t="str">
        <f>IFERROR(__xludf.DUMMYFUNCTION("""COMPUTED_VALUE"""),"Syifasari Diennabila")</f>
        <v>Syifasari Diennabila</v>
      </c>
      <c r="N2" s="5" t="str">
        <f>IFERROR(__xludf.DUMMYFUNCTION("""COMPUTED_VALUE"""),"Indikator Proxy: PDRB per kapita; Tersedia hingga kabupaten/kota")</f>
        <v>Indikator Proxy: PDRB per kapita; Tersedia hingga kabupaten/kota</v>
      </c>
      <c r="O2" s="5"/>
      <c r="P2" s="8" t="str">
        <f>IFERROR(__xludf.DUMMYFUNCTION("""COMPUTED_VALUE"""),"https://data.worldbank.org/indicator/NY.GNP.PCAP.CD?locations=ID")</f>
        <v>https://data.worldbank.org/indicator/NY.GNP.PCAP.CD?locations=ID</v>
      </c>
      <c r="Q2" s="5"/>
      <c r="R2" s="5"/>
      <c r="S2" s="9" t="str">
        <f>IFERROR(__xludf.DUMMYFUNCTION("""COMPUTED_VALUE"""),"Proxy ISV 1.csv")</f>
        <v>Proxy ISV 1.csv</v>
      </c>
      <c r="T2" s="5"/>
      <c r="U2" s="7">
        <f>IFERROR(__xludf.DUMMYFUNCTION("""COMPUTED_VALUE"""),2025.0)</f>
        <v>2025</v>
      </c>
      <c r="V2" s="5"/>
      <c r="W2" s="10"/>
      <c r="X2" s="11" t="str">
        <f>IFERROR(__xludf.DUMMYFUNCTION("""COMPUTED_VALUE"""),"untuk data realisasi diambil dari world bank selaku yang mengeluarkan data dan klasifikasi pendapatan negara")</f>
        <v>untuk data realisasi diambil dari world bank selaku yang mengeluarkan data dan klasifikasi pendapatan negara</v>
      </c>
      <c r="Y2" s="7"/>
      <c r="Z2" s="5"/>
      <c r="AA2" s="12" t="s">
        <v>8</v>
      </c>
      <c r="AB2" s="12" t="s">
        <v>9</v>
      </c>
      <c r="AC2" s="13" t="s">
        <v>10</v>
      </c>
      <c r="AD2" s="14" t="s">
        <v>11</v>
      </c>
      <c r="AE2" s="15">
        <v>2025.0</v>
      </c>
      <c r="AF2" s="16" t="s">
        <v>12</v>
      </c>
      <c r="AG2" s="14" t="s">
        <v>13</v>
      </c>
      <c r="AH2" s="5" t="s">
        <v>14</v>
      </c>
      <c r="AI2" s="17" t="s">
        <v>9</v>
      </c>
      <c r="AJ2" s="17">
        <f t="shared" ref="AJ2:AJ5" si="1">COUNTIF(AB$2:AB$87,AI2)</f>
        <v>30</v>
      </c>
      <c r="AK2" s="17"/>
      <c r="AL2" s="17"/>
      <c r="AM2" s="17"/>
      <c r="AN2" s="17"/>
    </row>
    <row r="3" ht="27.0" customHeight="1">
      <c r="A3" s="5" t="str">
        <f>IFERROR(__xludf.DUMMYFUNCTION("""COMPUTED_VALUE"""),"ISV")</f>
        <v>ISV</v>
      </c>
      <c r="B3" s="5" t="str">
        <f>IFERROR(__xludf.DUMMYFUNCTION("""COMPUTED_VALUE"""),"Peningkatan Pendapatan per Kapita")</f>
        <v>Peningkatan Pendapatan per Kapita</v>
      </c>
      <c r="C3" s="5"/>
      <c r="D3" s="5">
        <f>IFERROR(__xludf.DUMMYFUNCTION("""COMPUTED_VALUE"""),2.0)</f>
        <v>2</v>
      </c>
      <c r="E3" s="5" t="str">
        <f>IFERROR(__xludf.DUMMYFUNCTION("""COMPUTED_VALUE"""),"Kontribusi PDB Maritim(%)  ")</f>
        <v>Kontribusi PDB Maritim(%)  </v>
      </c>
      <c r="F3" s="5"/>
      <c r="G3" s="6" t="str">
        <f>IFERROR(__xludf.DUMMYFUNCTION("""COMPUTED_VALUE"""),"Dit. Neraca Produksi")</f>
        <v>Dit. Neraca Produksi</v>
      </c>
      <c r="H3" s="5" t="str">
        <f>IFERROR(__xludf.DUMMYFUNCTION("""COMPUTED_VALUE"""),"1. Dit. Perencanaan Makro dan Analisis Statistik
2. Dit. Industri, Pariwisata dan Ekonomi Kreatif
3. Dit. Kelautan dan Perikanan (Koordinator)
BAPPENAS")</f>
        <v>1. Dit. Perencanaan Makro dan Analisis Statistik
2. Dit. Industri, Pariwisata dan Ekonomi Kreatif
3. Dit. Kelautan dan Perikanan (Koordinator)
BAPPENAS</v>
      </c>
      <c r="I3" s="5"/>
      <c r="J3" s="7" t="str">
        <f>IFERROR(__xludf.DUMMYFUNCTION("""COMPUTED_VALUE"""),"Kementerian Koordinator Bidang Kemaritiman dan Investasi
BPS")</f>
        <v>Kementerian Koordinator Bidang Kemaritiman dan Investasi
BPS</v>
      </c>
      <c r="K3" s="5" t="str">
        <f>IFERROR(__xludf.DUMMYFUNCTION("""COMPUTED_VALUE"""),"Pengampu indikator belum diputuskan oleh Bappenas, merupakan K/L yang terkait fungsi dalam pencapaian Sektor Maritim")</f>
        <v>Pengampu indikator belum diputuskan oleh Bappenas, merupakan K/L yang terkait fungsi dalam pencapaian Sektor Maritim</v>
      </c>
      <c r="L3" s="18" t="str">
        <f>IFERROR(__xludf.DUMMYFUNCTION("""COMPUTED_VALUE"""),"Tidak Tersedia")</f>
        <v>Tidak Tersedia</v>
      </c>
      <c r="M3" s="19" t="str">
        <f>IFERROR(__xludf.DUMMYFUNCTION("""COMPUTED_VALUE"""),"Ety Kurniati, S.ST")</f>
        <v>Ety Kurniati, S.ST</v>
      </c>
      <c r="N3" s="18" t="str">
        <f>IFERROR(__xludf.DUMMYFUNCTION("""COMPUTED_VALUE"""),"Indikator Proxy: Indeks Ekonomi Biru; Tersedia hingga tingkat provinsi")</f>
        <v>Indikator Proxy: Indeks Ekonomi Biru; Tersedia hingga tingkat provinsi</v>
      </c>
      <c r="O3" s="18"/>
      <c r="P3" s="5" t="str">
        <f>IFERROR(__xludf.DUMMYFUNCTION("""COMPUTED_VALUE"""),"https://cdn.theconversation.com/static_files/files/1186/PUBLIKASI_PDB_MARITIM_FINAL_Oktober_2017%281%29.pdf?1598524965 
https://www.scribd.com/document/763026941/LAPORAN-PDB-MARITIM-2017-2021-Updated ")</f>
        <v>https://cdn.theconversation.com/static_files/files/1186/PUBLIKASI_PDB_MARITIM_FINAL_Oktober_2017%281%29.pdf?1598524965 
https://www.scribd.com/document/763026941/LAPORAN-PDB-MARITIM-2017-2021-Updated </v>
      </c>
      <c r="Q3" s="5"/>
      <c r="R3" s="5"/>
      <c r="S3" s="9" t="str">
        <f>IFERROR(__xludf.DUMMYFUNCTION("""COMPUTED_VALUE"""),"https://data.go.id/dataset/dataset/kontribusi-pdb-maritim-terhadap-pdb-nasional-menurut-cluster-atas-dasar-harga-berlaku")</f>
        <v>https://data.go.id/dataset/dataset/kontribusi-pdb-maritim-terhadap-pdb-nasional-menurut-cluster-atas-dasar-harga-berlaku</v>
      </c>
      <c r="T3" s="20"/>
      <c r="U3" s="7"/>
      <c r="V3" s="7"/>
      <c r="W3" s="10"/>
      <c r="X3" s="11" t="str">
        <f>IFERROR(__xludf.DUMMYFUNCTION("""COMPUTED_VALUE"""),"Kementerian penghasil indikator sudah tidak ada lagi ")</f>
        <v>Kementerian penghasil indikator sudah tidak ada lagi </v>
      </c>
      <c r="Y3" s="7"/>
      <c r="Z3" s="7"/>
      <c r="AA3" s="12" t="s">
        <v>15</v>
      </c>
      <c r="AB3" s="12" t="s">
        <v>9</v>
      </c>
      <c r="AC3" s="13" t="s">
        <v>10</v>
      </c>
      <c r="AD3" s="21" t="s">
        <v>11</v>
      </c>
      <c r="AE3" s="22">
        <v>2023.0</v>
      </c>
      <c r="AF3" s="23" t="s">
        <v>12</v>
      </c>
      <c r="AG3" s="21" t="s">
        <v>16</v>
      </c>
      <c r="AH3" s="5" t="s">
        <v>14</v>
      </c>
      <c r="AI3" s="24" t="s">
        <v>17</v>
      </c>
      <c r="AJ3" s="17">
        <f t="shared" si="1"/>
        <v>48</v>
      </c>
      <c r="AK3" s="24"/>
      <c r="AL3" s="24"/>
      <c r="AM3" s="24"/>
      <c r="AN3" s="24"/>
    </row>
    <row r="4" ht="27.0" customHeight="1">
      <c r="A4" s="5" t="str">
        <f>IFERROR(__xludf.DUMMYFUNCTION("""COMPUTED_VALUE"""),"ISV")</f>
        <v>ISV</v>
      </c>
      <c r="B4" s="5" t="str">
        <f>IFERROR(__xludf.DUMMYFUNCTION("""COMPUTED_VALUE"""),"Peningkatan Pendapatan per Kapita")</f>
        <v>Peningkatan Pendapatan per Kapita</v>
      </c>
      <c r="C4" s="5"/>
      <c r="D4" s="5">
        <f>IFERROR(__xludf.DUMMYFUNCTION("""COMPUTED_VALUE"""),3.0)</f>
        <v>3</v>
      </c>
      <c r="E4" s="5" t="str">
        <f>IFERROR(__xludf.DUMMYFUNCTION("""COMPUTED_VALUE"""),"Kontribusi PDB industri Manufaktur(%)  ")</f>
        <v>Kontribusi PDB industri Manufaktur(%)  </v>
      </c>
      <c r="F4" s="5"/>
      <c r="G4" s="6" t="str">
        <f>IFERROR(__xludf.DUMMYFUNCTION("""COMPUTED_VALUE"""),"Dit. Neraca Produksi")</f>
        <v>Dit. Neraca Produksi</v>
      </c>
      <c r="H4" s="5" t="str">
        <f>IFERROR(__xludf.DUMMYFUNCTION("""COMPUTED_VALUE"""),"1. Dit. Perencanaan Makro dan
Analisis Statistik
2. Dit. Industri, Pariwisata dan
Ekonomi Kreatif
BAPPENAS")</f>
        <v>1. Dit. Perencanaan Makro dan
Analisis Statistik
2. Dit. Industri, Pariwisata dan
Ekonomi Kreatif
BAPPENAS</v>
      </c>
      <c r="I4" s="5"/>
      <c r="J4" s="7"/>
      <c r="K4" s="5" t="str">
        <f>IFERROR(__xludf.DUMMYFUNCTION("""COMPUTED_VALUE"""),"Kementerian Perindustrian")</f>
        <v>Kementerian Perindustrian</v>
      </c>
      <c r="L4" s="5" t="str">
        <f>IFERROR(__xludf.DUMMYFUNCTION("""COMPUTED_VALUE"""),"Tersedia s.d Kabupaten/Kota")</f>
        <v>Tersedia s.d Kabupaten/Kota</v>
      </c>
      <c r="M4" s="8" t="str">
        <f>IFERROR(__xludf.DUMMYFUNCTION("""COMPUTED_VALUE"""),"Ety Kurniati, S.ST")</f>
        <v>Ety Kurniati, S.ST</v>
      </c>
      <c r="N4" s="5" t="str">
        <f>IFERROR(__xludf.DUMMYFUNCTION("""COMPUTED_VALUE"""),"Indikator Proxy: Kontribusi PDRB Sektor Sekunder (Triwulanan); Tersedia hingga kabupaten/kota")</f>
        <v>Indikator Proxy: Kontribusi PDRB Sektor Sekunder (Triwulanan); Tersedia hingga kabupaten/kota</v>
      </c>
      <c r="O4" s="5"/>
      <c r="P4" s="8" t="str">
        <f>IFERROR(__xludf.DUMMYFUNCTION("""COMPUTED_VALUE"""),"https://web-api.bps.go.id/download.php?f=M6H6+xb+JEsFbxpH28ZvZXAvak5ScExlTm9Fc0U3VVVxNkVtNldPai9IS254UTh6aWVWcmprL3YxZEJZUWtuSUVwWnFlRmd5eUt0R1ZVSmFnNGp5M0dnREdQZHE2MlZ6ZkE3WFVWeGNER0RPdXduK1Q4OWFJZUx4Z2I5UmYzQWRtQWdjNlZHN2xhTFJNbUo2N1NNZ1RYNkxPeFNWTklsdW"&amp;"FlblB0Z09Camhpc3h6S3FDelFUYlpXQnRNa3pRWXdXZmVlTzRJczY1elJRZFhiNVNHL1lac1ZNbTRmY0FEckNFcUU3SGsyOWJ1TEtxZlpvZWFRWkhSUU50MjNRM2hlM2dEL2dPT3RKSkljdnlsTlM1aDJrZzFZMzRNUWRwZjhQNnVFcFlnPT0=&amp;_gl=1*1st8vvv*_ga*MzczNTkwNDAyLjE3NTg1NDQ5MTQ.*_ga_XXTTVXWHDB*czE3NzA2OD"&amp;"g2NTckbzY5JGcxJHQxNzcwNjkwMjY5JGozOSRsMCRoMA.")</f>
        <v>https://web-api.bps.go.id/download.php?f=M6H6+xb+JEsFbxpH28ZvZXAvak5ScExlTm9Fc0U3VVVxNkVtNldPai9IS254UTh6aWVWcmprL3YxZEJZUWtuSUVwWnFlRmd5eUt0R1ZVSmFnNGp5M0dnREdQZHE2MlZ6ZkE3WFVWeGNER0RPdXduK1Q4OWFJZUx4Z2I5UmYzQWRtQWdjNlZHN2xhTFJNbUo2N1NNZ1RYNkxPeFNWTklsdWFlblB0Z09Camhpc3h6S3FDelFUYlpXQnRNa3pRWXdXZmVlTzRJczY1elJRZFhiNVNHL1lac1ZNbTRmY0FEckNFcUU3SGsyOWJ1TEtxZlpvZWFRWkhSUU50MjNRM2hlM2dEL2dPT3RKSkljdnlsTlM1aDJrZzFZMzRNUWRwZjhQNnVFcFlnPT0=&amp;_gl=1*1st8vvv*_ga*MzczNTkwNDAyLjE3NTg1NDQ5MTQ.*_ga_XXTTVXWHDB*czE3NzA2ODg2NTckbzY5JGcxJHQxNzcwNjkwMjY5JGozOSRsMCRoMA.</v>
      </c>
      <c r="Q4" s="5"/>
      <c r="R4" s="7"/>
      <c r="S4" s="9" t="str">
        <f>IFERROR(__xludf.DUMMYFUNCTION("""COMPUTED_VALUE"""),"https://www.bps.go.id/id/statistics-table/2/MTIxNiMy/laju-pertumbuhan-pdb-industri-manufaktur.html")</f>
        <v>https://www.bps.go.id/id/statistics-table/2/MTIxNiMy/laju-pertumbuhan-pdb-industri-manufaktur.html</v>
      </c>
      <c r="T4" s="7"/>
      <c r="U4" s="7"/>
      <c r="V4" s="7" t="str">
        <f>IFERROR(__xludf.DUMMYFUNCTION("""COMPUTED_VALUE"""),"Indikator 9.2.1* Rasio PDB industri pengolahan dan nilai tambah industri pengolahan per kapita")</f>
        <v>Indikator 9.2.1* Rasio PDB industri pengolahan dan nilai tambah industri pengolahan per kapita</v>
      </c>
      <c r="W4" s="7"/>
      <c r="X4" s="11" t="str">
        <f>IFERROR(__xludf.DUMMYFUNCTION("""COMPUTED_VALUE"""),"18,98% tahun 2024
19,07% tahun 2025")</f>
        <v>18,98% tahun 2024
19,07% tahun 2025</v>
      </c>
      <c r="Y4" s="7"/>
      <c r="Z4" s="7"/>
      <c r="AA4" s="12" t="s">
        <v>15</v>
      </c>
      <c r="AB4" s="12" t="s">
        <v>9</v>
      </c>
      <c r="AC4" s="13" t="s">
        <v>10</v>
      </c>
      <c r="AD4" s="21" t="s">
        <v>11</v>
      </c>
      <c r="AE4" s="22">
        <v>2025.0</v>
      </c>
      <c r="AF4" s="25" t="s">
        <v>18</v>
      </c>
      <c r="AG4" s="21" t="s">
        <v>19</v>
      </c>
      <c r="AH4" s="5" t="s">
        <v>20</v>
      </c>
      <c r="AI4" s="24" t="s">
        <v>21</v>
      </c>
      <c r="AJ4" s="17">
        <f t="shared" si="1"/>
        <v>5</v>
      </c>
      <c r="AK4" s="24"/>
      <c r="AL4" s="24"/>
      <c r="AM4" s="24"/>
      <c r="AN4" s="24"/>
    </row>
    <row r="5" ht="27.0" customHeight="1">
      <c r="A5" s="5" t="str">
        <f>IFERROR(__xludf.DUMMYFUNCTION("""COMPUTED_VALUE"""),"ISV")</f>
        <v>ISV</v>
      </c>
      <c r="B5" s="5" t="str">
        <f>IFERROR(__xludf.DUMMYFUNCTION("""COMPUTED_VALUE"""),"Pengentasan Kemiskinan dan Ketimpangan")</f>
        <v>Pengentasan Kemiskinan dan Ketimpangan</v>
      </c>
      <c r="C5" s="5"/>
      <c r="D5" s="5">
        <f>IFERROR(__xludf.DUMMYFUNCTION("""COMPUTED_VALUE"""),4.0)</f>
        <v>4</v>
      </c>
      <c r="E5" s="5" t="str">
        <f>IFERROR(__xludf.DUMMYFUNCTION("""COMPUTED_VALUE"""),"Tingkat kemiskinan  ")</f>
        <v>Tingkat kemiskinan  </v>
      </c>
      <c r="F5" s="5"/>
      <c r="G5" s="6" t="str">
        <f>IFERROR(__xludf.DUMMYFUNCTION("""COMPUTED_VALUE"""),"Dit. Statistik Ketahanan Sosial")</f>
        <v>Dit. Statistik Ketahanan Sosial</v>
      </c>
      <c r="H5" s="5" t="str">
        <f>IFERROR(__xludf.DUMMYFUNCTION("""COMPUTED_VALUE"""),"Dit. Penanggulangan Kemiskinan dan Pemberdayaan Masyarakat")</f>
        <v>Dit. Penanggulangan Kemiskinan dan Pemberdayaan Masyarakat</v>
      </c>
      <c r="I5" s="5"/>
      <c r="J5" s="7"/>
      <c r="K5" s="5" t="str">
        <f>IFERROR(__xludf.DUMMYFUNCTION("""COMPUTED_VALUE"""),"BPS")</f>
        <v>BPS</v>
      </c>
      <c r="L5" s="5" t="str">
        <f>IFERROR(__xludf.DUMMYFUNCTION("""COMPUTED_VALUE"""),"Tersedia s.d Kabupaten/Kota")</f>
        <v>Tersedia s.d Kabupaten/Kota</v>
      </c>
      <c r="M5" s="5" t="str">
        <f>IFERROR(__xludf.DUMMYFUNCTION("""COMPUTED_VALUE"""),"Mohammad Ammar Alwandi, S.Tr.Stat.")</f>
        <v>Mohammad Ammar Alwandi, S.Tr.Stat.</v>
      </c>
      <c r="N5" s="5"/>
      <c r="O5" s="8" t="str">
        <f>IFERROR(__xludf.DUMMYFUNCTION("""COMPUTED_VALUE"""),"https://sirusa.web.bps.go.id/metadata/indikator/46113")</f>
        <v>https://sirusa.web.bps.go.id/metadata/indikator/46113</v>
      </c>
      <c r="P5" s="5"/>
      <c r="Q5" s="5"/>
      <c r="R5" s="5" t="str">
        <f>IFERROR(__xludf.DUMMYFUNCTION("""COMPUTED_VALUE"""),"Persentase Penduduk yang Hidup di Bawah Garis Kemiskinan Nasional")</f>
        <v>Persentase Penduduk yang Hidup di Bawah Garis Kemiskinan Nasional</v>
      </c>
      <c r="S5" s="26" t="str">
        <f>IFERROR(__xludf.DUMMYFUNCTION("""COMPUTED_VALUE"""),"https://docs.google.com/spreadsheets/d/1iLxf9omlEdU-HVozKx9CrMzIkB0QLdWe/edit?usp=sharing&amp;ouid=116167848821916757688&amp;rtpof=true&amp;sd=true")</f>
        <v>https://docs.google.com/spreadsheets/d/1iLxf9omlEdU-HVozKx9CrMzIkB0QLdWe/edit?usp=sharing&amp;ouid=116167848821916757688&amp;rtpof=true&amp;sd=true</v>
      </c>
      <c r="T5" s="5"/>
      <c r="U5" s="7"/>
      <c r="V5" s="7" t="str">
        <f>IFERROR(__xludf.DUMMYFUNCTION("""COMPUTED_VALUE"""),"1.2.1* Persentase penduduk yang hidup di bawah garis kemiskinan nasional, menurut jenis kelamin dan kelompok umur")</f>
        <v>1.2.1* Persentase penduduk yang hidup di bawah garis kemiskinan nasional, menurut jenis kelamin dan kelompok umur</v>
      </c>
      <c r="W5" s="7"/>
      <c r="X5" s="11" t="str">
        <f>IFERROR(__xludf.DUMMYFUNCTION("""COMPUTED_VALUE"""),"8.47 Semester 1
8.25 Semester 2")</f>
        <v>8.47 Semester 1
8.25 Semester 2</v>
      </c>
      <c r="Y5" s="7"/>
      <c r="Z5" s="5"/>
      <c r="AA5" s="12" t="s">
        <v>22</v>
      </c>
      <c r="AB5" s="12" t="s">
        <v>17</v>
      </c>
      <c r="AC5" s="24" t="s">
        <v>23</v>
      </c>
      <c r="AD5" s="21" t="s">
        <v>24</v>
      </c>
      <c r="AE5" s="22">
        <v>2025.0</v>
      </c>
      <c r="AF5" s="23" t="s">
        <v>12</v>
      </c>
      <c r="AG5" s="27"/>
      <c r="AH5" s="5" t="s">
        <v>20</v>
      </c>
      <c r="AI5" s="17" t="s">
        <v>25</v>
      </c>
      <c r="AJ5" s="17">
        <f t="shared" si="1"/>
        <v>3</v>
      </c>
      <c r="AK5" s="17"/>
      <c r="AL5" s="17"/>
      <c r="AM5" s="17"/>
      <c r="AN5" s="17"/>
    </row>
    <row r="6" ht="27.0" customHeight="1">
      <c r="A6" s="5" t="str">
        <f>IFERROR(__xludf.DUMMYFUNCTION("""COMPUTED_VALUE"""),"ISV")</f>
        <v>ISV</v>
      </c>
      <c r="B6" s="5" t="str">
        <f>IFERROR(__xludf.DUMMYFUNCTION("""COMPUTED_VALUE"""),"Pengentasan Kemiskinan dan Ketimpangan")</f>
        <v>Pengentasan Kemiskinan dan Ketimpangan</v>
      </c>
      <c r="C6" s="5"/>
      <c r="D6" s="5">
        <f>IFERROR(__xludf.DUMMYFUNCTION("""COMPUTED_VALUE"""),5.0)</f>
        <v>5</v>
      </c>
      <c r="E6" s="5" t="str">
        <f>IFERROR(__xludf.DUMMYFUNCTION("""COMPUTED_VALUE"""),"Rasio gini  ")</f>
        <v>Rasio gini  </v>
      </c>
      <c r="F6" s="5"/>
      <c r="G6" s="6" t="str">
        <f>IFERROR(__xludf.DUMMYFUNCTION("""COMPUTED_VALUE"""),"Dit. Statistik Ketahanan Sosial")</f>
        <v>Dit. Statistik Ketahanan Sosial</v>
      </c>
      <c r="H6" s="5" t="str">
        <f>IFERROR(__xludf.DUMMYFUNCTION("""COMPUTED_VALUE"""),"Dit. Kependudukan dan Jaminan Sosial")</f>
        <v>Dit. Kependudukan dan Jaminan Sosial</v>
      </c>
      <c r="I6" s="5"/>
      <c r="J6" s="7"/>
      <c r="K6" s="5" t="str">
        <f>IFERROR(__xludf.DUMMYFUNCTION("""COMPUTED_VALUE"""),"BPS")</f>
        <v>BPS</v>
      </c>
      <c r="L6" s="5" t="str">
        <f>IFERROR(__xludf.DUMMYFUNCTION("""COMPUTED_VALUE"""),"Tersedia s.d Kabupaten/Kota")</f>
        <v>Tersedia s.d Kabupaten/Kota</v>
      </c>
      <c r="M6" s="5" t="str">
        <f>IFERROR(__xludf.DUMMYFUNCTION("""COMPUTED_VALUE"""),"Mohammad Ammar Alwandi, S.Tr.Stat.")</f>
        <v>Mohammad Ammar Alwandi, S.Tr.Stat.</v>
      </c>
      <c r="N6" s="5"/>
      <c r="O6" s="5"/>
      <c r="P6" s="8" t="str">
        <f>IFERROR(__xludf.DUMMYFUNCTION("""COMPUTED_VALUE"""),"https://web-api.bps.go.id/download.php?f=VeT2lNCuk7lg+OMbjS6KpFhqc2hUdkdoVGZDTnhQcThhaHBMczIzWTE2YS8yN2toT1ZKRDREdnliVmtVL3BEWjJYWWIybGVwNlBWR2twaVdQeERpZ2drMjJEaVRwOUhvVHRvZGpiTDB6K2lSbEExUmtLWkV5R09OalQwaGo2MC9TdXFvSjE0djd1YlN1UnI2WkNFVGdRdHVlVTVMRkF1Yz"&amp;"RxbDljS293U3R4UmU3elZLZ3EvcmZhU1RnS3FQd2pQdXdVYU5lZzRsU3BYTnh4NVFleVRXWlpDdTdpUkUrL3h2SnZOL0M2b3VWWnoxRVhiZDVrWnlmRXlEK3MxS3VQQkJISzgyenhXckZOUEhXUm1WRWhyaUgyZXBMOEhvS3JuemJDUFY5WDg2K3JudUl4M1dMSEMxdyt4TFM0PQ==&amp;_gl=1*1xwbifc*_ga*MzczNTkwNDAyLjE3NTg1NDQ5MT"&amp;"Q.*_ga_XXTTVXWHDB*czE3NzA2ODg2NTckbzY5JGcxJHQxNzcwNjkxNTIwJGo1NiRsMCRoMA..")</f>
        <v>https://web-api.bps.go.id/download.php?f=VeT2lNCuk7lg+OMbjS6KpFhqc2hUdkdoVGZDTnhQcThhaHBMczIzWTE2YS8yN2toT1ZKRDREdnliVmtVL3BEWjJYWWIybGVwNlBWR2twaVdQeERpZ2drMjJEaVRwOUhvVHRvZGpiTDB6K2lSbEExUmtLWkV5R09OalQwaGo2MC9TdXFvSjE0djd1YlN1UnI2WkNFVGdRdHVlVTVMRkF1YzRxbDljS293U3R4UmU3elZLZ3EvcmZhU1RnS3FQd2pQdXdVYU5lZzRsU3BYTnh4NVFleVRXWlpDdTdpUkUrL3h2SnZOL0M2b3VWWnoxRVhiZDVrWnlmRXlEK3MxS3VQQkJISzgyenhXckZOUEhXUm1WRWhyaUgyZXBMOEhvS3JuemJDUFY5WDg2K3JudUl4M1dMSEMxdyt4TFM0PQ==&amp;_gl=1*1xwbifc*_ga*MzczNTkwNDAyLjE3NTg1NDQ5MTQ.*_ga_XXTTVXWHDB*czE3NzA2ODg2NTckbzY5JGcxJHQxNzcwNjkxNTIwJGo1NiRsMCRoMA..</v>
      </c>
      <c r="Q6" s="5"/>
      <c r="R6" s="5"/>
      <c r="S6" s="8" t="str">
        <f>IFERROR(__xludf.DUMMYFUNCTION("""COMPUTED_VALUE"""),"https://www.bps.go.id/id/statistics-table/2/OTgjMg==/gini-ratio-menurut-provinsi-dan-daerah.html")</f>
        <v>https://www.bps.go.id/id/statistics-table/2/OTgjMg==/gini-ratio-menurut-provinsi-dan-daerah.html</v>
      </c>
      <c r="T6" s="5"/>
      <c r="U6" s="7"/>
      <c r="V6" s="7" t="str">
        <f>IFERROR(__xludf.DUMMYFUNCTION("""COMPUTED_VALUE"""),"Indikator 10.1.1(a) Rasio Gini")</f>
        <v>Indikator 10.1.1(a) Rasio Gini</v>
      </c>
      <c r="W6" s="7"/>
      <c r="X6" s="11" t="str">
        <f>IFERROR(__xludf.DUMMYFUNCTION("""COMPUTED_VALUE"""),"0.375 Semester 1
0.363 Semester 2")</f>
        <v>0.375 Semester 1
0.363 Semester 2</v>
      </c>
      <c r="Y6" s="7"/>
      <c r="Z6" s="5"/>
      <c r="AA6" s="12" t="s">
        <v>22</v>
      </c>
      <c r="AB6" s="12" t="s">
        <v>17</v>
      </c>
      <c r="AC6" s="24" t="s">
        <v>23</v>
      </c>
      <c r="AD6" s="21" t="s">
        <v>24</v>
      </c>
      <c r="AE6" s="22">
        <v>2025.0</v>
      </c>
      <c r="AF6" s="23" t="s">
        <v>12</v>
      </c>
      <c r="AG6" s="27"/>
      <c r="AH6" s="5"/>
      <c r="AI6" s="17"/>
      <c r="AJ6" s="17">
        <f>SUM(AJ2:AJ5)</f>
        <v>86</v>
      </c>
      <c r="AK6" s="17"/>
      <c r="AL6" s="17"/>
      <c r="AM6" s="17"/>
      <c r="AN6" s="17"/>
    </row>
    <row r="7" ht="27.0" customHeight="1">
      <c r="A7" s="5" t="str">
        <f>IFERROR(__xludf.DUMMYFUNCTION("""COMPUTED_VALUE"""),"ISV")</f>
        <v>ISV</v>
      </c>
      <c r="B7" s="5" t="str">
        <f>IFERROR(__xludf.DUMMYFUNCTION("""COMPUTED_VALUE"""),"Pengentasan Kemiskinan dan Ketimpangan")</f>
        <v>Pengentasan Kemiskinan dan Ketimpangan</v>
      </c>
      <c r="C7" s="5"/>
      <c r="D7" s="5">
        <f>IFERROR(__xludf.DUMMYFUNCTION("""COMPUTED_VALUE"""),6.0)</f>
        <v>6</v>
      </c>
      <c r="E7" s="5" t="str">
        <f>IFERROR(__xludf.DUMMYFUNCTION("""COMPUTED_VALUE"""),"Kontribusi PDRB KTI  ")</f>
        <v>Kontribusi PDRB KTI  </v>
      </c>
      <c r="F7" s="5"/>
      <c r="G7" s="6" t="str">
        <f>IFERROR(__xludf.DUMMYFUNCTION("""COMPUTED_VALUE"""),"Dit. Neraca Produksi")</f>
        <v>Dit. Neraca Produksi</v>
      </c>
      <c r="H7" s="5" t="str">
        <f>IFERROR(__xludf.DUMMYFUNCTION("""COMPUTED_VALUE"""),"1. Dit. Perencanaan Makro dan Analisis Statistik
2. Dit. Tata Ruang, Pertanahan, dan Penanggulangan Bencana
")</f>
        <v>1. Dit. Perencanaan Makro dan Analisis Statistik
2. Dit. Tata Ruang, Pertanahan, dan Penanggulangan Bencana
</v>
      </c>
      <c r="I7" s="5"/>
      <c r="J7" s="7"/>
      <c r="K7" s="5" t="str">
        <f>IFERROR(__xludf.DUMMYFUNCTION("""COMPUTED_VALUE"""),"Menunggu Keputusan dari Bappenas")</f>
        <v>Menunggu Keputusan dari Bappenas</v>
      </c>
      <c r="L7" s="18" t="str">
        <f>IFERROR(__xludf.DUMMYFUNCTION("""COMPUTED_VALUE"""),"Tidak Tersedia")</f>
        <v>Tidak Tersedia</v>
      </c>
      <c r="M7" s="19" t="str">
        <f>IFERROR(__xludf.DUMMYFUNCTION("""COMPUTED_VALUE"""),"Ety Kurniati, S.ST")</f>
        <v>Ety Kurniati, S.ST</v>
      </c>
      <c r="N7" s="18" t="str">
        <f>IFERROR(__xludf.DUMMYFUNCTION("""COMPUTED_VALUE"""),"Kontribusi PDB KTI bisa dihitung jika sudah rilis PDRB Kab/Kota (selama ini bisa dihitung langsung oleh DNP)
Indikator Proxy: Kontribusi PDRB Provinsi (dijaga dengan target growth)")</f>
        <v>Kontribusi PDB KTI bisa dihitung jika sudah rilis PDRB Kab/Kota (selama ini bisa dihitung langsung oleh DNP)
Indikator Proxy: Kontribusi PDRB Provinsi (dijaga dengan target growth)</v>
      </c>
      <c r="O7" s="19" t="str">
        <f>IFERROR(__xludf.DUMMYFUNCTION("""COMPUTED_VALUE"""),"PDRB:
https://www.bps.go.id/id/statistics-table/2/NTM0IzI=/-seri-2010--1--pdrb-atas-dasar-harga-berlaku-menurut-pengeluaran--milyar-rupiah-.html ")</f>
        <v>PDRB:
https://www.bps.go.id/id/statistics-table/2/NTM0IzI=/-seri-2010--1--pdrb-atas-dasar-harga-berlaku-menurut-pengeluaran--milyar-rupiah-.html </v>
      </c>
      <c r="P7" s="5" t="str">
        <f>IFERROR(__xludf.DUMMYFUNCTION("""COMPUTED_VALUE"""),"Selama ini belum ")</f>
        <v>Selama ini belum </v>
      </c>
      <c r="Q7" s="5"/>
      <c r="R7" s="5"/>
      <c r="S7" s="5"/>
      <c r="T7" s="20"/>
      <c r="U7" s="7"/>
      <c r="V7" s="7"/>
      <c r="W7" s="7"/>
      <c r="X7" s="11" t="str">
        <f>IFERROR(__xludf.DUMMYFUNCTION("""COMPUTED_VALUE"""),"Belum diputuskan siapa yang akan menghitung")</f>
        <v>Belum diputuskan siapa yang akan menghitung</v>
      </c>
      <c r="Y7" s="7"/>
      <c r="Z7" s="7"/>
      <c r="AA7" s="12" t="s">
        <v>15</v>
      </c>
      <c r="AB7" s="12" t="s">
        <v>9</v>
      </c>
      <c r="AC7" s="13" t="s">
        <v>10</v>
      </c>
      <c r="AD7" s="21" t="s">
        <v>11</v>
      </c>
      <c r="AE7" s="22">
        <v>2025.0</v>
      </c>
      <c r="AF7" s="25" t="s">
        <v>18</v>
      </c>
      <c r="AG7" s="21" t="s">
        <v>26</v>
      </c>
      <c r="AH7" s="5" t="s">
        <v>14</v>
      </c>
      <c r="AI7" s="13" t="s">
        <v>10</v>
      </c>
      <c r="AJ7" s="17">
        <f t="shared" ref="AJ7:AJ16" si="2">COUNTIF(AC$2:AC$87,AI7)</f>
        <v>15</v>
      </c>
      <c r="AK7" s="24"/>
      <c r="AL7" s="24"/>
      <c r="AM7" s="24"/>
      <c r="AN7" s="24"/>
    </row>
    <row r="8" ht="27.0" customHeight="1">
      <c r="A8" s="5" t="str">
        <f>IFERROR(__xludf.DUMMYFUNCTION("""COMPUTED_VALUE"""),"ISV")</f>
        <v>ISV</v>
      </c>
      <c r="B8" s="5" t="str">
        <f>IFERROR(__xludf.DUMMYFUNCTION("""COMPUTED_VALUE"""),"Kepemimpinan dan Pengaruh di Dunia Internasional Meningkat")</f>
        <v>Kepemimpinan dan Pengaruh di Dunia Internasional Meningkat</v>
      </c>
      <c r="C8" s="5"/>
      <c r="D8" s="5">
        <f>IFERROR(__xludf.DUMMYFUNCTION("""COMPUTED_VALUE"""),7.0)</f>
        <v>7</v>
      </c>
      <c r="E8" s="5" t="str">
        <f>IFERROR(__xludf.DUMMYFUNCTION("""COMPUTED_VALUE"""),"Global Power Index  ")</f>
        <v>Global Power Index  </v>
      </c>
      <c r="F8" s="5"/>
      <c r="G8" s="6" t="str">
        <f>IFERROR(__xludf.DUMMYFUNCTION("""COMPUTED_VALUE"""),"Dit. Analisis Statistik dan Neraca Satelit")</f>
        <v>Dit. Analisis Statistik dan Neraca Satelit</v>
      </c>
      <c r="H8" s="5" t="str">
        <f>IFERROR(__xludf.DUMMYFUNCTION("""COMPUTED_VALUE"""),"1. Dit. Politik Luar Negeri dan Kerjasama Pembangunan Internasional (koordinator)
2. Dit. Pertahanan dan Keamanan (military balance)")</f>
        <v>1. Dit. Politik Luar Negeri dan Kerjasama Pembangunan Internasional (koordinator)
2. Dit. Pertahanan dan Keamanan (military balance)</v>
      </c>
      <c r="I8" s="5"/>
      <c r="J8" s="7" t="str">
        <f>IFERROR(__xludf.DUMMYFUNCTION("""COMPUTED_VALUE"""),"Pareto Economics")</f>
        <v>Pareto Economics</v>
      </c>
      <c r="K8" s="5" t="str">
        <f>IFERROR(__xludf.DUMMYFUNCTION("""COMPUTED_VALUE"""),"Kementerian PPN/Bappenas")</f>
        <v>Kementerian PPN/Bappenas</v>
      </c>
      <c r="L8" s="7" t="str">
        <f>IFERROR(__xludf.DUMMYFUNCTION("""COMPUTED_VALUE"""),"Tidak Tersedia")</f>
        <v>Tidak Tersedia</v>
      </c>
      <c r="M8" s="5" t="str">
        <f>IFERROR(__xludf.DUMMYFUNCTION("""COMPUTED_VALUE"""),"Erna Yulianingsih")</f>
        <v>Erna Yulianingsih</v>
      </c>
      <c r="N8" s="8" t="str">
        <f>IFERROR(__xludf.DUMMYFUNCTION("""COMPUTED_VALUE"""),"https://www.pareto-economics.com/global-power-index.html sudah request access untuk dashboardnya")</f>
        <v>https://www.pareto-economics.com/global-power-index.html sudah request access untuk dashboardnya</v>
      </c>
      <c r="O8" s="5"/>
      <c r="P8" s="7"/>
      <c r="Q8" s="5"/>
      <c r="R8" s="10"/>
      <c r="S8" s="7"/>
      <c r="T8" s="7"/>
      <c r="U8" s="7"/>
      <c r="V8" s="7"/>
      <c r="W8" s="7" t="str">
        <f>IFERROR(__xludf.DUMMYFUNCTION("""COMPUTED_VALUE"""),"Tidak dapat disediakan, indikator utama RPJMN 25/11/2025 
1. Kemenkopolkam akan menyampaikan telaah akan indikator ini (triw 4) 
2. Bappenas akan melakukan validasi akan hasil telaahan tersebut")</f>
        <v>Tidak dapat disediakan, indikator utama RPJMN 25/11/2025 
1. Kemenkopolkam akan menyampaikan telaah akan indikator ini (triw 4) 
2. Bappenas akan melakukan validasi akan hasil telaahan tersebut</v>
      </c>
      <c r="X8" s="11" t="str">
        <f>IFERROR(__xludf.DUMMYFUNCTION("""COMPUTED_VALUE"""),"data sudah tersedia di website penyedia, namun diminta bayar :) ")</f>
        <v>data sudah tersedia di website penyedia, namun diminta bayar :) </v>
      </c>
      <c r="Y8" s="7"/>
      <c r="Z8" s="7"/>
      <c r="AA8" s="5" t="s">
        <v>27</v>
      </c>
      <c r="AB8" s="12" t="s">
        <v>9</v>
      </c>
      <c r="AC8" s="13" t="s">
        <v>10</v>
      </c>
      <c r="AD8" s="21" t="s">
        <v>11</v>
      </c>
      <c r="AE8" s="22">
        <v>2025.0</v>
      </c>
      <c r="AF8" s="23" t="s">
        <v>12</v>
      </c>
      <c r="AG8" s="21" t="s">
        <v>28</v>
      </c>
      <c r="AH8" s="5" t="s">
        <v>14</v>
      </c>
      <c r="AI8" s="24" t="s">
        <v>29</v>
      </c>
      <c r="AJ8" s="17">
        <f t="shared" si="2"/>
        <v>15</v>
      </c>
      <c r="AK8" s="24"/>
      <c r="AL8" s="24"/>
      <c r="AM8" s="24"/>
      <c r="AN8" s="24"/>
    </row>
    <row r="9" ht="27.0" customHeight="1">
      <c r="A9" s="5" t="str">
        <f>IFERROR(__xludf.DUMMYFUNCTION("""COMPUTED_VALUE"""),"ISV")</f>
        <v>ISV</v>
      </c>
      <c r="B9" s="5" t="str">
        <f>IFERROR(__xludf.DUMMYFUNCTION("""COMPUTED_VALUE"""),"Daya saing sumber daya manusia meningkat")</f>
        <v>Daya saing sumber daya manusia meningkat</v>
      </c>
      <c r="C9" s="5"/>
      <c r="D9" s="5">
        <f>IFERROR(__xludf.DUMMYFUNCTION("""COMPUTED_VALUE"""),8.0)</f>
        <v>8</v>
      </c>
      <c r="E9" s="5" t="str">
        <f>IFERROR(__xludf.DUMMYFUNCTION("""COMPUTED_VALUE"""),"Indeks Modal Manusia  ")</f>
        <v>Indeks Modal Manusia  </v>
      </c>
      <c r="F9" s="5"/>
      <c r="G9" s="6" t="str">
        <f>IFERROR(__xludf.DUMMYFUNCTION("""COMPUTED_VALUE"""),"Dit. Statistik Kesejahteraan Rakyat")</f>
        <v>Dit. Statistik Kesejahteraan Rakyat</v>
      </c>
      <c r="H9" s="5" t="str">
        <f>IFERROR(__xludf.DUMMYFUNCTION("""COMPUTED_VALUE"""),"1. Dit. Kesehatan dan Gizi Masyarakat (koordinator penghitungan IMM=Deputi PMK)
2. Dit. Agama, Pendidikan, dan Kebudayaan")</f>
        <v>1. Dit. Kesehatan dan Gizi Masyarakat (koordinator penghitungan IMM=Deputi PMK)
2. Dit. Agama, Pendidikan, dan Kebudayaan</v>
      </c>
      <c r="I9" s="5"/>
      <c r="J9" s="7"/>
      <c r="K9" s="5" t="str">
        <f>IFERROR(__xludf.DUMMYFUNCTION("""COMPUTED_VALUE"""),"Kementerian PPN/Bappenas")</f>
        <v>Kementerian PPN/Bappenas</v>
      </c>
      <c r="L9" s="7" t="str">
        <f>IFERROR(__xludf.DUMMYFUNCTION("""COMPUTED_VALUE"""),"Tersedia Nasional")</f>
        <v>Tersedia Nasional</v>
      </c>
      <c r="M9" s="5" t="str">
        <f>IFERROR(__xludf.DUMMYFUNCTION("""COMPUTED_VALUE"""),"Dhiar Niken Larasati, SST, M.E.")</f>
        <v>Dhiar Niken Larasati, SST, M.E.</v>
      </c>
      <c r="N9" s="8" t="str">
        <f>IFERROR(__xludf.DUMMYFUNCTION("""COMPUTED_VALUE"""),"https://data360.worldbank.org/en/dataset/WB_HCI Indonesia belum pernah menghitung indeks modal manusia
Indikator Proxy: Indeks Pembangunan Manusia")</f>
        <v>https://data360.worldbank.org/en/dataset/WB_HCI Indonesia belum pernah menghitung indeks modal manusia
Indikator Proxy: Indeks Pembangunan Manusia</v>
      </c>
      <c r="O9" s="5"/>
      <c r="P9" s="5"/>
      <c r="Q9" s="5"/>
      <c r="R9" s="7"/>
      <c r="S9" s="7" t="str">
        <f>IFERROR(__xludf.DUMMYFUNCTION("""COMPUTED_VALUE"""),"2010	0.8278358578681946
2018	0.8461430668830872
2020	0.8497079610824585")</f>
        <v>2010	0.8278358578681946
2018	0.8461430668830872
2020	0.8497079610824585</v>
      </c>
      <c r="T9" s="7"/>
      <c r="U9" s="7">
        <f>IFERROR(__xludf.DUMMYFUNCTION("""COMPUTED_VALUE"""),2020.0)</f>
        <v>2020</v>
      </c>
      <c r="V9" s="7"/>
      <c r="W9" s="20"/>
      <c r="X9" s="11" t="str">
        <f>IFERROR(__xludf.DUMMYFUNCTION("""COMPUTED_VALUE"""),"dihitung Bappenas, rencana rilis 2026")</f>
        <v>dihitung Bappenas, rencana rilis 2026</v>
      </c>
      <c r="Y9" s="7"/>
      <c r="Z9" s="7"/>
      <c r="AA9" s="12" t="s">
        <v>30</v>
      </c>
      <c r="AB9" s="12" t="s">
        <v>17</v>
      </c>
      <c r="AC9" s="24" t="s">
        <v>23</v>
      </c>
      <c r="AD9" s="21" t="s">
        <v>11</v>
      </c>
      <c r="AE9" s="28" t="s">
        <v>18</v>
      </c>
      <c r="AF9" s="23" t="s">
        <v>12</v>
      </c>
      <c r="AG9" s="27"/>
      <c r="AH9" s="5" t="s">
        <v>31</v>
      </c>
      <c r="AI9" s="24" t="s">
        <v>23</v>
      </c>
      <c r="AJ9" s="17">
        <f t="shared" si="2"/>
        <v>16</v>
      </c>
      <c r="AK9" s="24"/>
      <c r="AL9" s="24"/>
      <c r="AM9" s="24"/>
      <c r="AN9" s="24"/>
    </row>
    <row r="10" ht="27.0" customHeight="1">
      <c r="A10" s="5" t="str">
        <f>IFERROR(__xludf.DUMMYFUNCTION("""COMPUTED_VALUE"""),"ISV")</f>
        <v>ISV</v>
      </c>
      <c r="B10" s="5" t="str">
        <f>IFERROR(__xludf.DUMMYFUNCTION("""COMPUTED_VALUE"""),"Penurunan Emisi GRK menuju net zero emission")</f>
        <v>Penurunan Emisi GRK menuju net zero emission</v>
      </c>
      <c r="C10" s="5"/>
      <c r="D10" s="5">
        <f>IFERROR(__xludf.DUMMYFUNCTION("""COMPUTED_VALUE"""),9.0)</f>
        <v>9</v>
      </c>
      <c r="E10" s="5" t="str">
        <f>IFERROR(__xludf.DUMMYFUNCTION("""COMPUTED_VALUE"""),"Penurunan intensitas emisi GRK  ")</f>
        <v>Penurunan intensitas emisi GRK  </v>
      </c>
      <c r="F10" s="5"/>
      <c r="G10" s="6" t="str">
        <f>IFERROR(__xludf.DUMMYFUNCTION("""COMPUTED_VALUE"""),"Dit. Statistik Ketahanan Sosial")</f>
        <v>Dit. Statistik Ketahanan Sosial</v>
      </c>
      <c r="H10" s="5" t="str">
        <f>IFERROR(__xludf.DUMMYFUNCTION("""COMPUTED_VALUE"""),"Dit. Lingkungan Hidup")</f>
        <v>Dit. Lingkungan Hidup</v>
      </c>
      <c r="I10" s="5"/>
      <c r="J10" s="7" t="str">
        <f>IFERROR(__xludf.DUMMYFUNCTION("""COMPUTED_VALUE"""),"Kementerian Lingkungan Hidup")</f>
        <v>Kementerian Lingkungan Hidup</v>
      </c>
      <c r="K10" s="5" t="str">
        <f>IFERROR(__xludf.DUMMYFUNCTION("""COMPUTED_VALUE"""),"Kementerian PPN/Bappenas
Kementerian Lingkungan Hidup
BPS")</f>
        <v>Kementerian PPN/Bappenas
Kementerian Lingkungan Hidup
BPS</v>
      </c>
      <c r="L10" s="5" t="str">
        <f>IFERROR(__xludf.DUMMYFUNCTION("""COMPUTED_VALUE"""),"Tersedia s.d Provinsi")</f>
        <v>Tersedia s.d Provinsi</v>
      </c>
      <c r="M10" s="5" t="str">
        <f>IFERROR(__xludf.DUMMYFUNCTION("""COMPUTED_VALUE"""),"Mohammad Ammar Alwandi, S.Tr.Stat.")</f>
        <v>Mohammad Ammar Alwandi, S.Tr.Stat.</v>
      </c>
      <c r="N10" s="5"/>
      <c r="O10" s="8" t="str">
        <f>IFERROR(__xludf.DUMMYFUNCTION("""COMPUTED_VALUE"""),"https://sirusa.web.bps.go.id/metadata/indikator/38331")</f>
        <v>https://sirusa.web.bps.go.id/metadata/indikator/38331</v>
      </c>
      <c r="P10" s="5" t="str">
        <f>IFERROR(__xludf.DUMMYFUNCTION("""COMPUTED_VALUE"""),"publikasi SDGs")</f>
        <v>publikasi SDGs</v>
      </c>
      <c r="Q10" s="5"/>
      <c r="R10" s="20" t="str">
        <f>IFERROR(__xludf.DUMMYFUNCTION("""COMPUTED_VALUE"""),"intensitas emisi GRK")</f>
        <v>intensitas emisi GRK</v>
      </c>
      <c r="S10" s="29" t="str">
        <f>IFERROR(__xludf.DUMMYFUNCTION("""COMPUTED_VALUE"""),"https://www.bps.go.id/id/statistics-table/1/MjA3MiMx/emisi-gas-rumah-kaca-menurut-jenis-sektor--ribu-ton-co2e---2000-2019.html")</f>
        <v>https://www.bps.go.id/id/statistics-table/1/MjA3MiMx/emisi-gas-rumah-kaca-menurut-jenis-sektor--ribu-ton-co2e---2000-2019.html</v>
      </c>
      <c r="T10" s="7"/>
      <c r="U10" s="7"/>
      <c r="V10" s="5" t="str">
        <f>IFERROR(__xludf.DUMMYFUNCTION("""COMPUTED_VALUE"""),"9.4.1")</f>
        <v>9.4.1</v>
      </c>
      <c r="W10" s="5"/>
      <c r="X10" s="11" t="str">
        <f>IFERROR(__xludf.DUMMYFUNCTION("""COMPUTED_VALUE"""),"perkiraan ada datanya 30 November 2026")</f>
        <v>perkiraan ada datanya 30 November 2026</v>
      </c>
      <c r="Y10" s="7"/>
      <c r="Z10" s="5"/>
      <c r="AA10" s="12" t="s">
        <v>32</v>
      </c>
      <c r="AB10" s="12" t="s">
        <v>17</v>
      </c>
      <c r="AC10" s="24" t="s">
        <v>23</v>
      </c>
      <c r="AD10" s="21" t="s">
        <v>11</v>
      </c>
      <c r="AE10" s="22">
        <v>2023.0</v>
      </c>
      <c r="AF10" s="23" t="s">
        <v>12</v>
      </c>
      <c r="AG10" s="27"/>
      <c r="AH10" s="5" t="s">
        <v>33</v>
      </c>
      <c r="AI10" s="17" t="s">
        <v>34</v>
      </c>
      <c r="AJ10" s="17">
        <f t="shared" si="2"/>
        <v>16</v>
      </c>
      <c r="AK10" s="17"/>
      <c r="AL10" s="17"/>
      <c r="AM10" s="17"/>
      <c r="AN10" s="17"/>
    </row>
    <row r="11" ht="27.0" customHeight="1">
      <c r="A11" s="5" t="str">
        <f>IFERROR(__xludf.DUMMYFUNCTION("""COMPUTED_VALUE"""),"ISV")</f>
        <v>ISV</v>
      </c>
      <c r="B11" s="5" t="str">
        <f>IFERROR(__xludf.DUMMYFUNCTION("""COMPUTED_VALUE"""),"Penurunan Emisi GRK menuju net zero emission")</f>
        <v>Penurunan Emisi GRK menuju net zero emission</v>
      </c>
      <c r="C11" s="5"/>
      <c r="D11" s="5">
        <f>IFERROR(__xludf.DUMMYFUNCTION("""COMPUTED_VALUE"""),10.0)</f>
        <v>10</v>
      </c>
      <c r="E11" s="5" t="str">
        <f>IFERROR(__xludf.DUMMYFUNCTION("""COMPUTED_VALUE"""),"Indeks Kualitas Lingkungan Hidup  ")</f>
        <v>Indeks Kualitas Lingkungan Hidup  </v>
      </c>
      <c r="F11" s="5"/>
      <c r="G11" s="6" t="str">
        <f>IFERROR(__xludf.DUMMYFUNCTION("""COMPUTED_VALUE"""),"Dit. Statistik Ketahanan Sosial")</f>
        <v>Dit. Statistik Ketahanan Sosial</v>
      </c>
      <c r="H11" s="5" t="str">
        <f>IFERROR(__xludf.DUMMYFUNCTION("""COMPUTED_VALUE"""),"Dit. Lingkungan Hidup")</f>
        <v>Dit. Lingkungan Hidup</v>
      </c>
      <c r="I11" s="5"/>
      <c r="J11" s="7"/>
      <c r="K11" s="5" t="str">
        <f>IFERROR(__xludf.DUMMYFUNCTION("""COMPUTED_VALUE"""),"Kementeria Lingkungan Hidup")</f>
        <v>Kementeria Lingkungan Hidup</v>
      </c>
      <c r="L11" s="5" t="str">
        <f>IFERROR(__xludf.DUMMYFUNCTION("""COMPUTED_VALUE"""),"Tersedia s.d Kabupaten/Kota")</f>
        <v>Tersedia s.d Kabupaten/Kota</v>
      </c>
      <c r="M11" s="5" t="str">
        <f>IFERROR(__xludf.DUMMYFUNCTION("""COMPUTED_VALUE"""),"Mohammad Ammar Alwandi, S.Tr.Stat.")</f>
        <v>Mohammad Ammar Alwandi, S.Tr.Stat.</v>
      </c>
      <c r="N11" s="5"/>
      <c r="O11" s="5"/>
      <c r="P11" s="9" t="str">
        <f>IFERROR(__xludf.DUMMYFUNCTION("""COMPUTED_VALUE"""),"https://web-api.bps.go.id/download.php?f=OvjcO0MhAxndIOd7Oglj/0NFODVBTWlneUtjY05mZHVsdGNUQmsxVEFxOWUrKzZ1YmtPUmlEYzlwSXJ0YVdEWGZTbW85QldZY0RNYk5EN0lOdVJTTEljM0d2Q0M5UERsdHZvTlVRSjJRM0dZYWkycE5xOUk2Y0k4emFEN2RhdE9rOUw2OFRoVUVqSSs3WDRCWXJONFcybW1aSVZUWjhYdi"&amp;"tmWmVWYzh3MEVyeC9zdnRtSU5oNTlnUllDUFlOZ29NMEdkbjJlLzhGOXI5c3NEM1ZzZFZGTUM0TTEvZC9pZWMxOGZZc3dRak5IcVVGeTBEaEhDb1MzN1oxeU9HRkFieGFJb2ZCZXBYTTgxYlMxeGQwYWxzemY0U1hIK2N4bXZza3FrWW5nPT0=&amp;_gl=1*1yrakoe*_ga*MzczNTkwNDAyLjE3NTg1NDQ5MTQ.*_ga_XXTTVXWHDB*czE3NzA2OT"&amp;"M1OTAkbzcwJGcxJHQxNzcwNjkzODc1JGo1NyRsMCRoMA..")</f>
        <v>https://web-api.bps.go.id/download.php?f=OvjcO0MhAxndIOd7Oglj/0NFODVBTWlneUtjY05mZHVsdGNUQmsxVEFxOWUrKzZ1YmtPUmlEYzlwSXJ0YVdEWGZTbW85QldZY0RNYk5EN0lOdVJTTEljM0d2Q0M5UERsdHZvTlVRSjJRM0dZYWkycE5xOUk2Y0k4emFEN2RhdE9rOUw2OFRoVUVqSSs3WDRCWXJONFcybW1aSVZUWjhYditmWmVWYzh3MEVyeC9zdnRtSU5oNTlnUllDUFlOZ29NMEdkbjJlLzhGOXI5c3NEM1ZzZFZGTUM0TTEvZC9pZWMxOGZZc3dRak5IcVVGeTBEaEhDb1MzN1oxeU9HRkFieGFJb2ZCZXBYTTgxYlMxeGQwYWxzemY0U1hIK2N4bXZza3FrWW5nPT0=&amp;_gl=1*1yrakoe*_ga*MzczNTkwNDAyLjE3NTg1NDQ5MTQ.*_ga_XXTTVXWHDB*czE3NzA2OTM1OTAkbzcwJGcxJHQxNzcwNjkzODc1JGo1NyRsMCRoMA..</v>
      </c>
      <c r="Q11" s="5"/>
      <c r="R11" s="7"/>
      <c r="S11" s="9" t="str">
        <f>IFERROR(__xludf.DUMMYFUNCTION("""COMPUTED_VALUE"""),"https://www.bps.go.id/id/statistics-table/2/MjUzMSMy/indeks-kualitas-lingkungan-hidup-menurut-provinsi.html")</f>
        <v>https://www.bps.go.id/id/statistics-table/2/MjUzMSMy/indeks-kualitas-lingkungan-hidup-menurut-provinsi.html</v>
      </c>
      <c r="T11" s="10"/>
      <c r="U11" s="7"/>
      <c r="V11" s="7" t="str">
        <f>IFERROR(__xludf.DUMMYFUNCTION("""COMPUTED_VALUE"""),"Indikator 8.4.1(a) Rencana dan implementasi Strategi Pelaksanaan Sasaran Pola Konsumsi dan Produksi Berkelanjutan 
 Konsep indikator global untuk target ini adalah melakukan kuantifikasi dan pemantauan atas perkembangan siklus kebijakan yang dibuat oleh n"&amp;"egara-negara dalam menyusun instrumen kebijakan yang mengikat dan tidak mengikat, untuk mendukung perubahan menuju ke produksi dan konsumsi berkelanjutan. Indonesia, di bawah koordinasi Kementerian Lingkungan Hidup dan Kehutanan bersama dengan berbagai pi"&amp;"hak, telah menyusun dan mengembangkan dokumen Kerangka Kerja 10 tahun Program Produksi dan Konsumsi Berkelanjutan (10YFP SCP). ")</f>
        <v>Indikator 8.4.1(a) Rencana dan implementasi Strategi Pelaksanaan Sasaran Pola Konsumsi dan Produksi Berkelanjutan 
 Konsep indikator global untuk target ini adalah melakukan kuantifikasi dan pemantauan atas perkembangan siklus kebijakan yang dibuat oleh negara-negara dalam menyusun instrumen kebijakan yang mengikat dan tidak mengikat, untuk mendukung perubahan menuju ke produksi dan konsumsi berkelanjutan. Indonesia, di bawah koordinasi Kementerian Lingkungan Hidup dan Kehutanan bersama dengan berbagai pihak, telah menyusun dan mengembangkan dokumen Kerangka Kerja 10 tahun Program Produksi dan Konsumsi Berkelanjutan (10YFP SCP). </v>
      </c>
      <c r="W11" s="10"/>
      <c r="X11" s="7"/>
      <c r="Y11" s="7"/>
      <c r="Z11" s="5"/>
      <c r="AA11" s="12" t="s">
        <v>35</v>
      </c>
      <c r="AB11" s="12" t="s">
        <v>17</v>
      </c>
      <c r="AC11" s="24" t="s">
        <v>23</v>
      </c>
      <c r="AD11" s="21" t="s">
        <v>11</v>
      </c>
      <c r="AE11" s="22">
        <v>2025.0</v>
      </c>
      <c r="AF11" s="23" t="s">
        <v>12</v>
      </c>
      <c r="AG11" s="27"/>
      <c r="AH11" s="5" t="s">
        <v>36</v>
      </c>
      <c r="AI11" s="17" t="s">
        <v>37</v>
      </c>
      <c r="AJ11" s="17">
        <f t="shared" si="2"/>
        <v>16</v>
      </c>
      <c r="AK11" s="17"/>
      <c r="AL11" s="17"/>
      <c r="AM11" s="17"/>
      <c r="AN11" s="17"/>
    </row>
    <row r="12" ht="27.0" customHeight="1">
      <c r="A12" s="5" t="str">
        <f>IFERROR(__xludf.DUMMYFUNCTION("""COMPUTED_VALUE"""),"IUP")</f>
        <v>IUP</v>
      </c>
      <c r="B12" s="5" t="str">
        <f>IFERROR(__xludf.DUMMYFUNCTION("""COMPUTED_VALUE"""),"Transformasi Sosial")</f>
        <v>Transformasi Sosial</v>
      </c>
      <c r="C12" s="5" t="str">
        <f>IFERROR(__xludf.DUMMYFUNCTION("""COMPUTED_VALUE"""),"Kesehatan untuk Semua")</f>
        <v>Kesehatan untuk Semua</v>
      </c>
      <c r="D12" s="5">
        <f>IFERROR(__xludf.DUMMYFUNCTION("""COMPUTED_VALUE"""),1.0)</f>
        <v>1</v>
      </c>
      <c r="E12" s="5" t="str">
        <f>IFERROR(__xludf.DUMMYFUNCTION("""COMPUTED_VALUE"""),"Usia Harapan Hidup  ")</f>
        <v>Usia Harapan Hidup  </v>
      </c>
      <c r="F12" s="5"/>
      <c r="G12" s="6" t="str">
        <f>IFERROR(__xludf.DUMMYFUNCTION("""COMPUTED_VALUE"""),"Dit. Statistik Kependudukan dan Ketenagakerjaan")</f>
        <v>Dit. Statistik Kependudukan dan Ketenagakerjaan</v>
      </c>
      <c r="H12" s="5" t="str">
        <f>IFERROR(__xludf.DUMMYFUNCTION("""COMPUTED_VALUE"""),"Dit. Kesehatan dan Gizi Masyarakat")</f>
        <v>Dit. Kesehatan dan Gizi Masyarakat</v>
      </c>
      <c r="I12" s="5" t="str">
        <f>IFERROR(__xludf.DUMMYFUNCTION("""COMPUTED_VALUE"""),"Direktorat Kesehatan dan Gizi Masyarakat")</f>
        <v>Direktorat Kesehatan dan Gizi Masyarakat</v>
      </c>
      <c r="J12" s="7" t="str">
        <f>IFERROR(__xludf.DUMMYFUNCTION("""COMPUTED_VALUE"""),"BPS")</f>
        <v>BPS</v>
      </c>
      <c r="K12" s="5" t="str">
        <f>IFERROR(__xludf.DUMMYFUNCTION("""COMPUTED_VALUE"""),"Kementerian Kesehatan")</f>
        <v>Kementerian Kesehatan</v>
      </c>
      <c r="L12" s="5" t="str">
        <f>IFERROR(__xludf.DUMMYFUNCTION("""COMPUTED_VALUE"""),"Tersedia s.d Kabupaten/Kota")</f>
        <v>Tersedia s.d Kabupaten/Kota</v>
      </c>
      <c r="M12" s="5" t="str">
        <f>IFERROR(__xludf.DUMMYFUNCTION("""COMPUTED_VALUE"""),"Alfatihah Reno Maulani")</f>
        <v>Alfatihah Reno Maulani</v>
      </c>
      <c r="N12" s="5"/>
      <c r="O12" s="8" t="str">
        <f>IFERROR(__xludf.DUMMYFUNCTION("""COMPUTED_VALUE"""),"(2024) https://sirusa.web.bps.go.id/metadata/indikator/43093")</f>
        <v>(2024) https://sirusa.web.bps.go.id/metadata/indikator/43093</v>
      </c>
      <c r="P12" s="5"/>
      <c r="Q12" s="5"/>
      <c r="R12" s="7"/>
      <c r="S12" s="26" t="str">
        <f>IFERROR(__xludf.DUMMYFUNCTION("""COMPUTED_VALUE"""),"Badan Pusat Statistik Indonesia. (5 November 2025). [Metode Baru] Umur Harapan Hidup Saat Lahir (UHH) Hasil Long Form SP2020, 2025. Diakses pada 9 Februari 2026, dari https://www.bps.go.id/id/statistics-table/2/MjIwNiMy/-metode-baru--umur-harapan-hidup-sa"&amp;"at-lahir--uhh--hasil-long-form-sp2020--tahun-.html")</f>
        <v>Badan Pusat Statistik Indonesia. (5 November 2025). [Metode Baru] Umur Harapan Hidup Saat Lahir (UHH) Hasil Long Form SP2020, 2025. Diakses pada 9 Februari 2026, dari https://www.bps.go.id/id/statistics-table/2/MjIwNiMy/-metode-baru--umur-harapan-hidup-saat-lahir--uhh--hasil-long-form-sp2020--tahun-.html</v>
      </c>
      <c r="T12" s="7"/>
      <c r="U12" s="7"/>
      <c r="V12" s="7"/>
      <c r="W12" s="10"/>
      <c r="X12" s="11">
        <f>IFERROR(__xludf.DUMMYFUNCTION("""COMPUTED_VALUE"""),75.9)</f>
        <v>75.9</v>
      </c>
      <c r="Y12" s="7"/>
      <c r="Z12" s="7"/>
      <c r="AA12" s="12" t="s">
        <v>38</v>
      </c>
      <c r="AB12" s="12" t="s">
        <v>17</v>
      </c>
      <c r="AC12" s="24" t="s">
        <v>23</v>
      </c>
      <c r="AD12" s="21" t="s">
        <v>11</v>
      </c>
      <c r="AE12" s="22">
        <v>2025.0</v>
      </c>
      <c r="AF12" s="23" t="s">
        <v>12</v>
      </c>
      <c r="AG12" s="27"/>
      <c r="AH12" s="5" t="s">
        <v>33</v>
      </c>
      <c r="AI12" s="24" t="s">
        <v>39</v>
      </c>
      <c r="AJ12" s="17">
        <f t="shared" si="2"/>
        <v>2</v>
      </c>
      <c r="AK12" s="24"/>
      <c r="AL12" s="24"/>
      <c r="AM12" s="24"/>
      <c r="AN12" s="24"/>
    </row>
    <row r="13" ht="27.0" customHeight="1">
      <c r="A13" s="5" t="str">
        <f>IFERROR(__xludf.DUMMYFUNCTION("""COMPUTED_VALUE"""),"IUP")</f>
        <v>IUP</v>
      </c>
      <c r="B13" s="5" t="str">
        <f>IFERROR(__xludf.DUMMYFUNCTION("""COMPUTED_VALUE"""),"Transformasi Sosial")</f>
        <v>Transformasi Sosial</v>
      </c>
      <c r="C13" s="5" t="str">
        <f>IFERROR(__xludf.DUMMYFUNCTION("""COMPUTED_VALUE"""),"Kesehatan untuk Semua")</f>
        <v>Kesehatan untuk Semua</v>
      </c>
      <c r="D13" s="5" t="str">
        <f>IFERROR(__xludf.DUMMYFUNCTION("""COMPUTED_VALUE"""),"2.a")</f>
        <v>2.a</v>
      </c>
      <c r="E13" s="5" t="str">
        <f>IFERROR(__xludf.DUMMYFUNCTION("""COMPUTED_VALUE"""),"Kesehatan Ibu dan Anak: Angka Kematian Ibu ")</f>
        <v>Kesehatan Ibu dan Anak: Angka Kematian Ibu </v>
      </c>
      <c r="F13" s="5"/>
      <c r="G13" s="6" t="str">
        <f>IFERROR(__xludf.DUMMYFUNCTION("""COMPUTED_VALUE"""),"Dit. Statistik Kependudukan dan Ketenagakerjaan")</f>
        <v>Dit. Statistik Kependudukan dan Ketenagakerjaan</v>
      </c>
      <c r="H13" s="5" t="str">
        <f>IFERROR(__xludf.DUMMYFUNCTION("""COMPUTED_VALUE"""),"Dit. Kesehatan dan Gizi Masyarakat")</f>
        <v>Dit. Kesehatan dan Gizi Masyarakat</v>
      </c>
      <c r="I13" s="5" t="str">
        <f>IFERROR(__xludf.DUMMYFUNCTION("""COMPUTED_VALUE"""),"Direktorat Kesehatan dan Gizi Masyarakat")</f>
        <v>Direktorat Kesehatan dan Gizi Masyarakat</v>
      </c>
      <c r="J13" s="7" t="str">
        <f>IFERROR(__xludf.DUMMYFUNCTION("""COMPUTED_VALUE"""),"BPS")</f>
        <v>BPS</v>
      </c>
      <c r="K13" s="5" t="str">
        <f>IFERROR(__xludf.DUMMYFUNCTION("""COMPUTED_VALUE"""),"Kementerian Kesehatan")</f>
        <v>Kementerian Kesehatan</v>
      </c>
      <c r="L13" s="5" t="str">
        <f>IFERROR(__xludf.DUMMYFUNCTION("""COMPUTED_VALUE"""),"Tersedia s.d Kabupaten/Kota")</f>
        <v>Tersedia s.d Kabupaten/Kota</v>
      </c>
      <c r="M13" s="5" t="str">
        <f>IFERROR(__xludf.DUMMYFUNCTION("""COMPUTED_VALUE"""),"Alfatihah Reno Maulani")</f>
        <v>Alfatihah Reno Maulani</v>
      </c>
      <c r="N13" s="5" t="str">
        <f>IFERROR(__xludf.DUMMYFUNCTION("""COMPUTED_VALUE"""),"Angka Kematian Ibu tersedia dari Sensus Penduudk dan Supas (10 Tahunan). Tapi dari Dinas Kesehatan Provinsi dan Kabupaten/Kota tersedia per tahun")</f>
        <v>Angka Kematian Ibu tersedia dari Sensus Penduudk dan Supas (10 Tahunan). Tapi dari Dinas Kesehatan Provinsi dan Kabupaten/Kota tersedia per tahun</v>
      </c>
      <c r="O13" s="5" t="str">
        <f>IFERROR(__xludf.DUMMYFUNCTION("""COMPUTED_VALUE"""),"(2023) https://sirusa.web.bps.go.id/metadata/indikator/48470
Metadata Ada disini Nomor 2a https://drive.google.com/drive/folders/1bL0VYlLQayyiyu9GsR1cYf6pBZSRb_IE ")</f>
        <v>(2023) https://sirusa.web.bps.go.id/metadata/indikator/48470
Metadata Ada disini Nomor 2a https://drive.google.com/drive/folders/1bL0VYlLQayyiyu9GsR1cYf6pBZSRb_IE </v>
      </c>
      <c r="P13" s="7" t="str">
        <f>IFERROR(__xludf.DUMMYFUNCTION("""COMPUTED_VALUE"""),"AKI DKI Jakarta https://drive.google.com/file/d/1Q4IZGL-Y0JPIlVvOCgmL4zhdGVjKw4GR/view 
AKI Kota Semarang https://profil-kesehatan.dinkes.semarangkota.go.id/upload/publication/Profil%20Kesehatan%202022.pdf ")</f>
        <v>AKI DKI Jakarta https://drive.google.com/file/d/1Q4IZGL-Y0JPIlVvOCgmL4zhdGVjKw4GR/view 
AKI Kota Semarang https://profil-kesehatan.dinkes.semarangkota.go.id/upload/publication/Profil%20Kesehatan%202022.pdf </v>
      </c>
      <c r="Q13" s="5"/>
      <c r="R13" s="7"/>
      <c r="S13" s="5"/>
      <c r="T13" s="7"/>
      <c r="U13" s="7"/>
      <c r="V13" s="7"/>
      <c r="W13" s="7"/>
      <c r="X13" s="11" t="str">
        <f>IFERROR(__xludf.DUMMYFUNCTION("""COMPUTED_VALUE"""),"144 (/100000)")</f>
        <v>144 (/100000)</v>
      </c>
      <c r="Y13" s="7"/>
      <c r="Z13" s="7"/>
      <c r="AA13" s="12" t="s">
        <v>38</v>
      </c>
      <c r="AB13" s="12" t="s">
        <v>17</v>
      </c>
      <c r="AC13" s="24" t="s">
        <v>23</v>
      </c>
      <c r="AD13" s="21" t="s">
        <v>11</v>
      </c>
      <c r="AE13" s="22">
        <v>2025.0</v>
      </c>
      <c r="AF13" s="23" t="s">
        <v>12</v>
      </c>
      <c r="AG13" s="27"/>
      <c r="AH13" s="5" t="s">
        <v>33</v>
      </c>
      <c r="AI13" s="24" t="s">
        <v>40</v>
      </c>
      <c r="AJ13" s="17">
        <f t="shared" si="2"/>
        <v>2</v>
      </c>
      <c r="AK13" s="24"/>
      <c r="AL13" s="24"/>
      <c r="AM13" s="24"/>
      <c r="AN13" s="24"/>
    </row>
    <row r="14" ht="27.0" customHeight="1">
      <c r="A14" s="5" t="str">
        <f>IFERROR(__xludf.DUMMYFUNCTION("""COMPUTED_VALUE"""),"IUP")</f>
        <v>IUP</v>
      </c>
      <c r="B14" s="5" t="str">
        <f>IFERROR(__xludf.DUMMYFUNCTION("""COMPUTED_VALUE"""),"Transformasi Sosial")</f>
        <v>Transformasi Sosial</v>
      </c>
      <c r="C14" s="5" t="str">
        <f>IFERROR(__xludf.DUMMYFUNCTION("""COMPUTED_VALUE"""),"Kesehatan untuk Semua")</f>
        <v>Kesehatan untuk Semua</v>
      </c>
      <c r="D14" s="5" t="str">
        <f>IFERROR(__xludf.DUMMYFUNCTION("""COMPUTED_VALUE"""),"2.b")</f>
        <v>2.b</v>
      </c>
      <c r="E14" s="5" t="str">
        <f>IFERROR(__xludf.DUMMYFUNCTION("""COMPUTED_VALUE"""),"Kesehatan Ibu dan Anak: Prevalensi stunting (pendek dan sangat pendek) pada balita ")</f>
        <v>Kesehatan Ibu dan Anak: Prevalensi stunting (pendek dan sangat pendek) pada balita </v>
      </c>
      <c r="F14" s="5"/>
      <c r="G14" s="6" t="str">
        <f>IFERROR(__xludf.DUMMYFUNCTION("""COMPUTED_VALUE"""),"Dit. Statistik Kesejahteraan Rakyat")</f>
        <v>Dit. Statistik Kesejahteraan Rakyat</v>
      </c>
      <c r="H14" s="5" t="str">
        <f>IFERROR(__xludf.DUMMYFUNCTION("""COMPUTED_VALUE"""),"Dit. Kesehatan dan Gizi Masyarakat")</f>
        <v>Dit. Kesehatan dan Gizi Masyarakat</v>
      </c>
      <c r="I14" s="5" t="str">
        <f>IFERROR(__xludf.DUMMYFUNCTION("""COMPUTED_VALUE"""),"Direktorat Kesehatan dan Gizi Masyarakat")</f>
        <v>Direktorat Kesehatan dan Gizi Masyarakat</v>
      </c>
      <c r="J14" s="7" t="str">
        <f>IFERROR(__xludf.DUMMYFUNCTION("""COMPUTED_VALUE"""),"Kementerian Kesehatan")</f>
        <v>Kementerian Kesehatan</v>
      </c>
      <c r="K14" s="5" t="str">
        <f>IFERROR(__xludf.DUMMYFUNCTION("""COMPUTED_VALUE"""),"Kementerian Kesehatan")</f>
        <v>Kementerian Kesehatan</v>
      </c>
      <c r="L14" s="5" t="str">
        <f>IFERROR(__xludf.DUMMYFUNCTION("""COMPUTED_VALUE"""),"Tersedia s.d Provinsi")</f>
        <v>Tersedia s.d Provinsi</v>
      </c>
      <c r="M14" s="5" t="str">
        <f>IFERROR(__xludf.DUMMYFUNCTION("""COMPUTED_VALUE"""),"Dhiar Niken Larasati, SST, M.E.")</f>
        <v>Dhiar Niken Larasati, SST, M.E.</v>
      </c>
      <c r="N14" s="5" t="str">
        <f>IFERROR(__xludf.DUMMYFUNCTION("""COMPUTED_VALUE"""),"Indikator merupakan indikator SDGs")</f>
        <v>Indikator merupakan indikator SDGs</v>
      </c>
      <c r="O14" s="5" t="str">
        <f>IFERROR(__xludf.DUMMYFUNCTION("""COMPUTED_VALUE"""),"(2023) https://sirusa.web.bps.go.id/metadata/indikator/45665 
Sesuai Buku Metadata Pilar Sosial Edisi II 2023 SDGs:
https://license365bps-my.sharepoint.com/:b:/g/personal/rifky_ariyadi_license365bps_onmicrosoft_com/IQBi6msQP9OXR7It1eJX1FVvAXLRTuV9OvVnQu2"&amp;"5itPObRA?e=PaCiW1 ")</f>
        <v>(2023) https://sirusa.web.bps.go.id/metadata/indikator/45665 
Sesuai Buku Metadata Pilar Sosial Edisi II 2023 SDGs:
https://license365bps-my.sharepoint.com/:b:/g/personal/rifky_ariyadi_license365bps_onmicrosoft_com/IQBi6msQP9OXR7It1eJX1FVvAXLRTuV9OvVnQu25itPObRA?e=PaCiW1 </v>
      </c>
      <c r="P14" s="9" t="str">
        <f>IFERROR(__xludf.DUMMYFUNCTION("""COMPUTED_VALUE"""),"(2025) 
https://www.bps.go.id/id/publication/2025/12/30/8ffdc46aa817bf0c4c47e105/indikator-tujuan-pembangunan-berkelanjutan-indonesia-2025.html ")</f>
        <v>(2025) 
https://www.bps.go.id/id/publication/2025/12/30/8ffdc46aa817bf0c4c47e105/indikator-tujuan-pembangunan-berkelanjutan-indonesia-2025.html </v>
      </c>
      <c r="Q14" s="5"/>
      <c r="R14" s="7"/>
      <c r="S14" s="9" t="str">
        <f>IFERROR(__xludf.DUMMYFUNCTION("""COMPUTED_VALUE"""),"https://www.bps.go.id/id/statistics-table/2/MTUzMSMy/prevalensi-balita-sangat-pendek-dan-pendek-menurut-kabupaten-kota-tahun-2018--persen-.html ")</f>
        <v>https://www.bps.go.id/id/statistics-table/2/MTUzMSMy/prevalensi-balita-sangat-pendek-dan-pendek-menurut-kabupaten-kota-tahun-2018--persen-.html </v>
      </c>
      <c r="T14" s="10"/>
      <c r="U14" s="7"/>
      <c r="V14" s="7" t="str">
        <f>IFERROR(__xludf.DUMMYFUNCTION("""COMPUTED_VALUE"""),"2.2.1 
Prevalensi stunting 
(pendek dan sangat 
pendek) pada anak 
di bawah lima tahun/
balita")</f>
        <v>2.2.1 
Prevalensi stunting 
(pendek dan sangat 
pendek) pada anak 
di bawah lima tahun/
balita</v>
      </c>
      <c r="W14" s="7"/>
      <c r="X14" s="11" t="str">
        <f>IFERROR(__xludf.DUMMYFUNCTION("""COMPUTED_VALUE"""),"tidak rilis karena SSGI tidak dilaksanakan di tahun 2025")</f>
        <v>tidak rilis karena SSGI tidak dilaksanakan di tahun 2025</v>
      </c>
      <c r="Y14" s="7"/>
      <c r="Z14" s="7"/>
      <c r="AA14" s="12" t="s">
        <v>30</v>
      </c>
      <c r="AB14" s="12" t="s">
        <v>17</v>
      </c>
      <c r="AC14" s="24" t="s">
        <v>23</v>
      </c>
      <c r="AD14" s="21" t="s">
        <v>11</v>
      </c>
      <c r="AE14" s="22">
        <v>2025.0</v>
      </c>
      <c r="AF14" s="23" t="s">
        <v>12</v>
      </c>
      <c r="AG14" s="27"/>
      <c r="AH14" s="5" t="s">
        <v>33</v>
      </c>
      <c r="AI14" s="24" t="s">
        <v>41</v>
      </c>
      <c r="AJ14" s="17">
        <f t="shared" si="2"/>
        <v>1</v>
      </c>
      <c r="AK14" s="24"/>
      <c r="AL14" s="24"/>
      <c r="AM14" s="24"/>
      <c r="AN14" s="24"/>
    </row>
    <row r="15" ht="27.0" customHeight="1">
      <c r="A15" s="5" t="str">
        <f>IFERROR(__xludf.DUMMYFUNCTION("""COMPUTED_VALUE"""),"IUP")</f>
        <v>IUP</v>
      </c>
      <c r="B15" s="5" t="str">
        <f>IFERROR(__xludf.DUMMYFUNCTION("""COMPUTED_VALUE"""),"Transformasi Sosial")</f>
        <v>Transformasi Sosial</v>
      </c>
      <c r="C15" s="5" t="str">
        <f>IFERROR(__xludf.DUMMYFUNCTION("""COMPUTED_VALUE"""),"Kesehatan untuk Semua")</f>
        <v>Kesehatan untuk Semua</v>
      </c>
      <c r="D15" s="5">
        <f>IFERROR(__xludf.DUMMYFUNCTION("""COMPUTED_VALUE"""),3.0)</f>
        <v>3</v>
      </c>
      <c r="E15" s="5" t="str">
        <f>IFERROR(__xludf.DUMMYFUNCTION("""COMPUTED_VALUE"""),"Insidensi Tuberkulosis (per 100.000 penduduk)  ")</f>
        <v>Insidensi Tuberkulosis (per 100.000 penduduk)  </v>
      </c>
      <c r="F15" s="5"/>
      <c r="G15" s="6" t="str">
        <f>IFERROR(__xludf.DUMMYFUNCTION("""COMPUTED_VALUE"""),"Dit. Statistik Kesejahteraan Rakyat")</f>
        <v>Dit. Statistik Kesejahteraan Rakyat</v>
      </c>
      <c r="H15" s="5" t="str">
        <f>IFERROR(__xludf.DUMMYFUNCTION("""COMPUTED_VALUE"""),"Dit. Kesehatan dan Gizi Masyarakat")</f>
        <v>Dit. Kesehatan dan Gizi Masyarakat</v>
      </c>
      <c r="I15" s="5" t="str">
        <f>IFERROR(__xludf.DUMMYFUNCTION("""COMPUTED_VALUE"""),"Direktorat Kesehatan dan Gizi Masyarakat")</f>
        <v>Direktorat Kesehatan dan Gizi Masyarakat</v>
      </c>
      <c r="J15" s="7" t="str">
        <f>IFERROR(__xludf.DUMMYFUNCTION("""COMPUTED_VALUE"""),"Kementerian Kesehatan")</f>
        <v>Kementerian Kesehatan</v>
      </c>
      <c r="K15" s="5" t="str">
        <f>IFERROR(__xludf.DUMMYFUNCTION("""COMPUTED_VALUE"""),"Kementerian Kesehatan")</f>
        <v>Kementerian Kesehatan</v>
      </c>
      <c r="L15" s="5" t="str">
        <f>IFERROR(__xludf.DUMMYFUNCTION("""COMPUTED_VALUE"""),"Tersedia Nasional")</f>
        <v>Tersedia Nasional</v>
      </c>
      <c r="M15" s="5" t="str">
        <f>IFERROR(__xludf.DUMMYFUNCTION("""COMPUTED_VALUE"""),"Dhiar Niken Larasati, SST, M.E.")</f>
        <v>Dhiar Niken Larasati, SST, M.E.</v>
      </c>
      <c r="N15" s="5" t="str">
        <f>IFERROR(__xludf.DUMMYFUNCTION("""COMPUTED_VALUE"""),"Indikator Proxy (untuk level provinsi):
3a. Cakupan penemuan kasus TBC
3b. Angka keberhasilan pengobatan TBC (belum ada metadata untuk keduanya)")</f>
        <v>Indikator Proxy (untuk level provinsi):
3a. Cakupan penemuan kasus TBC
3b. Angka keberhasilan pengobatan TBC (belum ada metadata untuk keduanya)</v>
      </c>
      <c r="O15" s="5"/>
      <c r="P15" s="8" t="str">
        <f>IFERROR(__xludf.DUMMYFUNCTION("""COMPUTED_VALUE"""),"https://iris.who.int/server/api/core/bitstreams/e97dd6f4-b567-4396-8680-717bac6869a9/content")</f>
        <v>https://iris.who.int/server/api/core/bitstreams/e97dd6f4-b567-4396-8680-717bac6869a9/content</v>
      </c>
      <c r="Q15" s="5"/>
      <c r="R15" s="7"/>
      <c r="S15" s="9" t="str">
        <f>IFERROR(__xludf.DUMMYFUNCTION("""COMPUTED_VALUE"""),"https://worldhealthorg.shinyapps.io/tb_profiles/?_inputs_&amp;tab=%22charts%22&amp;lan=%22EN%22&amp;iso3=%22IDN%22&amp;entity_type=%22country%22")</f>
        <v>https://worldhealthorg.shinyapps.io/tb_profiles/?_inputs_&amp;tab=%22charts%22&amp;lan=%22EN%22&amp;iso3=%22IDN%22&amp;entity_type=%22country%22</v>
      </c>
      <c r="T15" s="7" t="str">
        <f>IFERROR(__xludf.DUMMYFUNCTION("""COMPUTED_VALUE"""),"Annual")</f>
        <v>Annual</v>
      </c>
      <c r="U15" s="7">
        <f>IFERROR(__xludf.DUMMYFUNCTION("""COMPUTED_VALUE"""),2025.0)</f>
        <v>2025</v>
      </c>
      <c r="V15" s="5" t="str">
        <f>IFERROR(__xludf.DUMMYFUNCTION("""COMPUTED_VALUE"""),"3.3.2
Tuberculosis incidence per 100,000 population")</f>
        <v>3.3.2
Tuberculosis incidence per 100,000 population</v>
      </c>
      <c r="W15" s="10"/>
      <c r="X15" s="11" t="str">
        <f>IFERROR(__xludf.DUMMYFUNCTION("""COMPUTED_VALUE"""),"Pertengahan 2026")</f>
        <v>Pertengahan 2026</v>
      </c>
      <c r="Y15" s="7"/>
      <c r="Z15" s="7"/>
      <c r="AA15" s="12" t="s">
        <v>30</v>
      </c>
      <c r="AB15" s="12" t="s">
        <v>17</v>
      </c>
      <c r="AC15" s="24" t="s">
        <v>23</v>
      </c>
      <c r="AD15" s="21" t="s">
        <v>11</v>
      </c>
      <c r="AE15" s="22">
        <v>2024.0</v>
      </c>
      <c r="AF15" s="23" t="s">
        <v>12</v>
      </c>
      <c r="AG15" s="27"/>
      <c r="AH15" s="5" t="s">
        <v>33</v>
      </c>
      <c r="AI15" s="24" t="s">
        <v>42</v>
      </c>
      <c r="AJ15" s="17">
        <f t="shared" si="2"/>
        <v>2</v>
      </c>
      <c r="AK15" s="24"/>
      <c r="AL15" s="24"/>
      <c r="AM15" s="24"/>
      <c r="AN15" s="24"/>
    </row>
    <row r="16" ht="27.0" customHeight="1">
      <c r="A16" s="7" t="str">
        <f>IFERROR(__xludf.DUMMYFUNCTION("""COMPUTED_VALUE"""),"IUP")</f>
        <v>IUP</v>
      </c>
      <c r="B16" s="7" t="str">
        <f>IFERROR(__xludf.DUMMYFUNCTION("""COMPUTED_VALUE"""),"Transformasi Sosial")</f>
        <v>Transformasi Sosial</v>
      </c>
      <c r="C16" s="7" t="str">
        <f>IFERROR(__xludf.DUMMYFUNCTION("""COMPUTED_VALUE"""),"Kesehatan untuk Semua")</f>
        <v>Kesehatan untuk Semua</v>
      </c>
      <c r="D16" s="7">
        <f>IFERROR(__xludf.DUMMYFUNCTION("""COMPUTED_VALUE"""),4.0)</f>
        <v>4</v>
      </c>
      <c r="E16" s="7" t="str">
        <f>IFERROR(__xludf.DUMMYFUNCTION("""COMPUTED_VALUE"""),"Cakupan kepesertaan jaminan kesehatan nasional  ")</f>
        <v>Cakupan kepesertaan jaminan kesehatan nasional  </v>
      </c>
      <c r="F16" s="7"/>
      <c r="G16" s="30" t="str">
        <f>IFERROR(__xludf.DUMMYFUNCTION("""COMPUTED_VALUE"""),"Dit. Statistik Kesejahteraan Rakyat")</f>
        <v>Dit. Statistik Kesejahteraan Rakyat</v>
      </c>
      <c r="H16" s="7" t="str">
        <f>IFERROR(__xludf.DUMMYFUNCTION("""COMPUTED_VALUE"""),"Dit. Kesehatan dan Gizi Masyarakat")</f>
        <v>Dit. Kesehatan dan Gizi Masyarakat</v>
      </c>
      <c r="I16" s="5" t="str">
        <f>IFERROR(__xludf.DUMMYFUNCTION("""COMPUTED_VALUE"""),"Direktorat Kesehatan dan Gizi Masyarakat")</f>
        <v>Direktorat Kesehatan dan Gizi Masyarakat</v>
      </c>
      <c r="J16" s="7" t="str">
        <f>IFERROR(__xludf.DUMMYFUNCTION("""COMPUTED_VALUE"""),"Kementerian Kesehatan")</f>
        <v>Kementerian Kesehatan</v>
      </c>
      <c r="K16" s="5" t="str">
        <f>IFERROR(__xludf.DUMMYFUNCTION("""COMPUTED_VALUE"""),"BPJS Kesehatan")</f>
        <v>BPJS Kesehatan</v>
      </c>
      <c r="L16" s="7" t="str">
        <f>IFERROR(__xludf.DUMMYFUNCTION("""COMPUTED_VALUE"""),"Tersedia Nasional")</f>
        <v>Tersedia Nasional</v>
      </c>
      <c r="M16" s="5" t="str">
        <f>IFERROR(__xludf.DUMMYFUNCTION("""COMPUTED_VALUE"""),"Dhiar Niken Larasati, SST, M.E.")</f>
        <v>Dhiar Niken Larasati, SST, M.E.</v>
      </c>
      <c r="N16" s="5" t="str">
        <f>IFERROR(__xludf.DUMMYFUNCTION("""COMPUTED_VALUE"""),"Menggunakan data Susenas: Persentase Penduduk yang Memiliki Jaminan Kesehatan Nasional (JKN) Menurut Provinsi")</f>
        <v>Menggunakan data Susenas: Persentase Penduduk yang Memiliki Jaminan Kesehatan Nasional (JKN) Menurut Provinsi</v>
      </c>
      <c r="O16" s="5"/>
      <c r="P16" s="7"/>
      <c r="Q16" s="5"/>
      <c r="R16" s="7" t="str">
        <f>IFERROR(__xludf.DUMMYFUNCTION("""COMPUTED_VALUE"""),"Persentase Penduduk yang Memiliki Jaminan Kesehatan Nasional (JKN)")</f>
        <v>Persentase Penduduk yang Memiliki Jaminan Kesehatan Nasional (JKN)</v>
      </c>
      <c r="S16" s="7" t="str">
        <f>IFERROR(__xludf.DUMMYFUNCTION("""COMPUTED_VALUE"""),"Proxy IUP 4 Persentase Penduduk yang Memiliki Jaminan Kesehatan Nasional (JKN) Menurut Provinsi.csv")</f>
        <v>Proxy IUP 4 Persentase Penduduk yang Memiliki Jaminan Kesehatan Nasional (JKN) Menurut Provinsi.csv</v>
      </c>
      <c r="T16" s="7"/>
      <c r="U16" s="7"/>
      <c r="V16" s="7"/>
      <c r="W16" s="7"/>
      <c r="X16" s="11" t="str">
        <f>IFERROR(__xludf.DUMMYFUNCTION("""COMPUTED_VALUE"""),"Untuk tahun 2025 sedang dalam proses diskusi dan peghitungan oleh Kemnaker dan BPS, Bappenas, BPJS Ketanagkerjaan")</f>
        <v>Untuk tahun 2025 sedang dalam proses diskusi dan peghitungan oleh Kemnaker dan BPS, Bappenas, BPJS Ketanagkerjaan</v>
      </c>
      <c r="Y16" s="7"/>
      <c r="Z16" s="24"/>
      <c r="AA16" s="12" t="s">
        <v>30</v>
      </c>
      <c r="AB16" s="12" t="s">
        <v>17</v>
      </c>
      <c r="AC16" s="24" t="s">
        <v>23</v>
      </c>
      <c r="AD16" s="21" t="s">
        <v>11</v>
      </c>
      <c r="AE16" s="22">
        <v>2024.0</v>
      </c>
      <c r="AF16" s="23" t="s">
        <v>12</v>
      </c>
      <c r="AG16" s="27"/>
      <c r="AH16" s="5" t="s">
        <v>33</v>
      </c>
      <c r="AI16" s="24" t="s">
        <v>43</v>
      </c>
      <c r="AJ16" s="17">
        <f t="shared" si="2"/>
        <v>1</v>
      </c>
      <c r="AK16" s="24"/>
      <c r="AL16" s="24"/>
      <c r="AM16" s="24"/>
      <c r="AN16" s="24"/>
    </row>
    <row r="17" ht="27.0" customHeight="1">
      <c r="A17" s="7" t="str">
        <f>IFERROR(__xludf.DUMMYFUNCTION("""COMPUTED_VALUE"""),"IUP")</f>
        <v>IUP</v>
      </c>
      <c r="B17" s="7" t="str">
        <f>IFERROR(__xludf.DUMMYFUNCTION("""COMPUTED_VALUE"""),"Transformasi Sosial")</f>
        <v>Transformasi Sosial</v>
      </c>
      <c r="C17" s="7" t="str">
        <f>IFERROR(__xludf.DUMMYFUNCTION("""COMPUTED_VALUE"""),"Pendidikan Berkualitas yang Merata")</f>
        <v>Pendidikan Berkualitas yang Merata</v>
      </c>
      <c r="D17" s="7" t="str">
        <f>IFERROR(__xludf.DUMMYFUNCTION("""COMPUTED_VALUE"""),"5.a.1")</f>
        <v>5.a.1</v>
      </c>
      <c r="E17" s="7" t="str">
        <f>IFERROR(__xludf.DUMMYFUNCTION("""COMPUTED_VALUE"""),"Hasil Pembelajaran: Rata-rata nilai PISA
 - Membaca")</f>
        <v>Hasil Pembelajaran: Rata-rata nilai PISA
 - Membaca</v>
      </c>
      <c r="F17" s="7"/>
      <c r="G17" s="30" t="str">
        <f>IFERROR(__xludf.DUMMYFUNCTION("""COMPUTED_VALUE"""),"Dit. Statistik Kesejahteraan Rakyat")</f>
        <v>Dit. Statistik Kesejahteraan Rakyat</v>
      </c>
      <c r="H17" s="7" t="str">
        <f>IFERROR(__xludf.DUMMYFUNCTION("""COMPUTED_VALUE"""),"Dit. Agama, Pendidikan, dan Kebudayaan")</f>
        <v>Dit. Agama, Pendidikan, dan Kebudayaan</v>
      </c>
      <c r="I17" s="5" t="str">
        <f>IFERROR(__xludf.DUMMYFUNCTION("""COMPUTED_VALUE"""),"""- Direktorat Agama, Kebudayaan, Pemuda dan Olahraga
- Direktorat Pendidikan Dasar dan Menengah""")</f>
        <v>"- Direktorat Agama, Kebudayaan, Pemuda dan Olahraga
- Direktorat Pendidikan Dasar dan Menengah"</v>
      </c>
      <c r="J17" s="7" t="str">
        <f>IFERROR(__xludf.DUMMYFUNCTION("""COMPUTED_VALUE"""),"OECD")</f>
        <v>OECD</v>
      </c>
      <c r="K17" s="5" t="str">
        <f>IFERROR(__xludf.DUMMYFUNCTION("""COMPUTED_VALUE"""),"Kementerian Pendidikan Dasar dan Menengah")</f>
        <v>Kementerian Pendidikan Dasar dan Menengah</v>
      </c>
      <c r="L17" s="7" t="str">
        <f>IFERROR(__xludf.DUMMYFUNCTION("""COMPUTED_VALUE"""),"Tersedia Nasional")</f>
        <v>Tersedia Nasional</v>
      </c>
      <c r="M17" s="5" t="str">
        <f>IFERROR(__xludf.DUMMYFUNCTION("""COMPUTED_VALUE"""),"Dhiar Niken Larasati, SST, M.E.")</f>
        <v>Dhiar Niken Larasati, SST, M.E.</v>
      </c>
      <c r="N17" s="5" t="str">
        <f>IFERROR(__xludf.DUMMYFUNCTION("""COMPUTED_VALUE"""),"Indikator Proxy: 
% satuan pendidikan yang mencapai standar kompetensi minimum pada asesmen nasional untuk Literasi Membaca")</f>
        <v>Indikator Proxy: 
% satuan pendidikan yang mencapai standar kompetensi minimum pada asesmen nasional untuk Literasi Membaca</v>
      </c>
      <c r="O17" s="5"/>
      <c r="P17" s="7" t="str">
        <f>IFERROR(__xludf.DUMMYFUNCTION("""COMPUTED_VALUE"""),"https://www.oecd.org/en/about/programmes/pisa/pisa-data.html#methodology
tech standards : https://www.oecd.org/content/dam/oecd/en/about/programmes/edu/pisa/publications/technical-standards/PISA_2025_Technical_Standards.pdf 
framework : https://www.oecd"&amp;".org/content/dam/oecd/en/publications/reports/2023/08/pisa-2022-assessment-and-analytical-framework_a124aec8/dfe0bf9c-en.pdf ")</f>
        <v>https://www.oecd.org/en/about/programmes/pisa/pisa-data.html#methodology
tech standards : https://www.oecd.org/content/dam/oecd/en/about/programmes/edu/pisa/publications/technical-standards/PISA_2025_Technical_Standards.pdf 
framework : https://www.oecd.org/content/dam/oecd/en/publications/reports/2023/08/pisa-2022-assessment-and-analytical-framework_a124aec8/dfe0bf9c-en.pdf </v>
      </c>
      <c r="Q17" s="5"/>
      <c r="R17" s="7" t="str">
        <f>IFERROR(__xludf.DUMMYFUNCTION("""COMPUTED_VALUE"""),"Rata-rata Nilai Pembelajaran")</f>
        <v>Rata-rata Nilai Pembelajaran</v>
      </c>
      <c r="S17" s="9" t="str">
        <f>IFERROR(__xludf.DUMMYFUNCTION("""COMPUTED_VALUE"""),"https://www.oecd.org/content/dam/oecd/en/publications/reports/2023/12/pisa-2022-results-volume-i_76772a36/53f23881-en.pdf")</f>
        <v>https://www.oecd.org/content/dam/oecd/en/publications/reports/2023/12/pisa-2022-results-volume-i_76772a36/53f23881-en.pdf</v>
      </c>
      <c r="T17" s="7"/>
      <c r="U17" s="7"/>
      <c r="V17" s="7" t="str">
        <f>IFERROR(__xludf.DUMMYFUNCTION("""COMPUTED_VALUE"""),"4.1.1")</f>
        <v>4.1.1</v>
      </c>
      <c r="W17" s="7"/>
      <c r="X17" s="11" t="str">
        <f>IFERROR(__xludf.DUMMYFUNCTION("""COMPUTED_VALUE"""),"Rilis 3 tahun sekali, rencana rilis September 2026")</f>
        <v>Rilis 3 tahun sekali, rencana rilis September 2026</v>
      </c>
      <c r="Y17" s="7"/>
      <c r="Z17" s="24"/>
      <c r="AA17" s="12" t="s">
        <v>30</v>
      </c>
      <c r="AB17" s="12" t="s">
        <v>17</v>
      </c>
      <c r="AC17" s="24" t="s">
        <v>23</v>
      </c>
      <c r="AD17" s="21" t="s">
        <v>11</v>
      </c>
      <c r="AE17" s="28" t="s">
        <v>18</v>
      </c>
      <c r="AF17" s="23" t="s">
        <v>12</v>
      </c>
      <c r="AG17" s="21" t="s">
        <v>44</v>
      </c>
      <c r="AH17" s="5" t="s">
        <v>45</v>
      </c>
      <c r="AI17" s="24"/>
      <c r="AJ17" s="24">
        <f>SUM(AJ7:AJ16)</f>
        <v>86</v>
      </c>
      <c r="AK17" s="24"/>
      <c r="AL17" s="24"/>
      <c r="AM17" s="24"/>
      <c r="AN17" s="24"/>
    </row>
    <row r="18" ht="27.0" customHeight="1">
      <c r="A18" s="7" t="str">
        <f>IFERROR(__xludf.DUMMYFUNCTION("""COMPUTED_VALUE"""),"IUP")</f>
        <v>IUP</v>
      </c>
      <c r="B18" s="7" t="str">
        <f>IFERROR(__xludf.DUMMYFUNCTION("""COMPUTED_VALUE"""),"Transformasi Sosial")</f>
        <v>Transformasi Sosial</v>
      </c>
      <c r="C18" s="7" t="str">
        <f>IFERROR(__xludf.DUMMYFUNCTION("""COMPUTED_VALUE"""),"Pendidikan Berkualitas yang Merata")</f>
        <v>Pendidikan Berkualitas yang Merata</v>
      </c>
      <c r="D18" s="7" t="str">
        <f>IFERROR(__xludf.DUMMYFUNCTION("""COMPUTED_VALUE"""),"5.a.2")</f>
        <v>5.a.2</v>
      </c>
      <c r="E18" s="7" t="str">
        <f>IFERROR(__xludf.DUMMYFUNCTION("""COMPUTED_VALUE"""),"Hasil Pembelajaran: Rata-rata nilai PISA
 - Matematika ")</f>
        <v>Hasil Pembelajaran: Rata-rata nilai PISA
 - Matematika </v>
      </c>
      <c r="F18" s="7"/>
      <c r="G18" s="30" t="str">
        <f>IFERROR(__xludf.DUMMYFUNCTION("""COMPUTED_VALUE"""),"Dit. Statistik Kesejahteraan Rakyat")</f>
        <v>Dit. Statistik Kesejahteraan Rakyat</v>
      </c>
      <c r="H18" s="7" t="str">
        <f>IFERROR(__xludf.DUMMYFUNCTION("""COMPUTED_VALUE"""),"Dit. Agama, Pendidikan, dan Kebudayaan")</f>
        <v>Dit. Agama, Pendidikan, dan Kebudayaan</v>
      </c>
      <c r="I18" s="5" t="str">
        <f>IFERROR(__xludf.DUMMYFUNCTION("""COMPUTED_VALUE"""),"""- Direktorat Agama, Kebudayaan, Pemuda dan Olahraga
- Direktorat Pendidikan Dasar dan Menengah""")</f>
        <v>"- Direktorat Agama, Kebudayaan, Pemuda dan Olahraga
- Direktorat Pendidikan Dasar dan Menengah"</v>
      </c>
      <c r="J18" s="7" t="str">
        <f>IFERROR(__xludf.DUMMYFUNCTION("""COMPUTED_VALUE"""),"OECD")</f>
        <v>OECD</v>
      </c>
      <c r="K18" s="5" t="str">
        <f>IFERROR(__xludf.DUMMYFUNCTION("""COMPUTED_VALUE"""),"Kementerian Pendidikan Dasar dan Menengah")</f>
        <v>Kementerian Pendidikan Dasar dan Menengah</v>
      </c>
      <c r="L18" s="7" t="str">
        <f>IFERROR(__xludf.DUMMYFUNCTION("""COMPUTED_VALUE"""),"Tersedia Nasional")</f>
        <v>Tersedia Nasional</v>
      </c>
      <c r="M18" s="5" t="str">
        <f>IFERROR(__xludf.DUMMYFUNCTION("""COMPUTED_VALUE"""),"Dhiar Niken Larasati, SST, M.E.")</f>
        <v>Dhiar Niken Larasati, SST, M.E.</v>
      </c>
      <c r="N18" s="5" t="str">
        <f>IFERROR(__xludf.DUMMYFUNCTION("""COMPUTED_VALUE"""),"Indikator Proxy: 
% satuan pendidikan yang mencapai standar kompetensi minimum pada asesmen nasional untuk Numerasi")</f>
        <v>Indikator Proxy: 
% satuan pendidikan yang mencapai standar kompetensi minimum pada asesmen nasional untuk Numerasi</v>
      </c>
      <c r="O18" s="5"/>
      <c r="P18" s="9" t="str">
        <f>IFERROR(__xludf.DUMMYFUNCTION("""COMPUTED_VALUE"""),"https://www.oecd.org/en/publications/pisa-2022-results-volume-i-and-ii-country-notes_ed6fbcc5-en/indonesia_c2e1ae0e-en.html")</f>
        <v>https://www.oecd.org/en/publications/pisa-2022-results-volume-i-and-ii-country-notes_ed6fbcc5-en/indonesia_c2e1ae0e-en.html</v>
      </c>
      <c r="Q18" s="5"/>
      <c r="R18" s="7"/>
      <c r="S18" s="9" t="str">
        <f>IFERROR(__xludf.DUMMYFUNCTION("""COMPUTED_VALUE"""),"https://data.go.id/dataset/dataset/rata-rata-nilai-programme-for-international-student-assessment-pisa-matematika-membaca-sai-2024")</f>
        <v>https://data.go.id/dataset/dataset/rata-rata-nilai-programme-for-international-student-assessment-pisa-matematika-membaca-sai-2024</v>
      </c>
      <c r="T18" s="7"/>
      <c r="U18" s="7"/>
      <c r="V18" s="7"/>
      <c r="W18" s="7"/>
      <c r="X18" s="11" t="str">
        <f>IFERROR(__xludf.DUMMYFUNCTION("""COMPUTED_VALUE"""),"Rilis 3 tahun sekali, rencana rilis September 2026")</f>
        <v>Rilis 3 tahun sekali, rencana rilis September 2026</v>
      </c>
      <c r="Y18" s="7"/>
      <c r="Z18" s="24"/>
      <c r="AA18" s="12" t="s">
        <v>30</v>
      </c>
      <c r="AB18" s="12" t="s">
        <v>17</v>
      </c>
      <c r="AC18" s="24" t="s">
        <v>23</v>
      </c>
      <c r="AD18" s="21" t="s">
        <v>11</v>
      </c>
      <c r="AE18" s="28" t="s">
        <v>18</v>
      </c>
      <c r="AF18" s="23" t="s">
        <v>12</v>
      </c>
      <c r="AG18" s="21" t="s">
        <v>46</v>
      </c>
      <c r="AH18" s="5" t="s">
        <v>45</v>
      </c>
      <c r="AI18" s="24"/>
      <c r="AJ18" s="24"/>
      <c r="AK18" s="24"/>
      <c r="AL18" s="24"/>
      <c r="AM18" s="24"/>
      <c r="AN18" s="24"/>
    </row>
    <row r="19" ht="27.0" customHeight="1">
      <c r="A19" s="7" t="str">
        <f>IFERROR(__xludf.DUMMYFUNCTION("""COMPUTED_VALUE"""),"IUP")</f>
        <v>IUP</v>
      </c>
      <c r="B19" s="7" t="str">
        <f>IFERROR(__xludf.DUMMYFUNCTION("""COMPUTED_VALUE"""),"Transformasi Sosial")</f>
        <v>Transformasi Sosial</v>
      </c>
      <c r="C19" s="7" t="str">
        <f>IFERROR(__xludf.DUMMYFUNCTION("""COMPUTED_VALUE"""),"Pendidikan Berkualitas yang Merata")</f>
        <v>Pendidikan Berkualitas yang Merata</v>
      </c>
      <c r="D19" s="7" t="str">
        <f>IFERROR(__xludf.DUMMYFUNCTION("""COMPUTED_VALUE"""),"5.a.3")</f>
        <v>5.a.3</v>
      </c>
      <c r="E19" s="7" t="str">
        <f>IFERROR(__xludf.DUMMYFUNCTION("""COMPUTED_VALUE"""),"Hasil Pembelajaran: Rata-rata nilai PISA
 - Sains")</f>
        <v>Hasil Pembelajaran: Rata-rata nilai PISA
 - Sains</v>
      </c>
      <c r="F19" s="7"/>
      <c r="G19" s="30" t="str">
        <f>IFERROR(__xludf.DUMMYFUNCTION("""COMPUTED_VALUE"""),"Dit. Statistik Kesejahteraan Rakyat")</f>
        <v>Dit. Statistik Kesejahteraan Rakyat</v>
      </c>
      <c r="H19" s="7" t="str">
        <f>IFERROR(__xludf.DUMMYFUNCTION("""COMPUTED_VALUE"""),"Dit. Agama, Pendidikan, dan Kebudayaan")</f>
        <v>Dit. Agama, Pendidikan, dan Kebudayaan</v>
      </c>
      <c r="I19" s="31" t="str">
        <f>IFERROR(__xludf.DUMMYFUNCTION("""COMPUTED_VALUE"""),"""- Direktorat Agama, Kebudayaan, Pemuda dan Olahraga
- Direktorat Pendidikan Dasar dan Menengah""")</f>
        <v>"- Direktorat Agama, Kebudayaan, Pemuda dan Olahraga
- Direktorat Pendidikan Dasar dan Menengah"</v>
      </c>
      <c r="J19" s="7" t="str">
        <f>IFERROR(__xludf.DUMMYFUNCTION("""COMPUTED_VALUE"""),"OECD")</f>
        <v>OECD</v>
      </c>
      <c r="K19" s="5" t="str">
        <f>IFERROR(__xludf.DUMMYFUNCTION("""COMPUTED_VALUE"""),"Kementerian Pendidikan Dasar dan Menengah")</f>
        <v>Kementerian Pendidikan Dasar dan Menengah</v>
      </c>
      <c r="L19" s="7" t="str">
        <f>IFERROR(__xludf.DUMMYFUNCTION("""COMPUTED_VALUE"""),"Tersedia Nasional")</f>
        <v>Tersedia Nasional</v>
      </c>
      <c r="M19" s="5" t="str">
        <f>IFERROR(__xludf.DUMMYFUNCTION("""COMPUTED_VALUE"""),"Dhiar Niken Larasati, SST, M.E.")</f>
        <v>Dhiar Niken Larasati, SST, M.E.</v>
      </c>
      <c r="N19" s="5"/>
      <c r="O19" s="5"/>
      <c r="P19" s="7"/>
      <c r="Q19" s="5"/>
      <c r="R19" s="7"/>
      <c r="S19" s="7"/>
      <c r="T19" s="7"/>
      <c r="U19" s="7"/>
      <c r="V19" s="7"/>
      <c r="W19" s="7"/>
      <c r="X19" s="11" t="str">
        <f>IFERROR(__xludf.DUMMYFUNCTION("""COMPUTED_VALUE"""),"Rilis 3 tahun sekali, rencana rilis September 2026")</f>
        <v>Rilis 3 tahun sekali, rencana rilis September 2026</v>
      </c>
      <c r="Y19" s="7"/>
      <c r="Z19" s="24"/>
      <c r="AA19" s="12" t="s">
        <v>30</v>
      </c>
      <c r="AB19" s="12" t="s">
        <v>17</v>
      </c>
      <c r="AC19" s="24" t="s">
        <v>23</v>
      </c>
      <c r="AD19" s="27"/>
      <c r="AE19" s="32"/>
      <c r="AF19" s="23" t="s">
        <v>12</v>
      </c>
      <c r="AG19" s="27"/>
      <c r="AH19" s="5" t="s">
        <v>47</v>
      </c>
      <c r="AI19" s="24"/>
      <c r="AJ19" s="24"/>
      <c r="AK19" s="24"/>
      <c r="AL19" s="24"/>
      <c r="AM19" s="24"/>
      <c r="AN19" s="24"/>
    </row>
    <row r="20" ht="27.0" customHeight="1">
      <c r="A20" s="7" t="str">
        <f>IFERROR(__xludf.DUMMYFUNCTION("""COMPUTED_VALUE"""),"IUP")</f>
        <v>IUP</v>
      </c>
      <c r="B20" s="7" t="str">
        <f>IFERROR(__xludf.DUMMYFUNCTION("""COMPUTED_VALUE"""),"Transformasi Sosial")</f>
        <v>Transformasi Sosial</v>
      </c>
      <c r="C20" s="7" t="str">
        <f>IFERROR(__xludf.DUMMYFUNCTION("""COMPUTED_VALUE"""),"Pendidikan Berkualitas yang Merata")</f>
        <v>Pendidikan Berkualitas yang Merata</v>
      </c>
      <c r="D20" s="7" t="str">
        <f>IFERROR(__xludf.DUMMYFUNCTION("""COMPUTED_VALUE"""),"5.b.1")</f>
        <v>5.b.1</v>
      </c>
      <c r="E20" s="7" t="str">
        <f>IFERROR(__xludf.DUMMYFUNCTION("""COMPUTED_VALUE"""),"Hasil Pembelajaran: Rata-rata nilai asesmen nasional Literasi - Membaca")</f>
        <v>Hasil Pembelajaran: Rata-rata nilai asesmen nasional Literasi - Membaca</v>
      </c>
      <c r="F20" s="7"/>
      <c r="G20" s="30" t="str">
        <f>IFERROR(__xludf.DUMMYFUNCTION("""COMPUTED_VALUE"""),"Dit. Statistik Kesejahteraan Rakyat")</f>
        <v>Dit. Statistik Kesejahteraan Rakyat</v>
      </c>
      <c r="H20" s="7" t="str">
        <f>IFERROR(__xludf.DUMMYFUNCTION("""COMPUTED_VALUE"""),"Dit. Agama, Pendidikan, dan Kebudayaan")</f>
        <v>Dit. Agama, Pendidikan, dan Kebudayaan</v>
      </c>
      <c r="I20" s="31" t="str">
        <f>IFERROR(__xludf.DUMMYFUNCTION("""COMPUTED_VALUE"""),"- Direktorat Agama, Kebudayaan, Pemuda dan Olahraga
- Direktorat Pendidikan Dasar dan Menengah")</f>
        <v>- Direktorat Agama, Kebudayaan, Pemuda dan Olahraga
- Direktorat Pendidikan Dasar dan Menengah</v>
      </c>
      <c r="J20" s="7" t="str">
        <f>IFERROR(__xludf.DUMMYFUNCTION("""COMPUTED_VALUE"""),"Kemendikdasmen")</f>
        <v>Kemendikdasmen</v>
      </c>
      <c r="K20" s="5" t="str">
        <f>IFERROR(__xludf.DUMMYFUNCTION("""COMPUTED_VALUE"""),"Kementerian Pendidikan Dasar dan Menengah")</f>
        <v>Kementerian Pendidikan Dasar dan Menengah</v>
      </c>
      <c r="L20" s="7" t="str">
        <f>IFERROR(__xludf.DUMMYFUNCTION("""COMPUTED_VALUE"""),"Tersedia Nasional")</f>
        <v>Tersedia Nasional</v>
      </c>
      <c r="M20" s="5" t="str">
        <f>IFERROR(__xludf.DUMMYFUNCTION("""COMPUTED_VALUE"""),"Dhiar Niken Larasati, SST, M.E.")</f>
        <v>Dhiar Niken Larasati, SST, M.E.</v>
      </c>
      <c r="N20" s="5" t="str">
        <f>IFERROR(__xludf.DUMMYFUNCTION("""COMPUTED_VALUE"""),"- Proxy Untuk Provinsi: Persentase kab/kota yang mencapai standar kompetensi minimum pada asesmen tingkat nasional untuk membaca &amp; Persentase satuan pendidikan yang mencapai standar kompetensi minimum pada asesmen tingkat nasional untuk membaca.
- Proxy "&amp;"untuk Kab/Kota: Persentase satuan pendidikan yang mencapai standar kompetensi minimum pada asesmen tingkat nasional untuk membaca.")</f>
        <v>- Proxy Untuk Provinsi: Persentase kab/kota yang mencapai standar kompetensi minimum pada asesmen tingkat nasional untuk membaca &amp; Persentase satuan pendidikan yang mencapai standar kompetensi minimum pada asesmen tingkat nasional untuk membaca.
- Proxy untuk Kab/Kota: Persentase satuan pendidikan yang mencapai standar kompetensi minimum pada asesmen tingkat nasional untuk membaca.</v>
      </c>
      <c r="O20" s="8" t="str">
        <f>IFERROR(__xludf.DUMMYFUNCTION("""COMPUTED_VALUE"""),"Metadata Ada di disini Nomor 5b https://drive.google.com/drive/folders/1bL0VYlLQayyiyu9GsR1cYf6pBZSRb_IE")</f>
        <v>Metadata Ada di disini Nomor 5b https://drive.google.com/drive/folders/1bL0VYlLQayyiyu9GsR1cYf6pBZSRb_IE</v>
      </c>
      <c r="P20" s="7" t="str">
        <f>IFERROR(__xludf.DUMMYFUNCTION("""COMPUTED_VALUE"""),"Nilai Asesmen Nasional merupakan Nilai Hasil Ujian yang dilakukan oleh Kemdikbud https://pusmendik.kemdikbud.go.id/pdf/file-171 
Datanya ada disini tapi Website Kemdikbud Error https://data.kemendikdasmen.go.id/dataset/p/asesmen-nasional/rapor-publik-ase"&amp;"smen-nasional-2024-peserta-didik-2024-indonesia-2")</f>
        <v>Nilai Asesmen Nasional merupakan Nilai Hasil Ujian yang dilakukan oleh Kemdikbud https://pusmendik.kemdikbud.go.id/pdf/file-171 
Datanya ada disini tapi Website Kemdikbud Error https://data.kemendikdasmen.go.id/dataset/p/asesmen-nasional/rapor-publik-asesmen-nasional-2024-peserta-didik-2024-indonesia-2</v>
      </c>
      <c r="Q20" s="5"/>
      <c r="R20" s="7"/>
      <c r="S20" s="7"/>
      <c r="T20" s="7"/>
      <c r="U20" s="7"/>
      <c r="V20" s="7" t="str">
        <f>IFERROR(__xludf.DUMMYFUNCTION("""COMPUTED_VALUE"""),"mirip dengan SDGs
4.1.1. a
Proporsi anak-anak dan remaja di: 
(a) kelas 5 
(b) kelas 8, dan 
(c) kelas 11 
yang mencapai setidaknya tingkat kemahiran minimum dalam: 
(i) membaca, 
(ii) matematika. ")</f>
        <v>mirip dengan SDGs
4.1.1. a
Proporsi anak-anak dan remaja di: 
(a) kelas 5 
(b) kelas 8, dan 
(c) kelas 11 
yang mencapai setidaknya tingkat kemahiran minimum dalam: 
(i) membaca, 
(ii) matematika. </v>
      </c>
      <c r="W20" s="7"/>
      <c r="X20" s="11">
        <f>IFERROR(__xludf.DUMMYFUNCTION("""COMPUTED_VALUE"""),62.12)</f>
        <v>62.12</v>
      </c>
      <c r="Y20" s="7"/>
      <c r="Z20" s="24"/>
      <c r="AA20" s="12" t="s">
        <v>30</v>
      </c>
      <c r="AB20" s="12" t="s">
        <v>17</v>
      </c>
      <c r="AC20" s="24" t="s">
        <v>23</v>
      </c>
      <c r="AD20" s="21" t="s">
        <v>11</v>
      </c>
      <c r="AE20" s="28" t="s">
        <v>18</v>
      </c>
      <c r="AF20" s="23" t="s">
        <v>12</v>
      </c>
      <c r="AG20" s="27"/>
      <c r="AH20" s="5" t="s">
        <v>36</v>
      </c>
      <c r="AI20" s="24"/>
      <c r="AJ20" s="24"/>
      <c r="AK20" s="24"/>
      <c r="AL20" s="24"/>
      <c r="AM20" s="24"/>
      <c r="AN20" s="24"/>
    </row>
    <row r="21" ht="27.0" customHeight="1">
      <c r="A21" s="7" t="str">
        <f>IFERROR(__xludf.DUMMYFUNCTION("""COMPUTED_VALUE"""),"IUP")</f>
        <v>IUP</v>
      </c>
      <c r="B21" s="7" t="str">
        <f>IFERROR(__xludf.DUMMYFUNCTION("""COMPUTED_VALUE"""),"Transformasi Sosial")</f>
        <v>Transformasi Sosial</v>
      </c>
      <c r="C21" s="7" t="str">
        <f>IFERROR(__xludf.DUMMYFUNCTION("""COMPUTED_VALUE"""),"Pendidikan Berkualitas yang Merata")</f>
        <v>Pendidikan Berkualitas yang Merata</v>
      </c>
      <c r="D21" s="7" t="str">
        <f>IFERROR(__xludf.DUMMYFUNCTION("""COMPUTED_VALUE"""),"5.b.2")</f>
        <v>5.b.2</v>
      </c>
      <c r="E21" s="7" t="str">
        <f>IFERROR(__xludf.DUMMYFUNCTION("""COMPUTED_VALUE"""),"Hasil Pembelajaran: Rata-rata nilai asesmen nasional Literasi - Numerasi")</f>
        <v>Hasil Pembelajaran: Rata-rata nilai asesmen nasional Literasi - Numerasi</v>
      </c>
      <c r="F21" s="7"/>
      <c r="G21" s="30" t="str">
        <f>IFERROR(__xludf.DUMMYFUNCTION("""COMPUTED_VALUE"""),"Dit. Statistik Kesejahteraan Rakyat")</f>
        <v>Dit. Statistik Kesejahteraan Rakyat</v>
      </c>
      <c r="H21" s="7" t="str">
        <f>IFERROR(__xludf.DUMMYFUNCTION("""COMPUTED_VALUE"""),"Dit. Agama, Pendidikan, dan Kebudayaan")</f>
        <v>Dit. Agama, Pendidikan, dan Kebudayaan</v>
      </c>
      <c r="I21" s="31" t="str">
        <f>IFERROR(__xludf.DUMMYFUNCTION("""COMPUTED_VALUE"""),"- Direktorat Agama, Kebudayaan, Pemuda dan Olahraga
- Direktorat Pendidikan Dasar dan Menengah")</f>
        <v>- Direktorat Agama, Kebudayaan, Pemuda dan Olahraga
- Direktorat Pendidikan Dasar dan Menengah</v>
      </c>
      <c r="J21" s="7" t="str">
        <f>IFERROR(__xludf.DUMMYFUNCTION("""COMPUTED_VALUE"""),"Kemendikdasmen")</f>
        <v>Kemendikdasmen</v>
      </c>
      <c r="K21" s="5" t="str">
        <f>IFERROR(__xludf.DUMMYFUNCTION("""COMPUTED_VALUE"""),"Kementerian Pendidikan Dasar dan Menengah")</f>
        <v>Kementerian Pendidikan Dasar dan Menengah</v>
      </c>
      <c r="L21" s="7" t="str">
        <f>IFERROR(__xludf.DUMMYFUNCTION("""COMPUTED_VALUE"""),"Tersedia Nasional")</f>
        <v>Tersedia Nasional</v>
      </c>
      <c r="M21" s="5" t="str">
        <f>IFERROR(__xludf.DUMMYFUNCTION("""COMPUTED_VALUE"""),"Dhiar Niken Larasati, SST, M.E.")</f>
        <v>Dhiar Niken Larasati, SST, M.E.</v>
      </c>
      <c r="N21" s="5" t="str">
        <f>IFERROR(__xludf.DUMMYFUNCTION("""COMPUTED_VALUE"""),"- Proxy Untuk Provinsi: Persentase kab/kota yang mencapai standar kompetensi minimum pada asesmen tingkat nasional untuk numerasi &amp; Persentase satuan pendidikan yang mencapai standar kompetensi minimum pada asesmen tingkat nasional untuk numerasi.
- Prox"&amp;"y untuk Kab/Kota: Persentase satuan pendidikan yang mencapai standar kompetensi minimum pada asesmen tingkat nasional untuk numerasi.")</f>
        <v>- Proxy Untuk Provinsi: Persentase kab/kota yang mencapai standar kompetensi minimum pada asesmen tingkat nasional untuk numerasi &amp; Persentase satuan pendidikan yang mencapai standar kompetensi minimum pada asesmen tingkat nasional untuk numerasi.
- Proxy untuk Kab/Kota: Persentase satuan pendidikan yang mencapai standar kompetensi minimum pada asesmen tingkat nasional untuk numerasi.</v>
      </c>
      <c r="O21" s="8" t="str">
        <f>IFERROR(__xludf.DUMMYFUNCTION("""COMPUTED_VALUE"""),"Metadata Ada di disini Nomor 5b https://drive.google.com/drive/folders/1bL0VYlLQayyiyu9GsR1cYf6pBZSRb_IE")</f>
        <v>Metadata Ada di disini Nomor 5b https://drive.google.com/drive/folders/1bL0VYlLQayyiyu9GsR1cYf6pBZSRb_IE</v>
      </c>
      <c r="P21" s="9" t="str">
        <f>IFERROR(__xludf.DUMMYFUNCTION("""COMPUTED_VALUE"""),"Nilai Asesmen Nasional merupakan Nilai Hasil Ujian yang dilakukan oleh Kemdikbud https://pusmendik.kemdikbud.go.id/pdf/file-171 
Datanya ada disini tapi Website Kemdikbud Error https://data.kemendikdasmen.go.id/dataset/p/asesmen-nasional/rapor-publik-ase"&amp;"smen-nasional-2024-peserta-didik-2024-indonesia-2")</f>
        <v>Nilai Asesmen Nasional merupakan Nilai Hasil Ujian yang dilakukan oleh Kemdikbud https://pusmendik.kemdikbud.go.id/pdf/file-171 
Datanya ada disini tapi Website Kemdikbud Error https://data.kemendikdasmen.go.id/dataset/p/asesmen-nasional/rapor-publik-asesmen-nasional-2024-peserta-didik-2024-indonesia-2</v>
      </c>
      <c r="Q21" s="5"/>
      <c r="R21" s="7"/>
      <c r="S21" s="7"/>
      <c r="T21" s="7"/>
      <c r="U21" s="7"/>
      <c r="V21" s="7" t="str">
        <f>IFERROR(__xludf.DUMMYFUNCTION("""COMPUTED_VALUE"""),"mirip dengan SDGs
4.1.1. a
Proporsi anak-anak dan remaja di: 
(a) kelas 5 
(b) kelas 8, dan 
(c) kelas 11 
yang mencapai setidaknya tingkat kemahiran minimum dalam: 
(i) membaca, 
(ii) matematika. ")</f>
        <v>mirip dengan SDGs
4.1.1. a
Proporsi anak-anak dan remaja di: 
(a) kelas 5 
(b) kelas 8, dan 
(c) kelas 11 
yang mencapai setidaknya tingkat kemahiran minimum dalam: 
(i) membaca, 
(ii) matematika. </v>
      </c>
      <c r="W21" s="7"/>
      <c r="X21" s="11">
        <f>IFERROR(__xludf.DUMMYFUNCTION("""COMPUTED_VALUE"""),54.01)</f>
        <v>54.01</v>
      </c>
      <c r="Y21" s="7"/>
      <c r="Z21" s="24"/>
      <c r="AA21" s="12" t="s">
        <v>30</v>
      </c>
      <c r="AB21" s="12" t="s">
        <v>17</v>
      </c>
      <c r="AC21" s="24" t="s">
        <v>23</v>
      </c>
      <c r="AD21" s="21" t="s">
        <v>11</v>
      </c>
      <c r="AE21" s="28" t="s">
        <v>18</v>
      </c>
      <c r="AF21" s="23" t="s">
        <v>12</v>
      </c>
      <c r="AG21" s="27"/>
      <c r="AH21" s="5" t="s">
        <v>36</v>
      </c>
      <c r="AI21" s="24"/>
      <c r="AJ21" s="24"/>
      <c r="AK21" s="24"/>
      <c r="AL21" s="24"/>
      <c r="AM21" s="24"/>
      <c r="AN21" s="24"/>
    </row>
    <row r="22" ht="27.0" customHeight="1">
      <c r="A22" s="7" t="str">
        <f>IFERROR(__xludf.DUMMYFUNCTION("""COMPUTED_VALUE"""),"IUP")</f>
        <v>IUP</v>
      </c>
      <c r="B22" s="7" t="str">
        <f>IFERROR(__xludf.DUMMYFUNCTION("""COMPUTED_VALUE"""),"Transformasi Sosial")</f>
        <v>Transformasi Sosial</v>
      </c>
      <c r="C22" s="7" t="str">
        <f>IFERROR(__xludf.DUMMYFUNCTION("""COMPUTED_VALUE"""),"Pendidikan Berkualitas yang Merata")</f>
        <v>Pendidikan Berkualitas yang Merata</v>
      </c>
      <c r="D22" s="7" t="str">
        <f>IFERROR(__xludf.DUMMYFUNCTION("""COMPUTED_VALUE"""),"5.c")</f>
        <v>5.c</v>
      </c>
      <c r="E22" s="7" t="str">
        <f>IFERROR(__xludf.DUMMYFUNCTION("""COMPUTED_VALUE"""),"Hasil Pembelajaran: Rata-rata lama sekolah penduduk usia di atas 15 tahun (tahun) ")</f>
        <v>Hasil Pembelajaran: Rata-rata lama sekolah penduduk usia di atas 15 tahun (tahun) </v>
      </c>
      <c r="F22" s="7"/>
      <c r="G22" s="30" t="str">
        <f>IFERROR(__xludf.DUMMYFUNCTION("""COMPUTED_VALUE"""),"Dit. Statistik Kesejahteraan Rakyat")</f>
        <v>Dit. Statistik Kesejahteraan Rakyat</v>
      </c>
      <c r="H22" s="7" t="str">
        <f>IFERROR(__xludf.DUMMYFUNCTION("""COMPUTED_VALUE"""),"Dit. Agama, Pendidikan, dan Kebudayaan")</f>
        <v>Dit. Agama, Pendidikan, dan Kebudayaan</v>
      </c>
      <c r="I22" s="5" t="str">
        <f>IFERROR(__xludf.DUMMYFUNCTION("""COMPUTED_VALUE"""),"- Direktorat Agama, Kebudayaan, Pemuda dan Olahraga
- Direktorat Pendidikan Dasar dan Menengah")</f>
        <v>- Direktorat Agama, Kebudayaan, Pemuda dan Olahraga
- Direktorat Pendidikan Dasar dan Menengah</v>
      </c>
      <c r="J22" s="7" t="str">
        <f>IFERROR(__xludf.DUMMYFUNCTION("""COMPUTED_VALUE"""),"BPS")</f>
        <v>BPS</v>
      </c>
      <c r="K22" s="5" t="str">
        <f>IFERROR(__xludf.DUMMYFUNCTION("""COMPUTED_VALUE"""),"Kementerian Pendidikan Dasar dan Menengah")</f>
        <v>Kementerian Pendidikan Dasar dan Menengah</v>
      </c>
      <c r="L22" s="7" t="str">
        <f>IFERROR(__xludf.DUMMYFUNCTION("""COMPUTED_VALUE"""),"Tersedia s.d Kabupaten/Kota")</f>
        <v>Tersedia s.d Kabupaten/Kota</v>
      </c>
      <c r="M22" s="5" t="str">
        <f>IFERROR(__xludf.DUMMYFUNCTION("""COMPUTED_VALUE"""),"Dhiar Niken Larasati, SST, M.E.")</f>
        <v>Dhiar Niken Larasati, SST, M.E.</v>
      </c>
      <c r="N22" s="5"/>
      <c r="O22" s="8" t="str">
        <f>IFERROR(__xludf.DUMMYFUNCTION("""COMPUTED_VALUE"""),"(2005) https://sirusa.web.bps.go.id/metadata/indikator/1021")</f>
        <v>(2005) https://sirusa.web.bps.go.id/metadata/indikator/1021</v>
      </c>
      <c r="P22" s="7"/>
      <c r="Q22" s="5"/>
      <c r="R22" s="7"/>
      <c r="S22" s="33" t="str">
        <f>IFERROR(__xludf.DUMMYFUNCTION("""COMPUTED_VALUE"""),"https://www.bps.go.id/id/statistics-table/2/NDE1IzI=/-metode-baru-rata-rata-lama-sekolah.html")</f>
        <v>https://www.bps.go.id/id/statistics-table/2/NDE1IzI=/-metode-baru-rata-rata-lama-sekolah.html</v>
      </c>
      <c r="T22" s="7" t="str">
        <f>IFERROR(__xludf.DUMMYFUNCTION("""COMPUTED_VALUE"""),"Annual")</f>
        <v>Annual</v>
      </c>
      <c r="U22" s="7">
        <f>IFERROR(__xludf.DUMMYFUNCTION("""COMPUTED_VALUE"""),2025.0)</f>
        <v>2025</v>
      </c>
      <c r="V22" s="7"/>
      <c r="W22" s="7"/>
      <c r="X22" s="11">
        <f>IFERROR(__xludf.DUMMYFUNCTION("""COMPUTED_VALUE"""),9.41)</f>
        <v>9.41</v>
      </c>
      <c r="Y22" s="7"/>
      <c r="Z22" s="24"/>
      <c r="AA22" s="12" t="s">
        <v>30</v>
      </c>
      <c r="AB22" s="12" t="s">
        <v>17</v>
      </c>
      <c r="AC22" s="24" t="s">
        <v>23</v>
      </c>
      <c r="AD22" s="21" t="s">
        <v>11</v>
      </c>
      <c r="AE22" s="22">
        <v>2025.0</v>
      </c>
      <c r="AF22" s="23" t="s">
        <v>12</v>
      </c>
      <c r="AG22" s="27"/>
      <c r="AH22" s="5" t="s">
        <v>33</v>
      </c>
      <c r="AI22" s="24"/>
      <c r="AJ22" s="24"/>
      <c r="AK22" s="24"/>
      <c r="AL22" s="24"/>
      <c r="AM22" s="24"/>
      <c r="AN22" s="24"/>
    </row>
    <row r="23" ht="27.0" customHeight="1">
      <c r="A23" s="7" t="str">
        <f>IFERROR(__xludf.DUMMYFUNCTION("""COMPUTED_VALUE"""),"IUP")</f>
        <v>IUP</v>
      </c>
      <c r="B23" s="7" t="str">
        <f>IFERROR(__xludf.DUMMYFUNCTION("""COMPUTED_VALUE"""),"Transformasi Sosial")</f>
        <v>Transformasi Sosial</v>
      </c>
      <c r="C23" s="7" t="str">
        <f>IFERROR(__xludf.DUMMYFUNCTION("""COMPUTED_VALUE"""),"Pendidikan Berkualitas yang Merata")</f>
        <v>Pendidikan Berkualitas yang Merata</v>
      </c>
      <c r="D23" s="7" t="str">
        <f>IFERROR(__xludf.DUMMYFUNCTION("""COMPUTED_VALUE"""),"5.d")</f>
        <v>5.d</v>
      </c>
      <c r="E23" s="7" t="str">
        <f>IFERROR(__xludf.DUMMYFUNCTION("""COMPUTED_VALUE"""),"Hasil Pembelajaran: Harapan lama sekolah ")</f>
        <v>Hasil Pembelajaran: Harapan lama sekolah </v>
      </c>
      <c r="F23" s="7"/>
      <c r="G23" s="30" t="str">
        <f>IFERROR(__xludf.DUMMYFUNCTION("""COMPUTED_VALUE"""),"Dit. Statistik Kesejahteraan Rakyat")</f>
        <v>Dit. Statistik Kesejahteraan Rakyat</v>
      </c>
      <c r="H23" s="7" t="str">
        <f>IFERROR(__xludf.DUMMYFUNCTION("""COMPUTED_VALUE"""),"Dit. Agama, Pendidikan, dan Kebudayaan")</f>
        <v>Dit. Agama, Pendidikan, dan Kebudayaan</v>
      </c>
      <c r="I23" s="5" t="str">
        <f>IFERROR(__xludf.DUMMYFUNCTION("""COMPUTED_VALUE"""),"- Direktorat Agama, Kebudayaan, Pemuda dan Olahraga
- Direktorat Pendidikan Dasar dan Menengah")</f>
        <v>- Direktorat Agama, Kebudayaan, Pemuda dan Olahraga
- Direktorat Pendidikan Dasar dan Menengah</v>
      </c>
      <c r="J23" s="7" t="str">
        <f>IFERROR(__xludf.DUMMYFUNCTION("""COMPUTED_VALUE"""),"BPS")</f>
        <v>BPS</v>
      </c>
      <c r="K23" s="5" t="str">
        <f>IFERROR(__xludf.DUMMYFUNCTION("""COMPUTED_VALUE"""),"Kementerian Pendidikan, Kebudayaan, Riset dan Teknologi (perlu konfirmasi apakah Dikdasmen atau Dikti)")</f>
        <v>Kementerian Pendidikan, Kebudayaan, Riset dan Teknologi (perlu konfirmasi apakah Dikdasmen atau Dikti)</v>
      </c>
      <c r="L23" s="7" t="str">
        <f>IFERROR(__xludf.DUMMYFUNCTION("""COMPUTED_VALUE"""),"Tersedia s.d Kabupaten/Kota")</f>
        <v>Tersedia s.d Kabupaten/Kota</v>
      </c>
      <c r="M23" s="5" t="str">
        <f>IFERROR(__xludf.DUMMYFUNCTION("""COMPUTED_VALUE"""),"Dhiar Niken Larasati, SST, M.E.")</f>
        <v>Dhiar Niken Larasati, SST, M.E.</v>
      </c>
      <c r="N23" s="5"/>
      <c r="O23" s="8" t="str">
        <f>IFERROR(__xludf.DUMMYFUNCTION("""COMPUTED_VALUE"""),"2023) https://sirusa.web.bps.go.id/metadata/indikator/50575")</f>
        <v>2023) https://sirusa.web.bps.go.id/metadata/indikator/50575</v>
      </c>
      <c r="P23" s="7"/>
      <c r="Q23" s="5"/>
      <c r="R23" s="7"/>
      <c r="S23" s="7" t="str">
        <f>IFERROR(__xludf.DUMMYFUNCTION("""COMPUTED_VALUE"""),"IUP 5d Harapan Lama Sekolah - Metode Baru.csv")</f>
        <v>IUP 5d Harapan Lama Sekolah - Metode Baru.csv</v>
      </c>
      <c r="T23" s="7"/>
      <c r="U23" s="7"/>
      <c r="V23" s="7"/>
      <c r="W23" s="7"/>
      <c r="X23" s="11">
        <f>IFERROR(__xludf.DUMMYFUNCTION("""COMPUTED_VALUE"""),13.3)</f>
        <v>13.3</v>
      </c>
      <c r="Y23" s="7"/>
      <c r="Z23" s="24"/>
      <c r="AA23" s="12" t="s">
        <v>30</v>
      </c>
      <c r="AB23" s="12" t="s">
        <v>17</v>
      </c>
      <c r="AC23" s="17" t="s">
        <v>34</v>
      </c>
      <c r="AD23" s="21" t="s">
        <v>11</v>
      </c>
      <c r="AE23" s="22">
        <v>2025.0</v>
      </c>
      <c r="AF23" s="23" t="s">
        <v>12</v>
      </c>
      <c r="AG23" s="27"/>
      <c r="AH23" s="5" t="s">
        <v>33</v>
      </c>
      <c r="AI23" s="24"/>
      <c r="AJ23" s="24"/>
      <c r="AK23" s="24"/>
      <c r="AL23" s="24"/>
      <c r="AM23" s="24"/>
      <c r="AN23" s="24"/>
    </row>
    <row r="24" ht="27.0" customHeight="1">
      <c r="A24" s="7" t="str">
        <f>IFERROR(__xludf.DUMMYFUNCTION("""COMPUTED_VALUE"""),"IUP")</f>
        <v>IUP</v>
      </c>
      <c r="B24" s="7" t="str">
        <f>IFERROR(__xludf.DUMMYFUNCTION("""COMPUTED_VALUE"""),"Transformasi Sosial")</f>
        <v>Transformasi Sosial</v>
      </c>
      <c r="C24" s="7" t="str">
        <f>IFERROR(__xludf.DUMMYFUNCTION("""COMPUTED_VALUE"""),"Pendidikan Berkualitas yang Merata")</f>
        <v>Pendidikan Berkualitas yang Merata</v>
      </c>
      <c r="D24" s="7">
        <f>IFERROR(__xludf.DUMMYFUNCTION("""COMPUTED_VALUE"""),6.0)</f>
        <v>6</v>
      </c>
      <c r="E24" s="7" t="str">
        <f>IFERROR(__xludf.DUMMYFUNCTION("""COMPUTED_VALUE"""),"APK Pendidikan Tinggi  ")</f>
        <v>APK Pendidikan Tinggi  </v>
      </c>
      <c r="F24" s="7"/>
      <c r="G24" s="30" t="str">
        <f>IFERROR(__xludf.DUMMYFUNCTION("""COMPUTED_VALUE"""),"Dit. Statistik Kesejahteraan Rakyat")</f>
        <v>Dit. Statistik Kesejahteraan Rakyat</v>
      </c>
      <c r="H24" s="7" t="str">
        <f>IFERROR(__xludf.DUMMYFUNCTION("""COMPUTED_VALUE"""),"Dit. Pendidikan Tinggi dan IPTEK")</f>
        <v>Dit. Pendidikan Tinggi dan IPTEK</v>
      </c>
      <c r="I24" s="5" t="str">
        <f>IFERROR(__xludf.DUMMYFUNCTION("""COMPUTED_VALUE"""),"Direktorat Pendidikan Tinggi, Ilmu Pengetahuan, dan Teknologi")</f>
        <v>Direktorat Pendidikan Tinggi, Ilmu Pengetahuan, dan Teknologi</v>
      </c>
      <c r="J24" s="7" t="str">
        <f>IFERROR(__xludf.DUMMYFUNCTION("""COMPUTED_VALUE"""),"BPS")</f>
        <v>BPS</v>
      </c>
      <c r="K24" s="5" t="str">
        <f>IFERROR(__xludf.DUMMYFUNCTION("""COMPUTED_VALUE"""),"Kementerian Pendidikan Tinggi")</f>
        <v>Kementerian Pendidikan Tinggi</v>
      </c>
      <c r="L24" s="7" t="str">
        <f>IFERROR(__xludf.DUMMYFUNCTION("""COMPUTED_VALUE"""),"Tersedia s.d Provinsi")</f>
        <v>Tersedia s.d Provinsi</v>
      </c>
      <c r="M24" s="5" t="str">
        <f>IFERROR(__xludf.DUMMYFUNCTION("""COMPUTED_VALUE"""),"Dhiar Niken Larasati, SST, M.E.")</f>
        <v>Dhiar Niken Larasati, SST, M.E.</v>
      </c>
      <c r="N24" s="5"/>
      <c r="O24" s="8" t="str">
        <f>IFERROR(__xludf.DUMMYFUNCTION("""COMPUTED_VALUE"""),"(2023) https://sirusa.web.bps.go.id/metadata/indikator/48466")</f>
        <v>(2023) https://sirusa.web.bps.go.id/metadata/indikator/48466</v>
      </c>
      <c r="P24" s="7"/>
      <c r="Q24" s="5"/>
      <c r="R24" s="7" t="str">
        <f>IFERROR(__xludf.DUMMYFUNCTION("""COMPUTED_VALUE"""),"APK Perguruan Tinggi")</f>
        <v>APK Perguruan Tinggi</v>
      </c>
      <c r="S24" s="33" t="str">
        <f>IFERROR(__xludf.DUMMYFUNCTION("""COMPUTED_VALUE"""),"https://www.bps.go.id/id/statistics-table/2/MTQ0MyMy/angka-partisipasi-kasar-apk-perguruan-tinggi-pt-menurut-provinsi.html")</f>
        <v>https://www.bps.go.id/id/statistics-table/2/MTQ0MyMy/angka-partisipasi-kasar-apk-perguruan-tinggi-pt-menurut-provinsi.html</v>
      </c>
      <c r="T24" s="7"/>
      <c r="U24" s="7"/>
      <c r="V24" s="7" t="str">
        <f>IFERROR(__xludf.DUMMYFUNCTION("""COMPUTED_VALUE"""),"4.3.1.(b)")</f>
        <v>4.3.1.(b)</v>
      </c>
      <c r="W24" s="7"/>
      <c r="X24" s="11">
        <f>IFERROR(__xludf.DUMMYFUNCTION("""COMPUTED_VALUE"""),32.89)</f>
        <v>32.89</v>
      </c>
      <c r="Y24" s="7"/>
      <c r="Z24" s="24"/>
      <c r="AA24" s="12" t="s">
        <v>30</v>
      </c>
      <c r="AB24" s="12" t="s">
        <v>17</v>
      </c>
      <c r="AC24" s="17" t="s">
        <v>34</v>
      </c>
      <c r="AD24" s="21" t="s">
        <v>11</v>
      </c>
      <c r="AE24" s="22">
        <v>2025.0</v>
      </c>
      <c r="AF24" s="23" t="s">
        <v>12</v>
      </c>
      <c r="AG24" s="21" t="s">
        <v>48</v>
      </c>
      <c r="AH24" s="5" t="s">
        <v>49</v>
      </c>
      <c r="AI24" s="24"/>
      <c r="AJ24" s="24"/>
      <c r="AK24" s="24"/>
      <c r="AL24" s="24"/>
      <c r="AM24" s="24"/>
      <c r="AN24" s="24"/>
    </row>
    <row r="25" ht="27.0" customHeight="1">
      <c r="A25" s="7" t="str">
        <f>IFERROR(__xludf.DUMMYFUNCTION("""COMPUTED_VALUE"""),"IUP")</f>
        <v>IUP</v>
      </c>
      <c r="B25" s="7" t="str">
        <f>IFERROR(__xludf.DUMMYFUNCTION("""COMPUTED_VALUE"""),"Transformasi Sosial")</f>
        <v>Transformasi Sosial</v>
      </c>
      <c r="C25" s="7" t="str">
        <f>IFERROR(__xludf.DUMMYFUNCTION("""COMPUTED_VALUE"""),"Pendidikan Berkualitas yang Merata")</f>
        <v>Pendidikan Berkualitas yang Merata</v>
      </c>
      <c r="D25" s="7">
        <f>IFERROR(__xludf.DUMMYFUNCTION("""COMPUTED_VALUE"""),7.0)</f>
        <v>7</v>
      </c>
      <c r="E25" s="7" t="str">
        <f>IFERROR(__xludf.DUMMYFUNCTION("""COMPUTED_VALUE"""),"Persentase pekerja lulusan pendidikan menengah dan tinggi yang bekerja di bidang keahlian menengah tinggi  ")</f>
        <v>Persentase pekerja lulusan pendidikan menengah dan tinggi yang bekerja di bidang keahlian menengah tinggi  </v>
      </c>
      <c r="F25" s="7"/>
      <c r="G25" s="30" t="str">
        <f>IFERROR(__xludf.DUMMYFUNCTION("""COMPUTED_VALUE"""),"Dit. Statistik Kependudukan dan Ketenagakerjaan")</f>
        <v>Dit. Statistik Kependudukan dan Ketenagakerjaan</v>
      </c>
      <c r="H25" s="7" t="str">
        <f>IFERROR(__xludf.DUMMYFUNCTION("""COMPUTED_VALUE"""),"Dit. Pendidikan Tinggi dan IPTEK")</f>
        <v>Dit. Pendidikan Tinggi dan IPTEK</v>
      </c>
      <c r="I25" s="5" t="str">
        <f>IFERROR(__xludf.DUMMYFUNCTION("""COMPUTED_VALUE"""),"Direktorat Pendidikan Tinggi, Ilmu Pengetahuan, dan Teknologi")</f>
        <v>Direktorat Pendidikan Tinggi, Ilmu Pengetahuan, dan Teknologi</v>
      </c>
      <c r="J25" s="7" t="str">
        <f>IFERROR(__xludf.DUMMYFUNCTION("""COMPUTED_VALUE"""),"BPS")</f>
        <v>BPS</v>
      </c>
      <c r="K25" s="5" t="str">
        <f>IFERROR(__xludf.DUMMYFUNCTION("""COMPUTED_VALUE"""),"Kementerian Pendidikan, Kebudayaan, Riset dan Teknologi (perlu konfirmasi apakah Dikdasmen atau Dikti)")</f>
        <v>Kementerian Pendidikan, Kebudayaan, Riset dan Teknologi (perlu konfirmasi apakah Dikdasmen atau Dikti)</v>
      </c>
      <c r="L25" s="7" t="str">
        <f>IFERROR(__xludf.DUMMYFUNCTION("""COMPUTED_VALUE"""),"Tersedia Nasional")</f>
        <v>Tersedia Nasional</v>
      </c>
      <c r="M25" s="5" t="str">
        <f>IFERROR(__xludf.DUMMYFUNCTION("""COMPUTED_VALUE"""),"Alfatihah Reno Maulani")</f>
        <v>Alfatihah Reno Maulani</v>
      </c>
      <c r="N25" s="5" t="str">
        <f>IFERROR(__xludf.DUMMYFUNCTION("""COMPUTED_VALUE"""),"Tingkat pengangguran berdasarkan tingkat pendidikan")</f>
        <v>Tingkat pengangguran berdasarkan tingkat pendidikan</v>
      </c>
      <c r="O25" s="5"/>
      <c r="P25" s="9" t="str">
        <f>IFERROR(__xludf.DUMMYFUNCTION("""COMPUTED_VALUE"""),"atudata.kemnaker.go.id/satudata-public/2025/04/files/publikasi/1765197145548_Laporan%2520APK%2520per%2520101125%2520ttd%2520Dirjen.pdf")</f>
        <v>atudata.kemnaker.go.id/satudata-public/2025/04/files/publikasi/1765197145548_Laporan%2520APK%2520per%2520101125%2520ttd%2520Dirjen.pdf</v>
      </c>
      <c r="Q25" s="5"/>
      <c r="R25" s="7"/>
      <c r="S25" s="9" t="str">
        <f>IFERROR(__xludf.DUMMYFUNCTION("""COMPUTED_VALUE"""),"https://www.bps.go.id/id/statistics-table/2/MTE3OSMy/tingkat-pengangguran-terbuka-berdasarkan-tingkat-pendidikan.html")</f>
        <v>https://www.bps.go.id/id/statistics-table/2/MTE3OSMy/tingkat-pengangguran-terbuka-berdasarkan-tingkat-pendidikan.html</v>
      </c>
      <c r="T25" s="7"/>
      <c r="U25" s="7"/>
      <c r="V25" s="7"/>
      <c r="W25" s="7"/>
      <c r="X25" s="11">
        <f>IFERROR(__xludf.DUMMYFUNCTION("""COMPUTED_VALUE"""),66.5)</f>
        <v>66.5</v>
      </c>
      <c r="Y25" s="7"/>
      <c r="Z25" s="24"/>
      <c r="AA25" s="12" t="s">
        <v>38</v>
      </c>
      <c r="AB25" s="12" t="s">
        <v>17</v>
      </c>
      <c r="AC25" s="17" t="s">
        <v>34</v>
      </c>
      <c r="AD25" s="21" t="s">
        <v>11</v>
      </c>
      <c r="AE25" s="28" t="s">
        <v>18</v>
      </c>
      <c r="AF25" s="23" t="s">
        <v>12</v>
      </c>
      <c r="AG25" s="27"/>
      <c r="AH25" s="5" t="s">
        <v>33</v>
      </c>
      <c r="AI25" s="24"/>
      <c r="AJ25" s="24"/>
      <c r="AK25" s="24"/>
      <c r="AL25" s="24"/>
      <c r="AM25" s="24"/>
      <c r="AN25" s="24"/>
    </row>
    <row r="26" ht="27.0" customHeight="1">
      <c r="A26" s="7" t="str">
        <f>IFERROR(__xludf.DUMMYFUNCTION("""COMPUTED_VALUE"""),"IUP")</f>
        <v>IUP</v>
      </c>
      <c r="B26" s="7" t="str">
        <f>IFERROR(__xludf.DUMMYFUNCTION("""COMPUTED_VALUE"""),"Transformasi Sosial")</f>
        <v>Transformasi Sosial</v>
      </c>
      <c r="C26" s="7" t="str">
        <f>IFERROR(__xludf.DUMMYFUNCTION("""COMPUTED_VALUE"""),"Perlindungan Sosial yang Adaptif")</f>
        <v>Perlindungan Sosial yang Adaptif</v>
      </c>
      <c r="D26" s="7">
        <f>IFERROR(__xludf.DUMMYFUNCTION("""COMPUTED_VALUE"""),8.0)</f>
        <v>8</v>
      </c>
      <c r="E26" s="7" t="str">
        <f>IFERROR(__xludf.DUMMYFUNCTION("""COMPUTED_VALUE"""),"Tingkat Kemiskinan  ")</f>
        <v>Tingkat Kemiskinan  </v>
      </c>
      <c r="F26" s="7"/>
      <c r="G26" s="30" t="str">
        <f>IFERROR(__xludf.DUMMYFUNCTION("""COMPUTED_VALUE"""),"Dit. Statistik Ketahanan Sosial")</f>
        <v>Dit. Statistik Ketahanan Sosial</v>
      </c>
      <c r="H26" s="7" t="str">
        <f>IFERROR(__xludf.DUMMYFUNCTION("""COMPUTED_VALUE"""),"Dit. Penanggulangan Kemiskinan dan Pemberdayaan Masyarakat")</f>
        <v>Dit. Penanggulangan Kemiskinan dan Pemberdayaan Masyarakat</v>
      </c>
      <c r="I26" s="5" t="str">
        <f>IFERROR(__xludf.DUMMYFUNCTION("""COMPUTED_VALUE"""),"- Direktorat Penanggulangan Kemiskinan dan Kesejahteraan Sosial
- Direktorat Kemandirian Sosial dan Ekonomi")</f>
        <v>- Direktorat Penanggulangan Kemiskinan dan Kesejahteraan Sosial
- Direktorat Kemandirian Sosial dan Ekonomi</v>
      </c>
      <c r="J26" s="7" t="str">
        <f>IFERROR(__xludf.DUMMYFUNCTION("""COMPUTED_VALUE"""),"BPS")</f>
        <v>BPS</v>
      </c>
      <c r="K26" s="5" t="str">
        <f>IFERROR(__xludf.DUMMYFUNCTION("""COMPUTED_VALUE"""),"Multisektoral (27 K/L; Inpres No. 4 Tahun 2022)")</f>
        <v>Multisektoral (27 K/L; Inpres No. 4 Tahun 2022)</v>
      </c>
      <c r="L26" s="34" t="str">
        <f>IFERROR(__xludf.DUMMYFUNCTION("""COMPUTED_VALUE"""),"Tersedia s.d Kabupaten/Kota")</f>
        <v>Tersedia s.d Kabupaten/Kota</v>
      </c>
      <c r="M26" s="18" t="str">
        <f>IFERROR(__xludf.DUMMYFUNCTION("""COMPUTED_VALUE"""),"Mohammad Ammar Alwandi, S.Tr.Stat.")</f>
        <v>Mohammad Ammar Alwandi, S.Tr.Stat.</v>
      </c>
      <c r="N26" s="18" t="str">
        <f>IFERROR(__xludf.DUMMYFUNCTION("""COMPUTED_VALUE"""),"Juga termasuk ISV")</f>
        <v>Juga termasuk ISV</v>
      </c>
      <c r="O26" s="18" t="str">
        <f>IFERROR(__xludf.DUMMYFUNCTION("""COMPUTED_VALUE"""),"Nasional : https://sirusa.web.bps.go.id/metadata/indikator/46113
(2013) https://sirusa.web.bps.go.id/metadata/indikator/118
Madiun (2025) https://sirusa.web.bps.go.id/metadata/indikator/86277
Lampung (2024) https://sirusa.web.bps.go.id/metadata/indikator"&amp;"/48140
Kab. Sambas (2024) https://sirusa.web.bps.go.id/metadata/indikator/46219
Kab. Sidenreng Rappang (2024 2023) https://sirusa.web.bps.go.id/metadata/indikator/56001")</f>
        <v>Nasional : https://sirusa.web.bps.go.id/metadata/indikator/46113
(2013) https://sirusa.web.bps.go.id/metadata/indikator/118
Madiun (2025) https://sirusa.web.bps.go.id/metadata/indikator/86277
Lampung (2024) https://sirusa.web.bps.go.id/metadata/indikator/48140
Kab. Sambas (2024) https://sirusa.web.bps.go.id/metadata/indikator/46219
Kab. Sidenreng Rappang (2024 2023) https://sirusa.web.bps.go.id/metadata/indikator/56001</v>
      </c>
      <c r="P26" s="7"/>
      <c r="Q26" s="5"/>
      <c r="R26" s="7" t="str">
        <f>IFERROR(__xludf.DUMMYFUNCTION("""COMPUTED_VALUE"""),"Persentase Penduduk yang Hidup di Bawah Garis Kemiskinan Nasional")</f>
        <v>Persentase Penduduk yang Hidup di Bawah Garis Kemiskinan Nasional</v>
      </c>
      <c r="S26" s="9" t="str">
        <f>IFERROR(__xludf.DUMMYFUNCTION("""COMPUTED_VALUE"""),"https://docs.google.com/spreadsheets/d/1iLxf9omlEdU-HVozKx9CrMzIkB0QLdWe/edit?usp=sharing&amp;ouid=116167848821916757688&amp;rtpof=true&amp;sd=true")</f>
        <v>https://docs.google.com/spreadsheets/d/1iLxf9omlEdU-HVozKx9CrMzIkB0QLdWe/edit?usp=sharing&amp;ouid=116167848821916757688&amp;rtpof=true&amp;sd=true</v>
      </c>
      <c r="T26" s="7"/>
      <c r="U26" s="7"/>
      <c r="V26" s="7" t="str">
        <f>IFERROR(__xludf.DUMMYFUNCTION("""COMPUTED_VALUE"""),"1.2.1* Persentase penduduk yang hidup di bawah garis kemiskinan nasional, menurut jenis kelamin dan kelompok umur")</f>
        <v>1.2.1* Persentase penduduk yang hidup di bawah garis kemiskinan nasional, menurut jenis kelamin dan kelompok umur</v>
      </c>
      <c r="W26" s="7"/>
      <c r="X26" s="11" t="str">
        <f>IFERROR(__xludf.DUMMYFUNCTION("""COMPUTED_VALUE"""),"8.47 Semester 1
8.25 Semester 2")</f>
        <v>8.47 Semester 1
8.25 Semester 2</v>
      </c>
      <c r="Y26" s="7"/>
      <c r="Z26" s="24"/>
      <c r="AA26" s="12" t="s">
        <v>22</v>
      </c>
      <c r="AB26" s="12" t="s">
        <v>17</v>
      </c>
      <c r="AC26" s="17" t="s">
        <v>34</v>
      </c>
      <c r="AD26" s="21" t="s">
        <v>24</v>
      </c>
      <c r="AE26" s="22">
        <v>2025.0</v>
      </c>
      <c r="AF26" s="23" t="s">
        <v>12</v>
      </c>
      <c r="AG26" s="27"/>
      <c r="AH26" s="5" t="s">
        <v>50</v>
      </c>
      <c r="AI26" s="24"/>
      <c r="AJ26" s="24"/>
      <c r="AK26" s="24"/>
      <c r="AL26" s="24"/>
      <c r="AM26" s="24"/>
      <c r="AN26" s="24"/>
    </row>
    <row r="27" ht="27.0" customHeight="1">
      <c r="A27" s="7" t="str">
        <f>IFERROR(__xludf.DUMMYFUNCTION("""COMPUTED_VALUE"""),"IUP")</f>
        <v>IUP</v>
      </c>
      <c r="B27" s="7" t="str">
        <f>IFERROR(__xludf.DUMMYFUNCTION("""COMPUTED_VALUE"""),"Transformasi Sosial")</f>
        <v>Transformasi Sosial</v>
      </c>
      <c r="C27" s="7" t="str">
        <f>IFERROR(__xludf.DUMMYFUNCTION("""COMPUTED_VALUE"""),"Perlindungan Sosial yang Adaptif")</f>
        <v>Perlindungan Sosial yang Adaptif</v>
      </c>
      <c r="D27" s="7">
        <f>IFERROR(__xludf.DUMMYFUNCTION("""COMPUTED_VALUE"""),9.0)</f>
        <v>9</v>
      </c>
      <c r="E27" s="7" t="str">
        <f>IFERROR(__xludf.DUMMYFUNCTION("""COMPUTED_VALUE"""),"Cakupan kepesertaan jaminan sosial ketenagakerjaan  ")</f>
        <v>Cakupan kepesertaan jaminan sosial ketenagakerjaan  </v>
      </c>
      <c r="F27" s="7"/>
      <c r="G27" s="30" t="str">
        <f>IFERROR(__xludf.DUMMYFUNCTION("""COMPUTED_VALUE"""),"Dit. Statistik Kependudukan dan Ketenagakerjaan")</f>
        <v>Dit. Statistik Kependudukan dan Ketenagakerjaan</v>
      </c>
      <c r="H27" s="7" t="str">
        <f>IFERROR(__xludf.DUMMYFUNCTION("""COMPUTED_VALUE"""),"Dit. Kependudukan dan Jaminan Sosial")</f>
        <v>Dit. Kependudukan dan Jaminan Sosial</v>
      </c>
      <c r="I27" s="5" t="str">
        <f>IFERROR(__xludf.DUMMYFUNCTION("""COMPUTED_VALUE"""),"Direktorat Kependudukan dan Jaminan Sosial")</f>
        <v>Direktorat Kependudukan dan Jaminan Sosial</v>
      </c>
      <c r="J27" s="7" t="str">
        <f>IFERROR(__xludf.DUMMYFUNCTION("""COMPUTED_VALUE"""),"Dit. Kependudukan dan Jaminan Sosial, Bappenas")</f>
        <v>Dit. Kependudukan dan Jaminan Sosial, Bappenas</v>
      </c>
      <c r="K27" s="5" t="str">
        <f>IFERROR(__xludf.DUMMYFUNCTION("""COMPUTED_VALUE"""),"Kementerian Koordinator Bidang Ketenagakerjaan")</f>
        <v>Kementerian Koordinator Bidang Ketenagakerjaan</v>
      </c>
      <c r="L27" s="7" t="str">
        <f>IFERROR(__xludf.DUMMYFUNCTION("""COMPUTED_VALUE"""),"Tersedia s.d Provinsi")</f>
        <v>Tersedia s.d Provinsi</v>
      </c>
      <c r="M27" s="5" t="str">
        <f>IFERROR(__xludf.DUMMYFUNCTION("""COMPUTED_VALUE"""),"Alfatihah Reno Maulani")</f>
        <v>Alfatihah Reno Maulani</v>
      </c>
      <c r="N27" s="5" t="str">
        <f>IFERROR(__xludf.DUMMYFUNCTION("""COMPUTED_VALUE"""),"Jumlah Kepersetaan BPJS Ketenagakerjaan dari BPJS TK.
Jumlah Penduduk Bekerja tepatnya dari Sakernas bukan Susenas seperti yang tertuang di Metadata Bappenas.")</f>
        <v>Jumlah Kepersetaan BPJS Ketenagakerjaan dari BPJS TK.
Jumlah Penduduk Bekerja tepatnya dari Sakernas bukan Susenas seperti yang tertuang di Metadata Bappenas.</v>
      </c>
      <c r="O27" s="8" t="str">
        <f>IFERROR(__xludf.DUMMYFUNCTION("""COMPUTED_VALUE"""),"Metadata Nomor 9 https://drive.google.com/drive/folders/1bL0VYlLQayyiyu9GsR1cYf6pBZSRb_IE dengan koreksi jumlah penduduk bekerja didapat dari Sakernas tepatnya")</f>
        <v>Metadata Nomor 9 https://drive.google.com/drive/folders/1bL0VYlLQayyiyu9GsR1cYf6pBZSRb_IE dengan koreksi jumlah penduduk bekerja didapat dari Sakernas tepatnya</v>
      </c>
      <c r="P27" s="9" t="str">
        <f>IFERROR(__xludf.DUMMYFUNCTION("""COMPUTED_VALUE"""),"Data Kepersetaan BPJS TK Per Provinsi https://satudata.kemnaker.go.id/data/kumpulan-data/1151")</f>
        <v>Data Kepersetaan BPJS TK Per Provinsi https://satudata.kemnaker.go.id/data/kumpulan-data/1151</v>
      </c>
      <c r="Q27" s="5"/>
      <c r="R27" s="7"/>
      <c r="S27" s="7"/>
      <c r="T27" s="7"/>
      <c r="U27" s="7"/>
      <c r="V27" s="7"/>
      <c r="W27" s="7"/>
      <c r="X27" s="11" t="str">
        <f>IFERROR(__xludf.DUMMYFUNCTION("""COMPUTED_VALUE"""),"Untuk tahun 2025 sedang dalam proses diskusi dan peghitungan oleh Kemnaker dan BPS, Bappenas, BPJS Ketanagkerjaan ")</f>
        <v>Untuk tahun 2025 sedang dalam proses diskusi dan peghitungan oleh Kemnaker dan BPS, Bappenas, BPJS Ketanagkerjaan </v>
      </c>
      <c r="Y27" s="7"/>
      <c r="Z27" s="24"/>
      <c r="AA27" s="12" t="s">
        <v>38</v>
      </c>
      <c r="AB27" s="12" t="s">
        <v>17</v>
      </c>
      <c r="AC27" s="17" t="s">
        <v>34</v>
      </c>
      <c r="AD27" s="21" t="s">
        <v>11</v>
      </c>
      <c r="AE27" s="22">
        <v>2024.0</v>
      </c>
      <c r="AF27" s="23" t="s">
        <v>12</v>
      </c>
      <c r="AG27" s="27"/>
      <c r="AH27" s="5" t="s">
        <v>33</v>
      </c>
      <c r="AI27" s="24"/>
      <c r="AJ27" s="24"/>
      <c r="AK27" s="24"/>
      <c r="AL27" s="24"/>
      <c r="AM27" s="24"/>
      <c r="AN27" s="24"/>
    </row>
    <row r="28" ht="27.0" customHeight="1">
      <c r="A28" s="7" t="str">
        <f>IFERROR(__xludf.DUMMYFUNCTION("""COMPUTED_VALUE"""),"IUP")</f>
        <v>IUP</v>
      </c>
      <c r="B28" s="7" t="str">
        <f>IFERROR(__xludf.DUMMYFUNCTION("""COMPUTED_VALUE"""),"Transformasi Sosial")</f>
        <v>Transformasi Sosial</v>
      </c>
      <c r="C28" s="7" t="str">
        <f>IFERROR(__xludf.DUMMYFUNCTION("""COMPUTED_VALUE"""),"Perlindungan Sosial yang Adaptif")</f>
        <v>Perlindungan Sosial yang Adaptif</v>
      </c>
      <c r="D28" s="7">
        <f>IFERROR(__xludf.DUMMYFUNCTION("""COMPUTED_VALUE"""),10.0)</f>
        <v>10</v>
      </c>
      <c r="E28" s="7" t="str">
        <f>IFERROR(__xludf.DUMMYFUNCTION("""COMPUTED_VALUE"""),"Persentase penyandang disabilitas bekerja di sektor formal (%)  ")</f>
        <v>Persentase penyandang disabilitas bekerja di sektor formal (%)  </v>
      </c>
      <c r="F28" s="7"/>
      <c r="G28" s="30" t="str">
        <f>IFERROR(__xludf.DUMMYFUNCTION("""COMPUTED_VALUE"""),"Dit. Statistik Kependudukan dan Ketenagakerjaan")</f>
        <v>Dit. Statistik Kependudukan dan Ketenagakerjaan</v>
      </c>
      <c r="H28" s="7" t="str">
        <f>IFERROR(__xludf.DUMMYFUNCTION("""COMPUTED_VALUE"""),"Dit. Penanggulangan Kemiskinan dan Pemberdayaan Masyarakat")</f>
        <v>Dit. Penanggulangan Kemiskinan dan Pemberdayaan Masyarakat</v>
      </c>
      <c r="I28" s="5" t="str">
        <f>IFERROR(__xludf.DUMMYFUNCTION("""COMPUTED_VALUE"""),"- Direktorat Penanggulangan Kemiskinan dan Kesejahteraan Sosial
- Direktorat Kemandirian Sosial dan Ekonomi")</f>
        <v>- Direktorat Penanggulangan Kemiskinan dan Kesejahteraan Sosial
- Direktorat Kemandirian Sosial dan Ekonomi</v>
      </c>
      <c r="J28" s="7" t="str">
        <f>IFERROR(__xludf.DUMMYFUNCTION("""COMPUTED_VALUE"""),"BPS")</f>
        <v>BPS</v>
      </c>
      <c r="K28" s="5" t="str">
        <f>IFERROR(__xludf.DUMMYFUNCTION("""COMPUTED_VALUE"""),"Kementerian Ketenagakerjaan")</f>
        <v>Kementerian Ketenagakerjaan</v>
      </c>
      <c r="L28" s="7" t="str">
        <f>IFERROR(__xludf.DUMMYFUNCTION("""COMPUTED_VALUE"""),"Tersedia Nasional")</f>
        <v>Tersedia Nasional</v>
      </c>
      <c r="M28" s="5" t="str">
        <f>IFERROR(__xludf.DUMMYFUNCTION("""COMPUTED_VALUE"""),"Alfatihah Reno Maulani")</f>
        <v>Alfatihah Reno Maulani</v>
      </c>
      <c r="N28" s="5" t="str">
        <f>IFERROR(__xludf.DUMMYFUNCTION("""COMPUTED_VALUE"""),"Data ada pada hasil longform sensus penduduk 2020, tapi disabilitasnya dibedakan menjadi tipe 1 dan tipe 3")</f>
        <v>Data ada pada hasil longform sensus penduduk 2020, tapi disabilitasnya dibedakan menjadi tipe 1 dan tipe 3</v>
      </c>
      <c r="O28" s="5"/>
      <c r="P28" s="9" t="str">
        <f>IFERROR(__xludf.DUMMYFUNCTION("""COMPUTED_VALUE"""),"https://www.bps.go.id/id/publication/2024/12/20/43880dc0f8be5ab92199f8b9/potret-penyandang-disabilitas-di-indonesia--hasil-long-form-sp2020.html")</f>
        <v>https://www.bps.go.id/id/publication/2024/12/20/43880dc0f8be5ab92199f8b9/potret-penyandang-disabilitas-di-indonesia--hasil-long-form-sp2020.html</v>
      </c>
      <c r="Q28" s="5"/>
      <c r="R28" s="7"/>
      <c r="S28" s="7"/>
      <c r="T28" s="7"/>
      <c r="U28" s="7"/>
      <c r="V28" s="7" t="str">
        <f>IFERROR(__xludf.DUMMYFUNCTION("""COMPUTED_VALUE"""),"-")</f>
        <v>-</v>
      </c>
      <c r="W28" s="7"/>
      <c r="X28" s="11">
        <f>IFERROR(__xludf.DUMMYFUNCTION("""COMPUTED_VALUE"""),9.72)</f>
        <v>9.72</v>
      </c>
      <c r="Y28" s="7"/>
      <c r="Z28" s="24"/>
      <c r="AA28" s="12" t="s">
        <v>38</v>
      </c>
      <c r="AB28" s="12" t="s">
        <v>17</v>
      </c>
      <c r="AC28" s="17" t="s">
        <v>34</v>
      </c>
      <c r="AD28" s="21" t="s">
        <v>11</v>
      </c>
      <c r="AE28" s="28" t="s">
        <v>18</v>
      </c>
      <c r="AF28" s="25" t="s">
        <v>18</v>
      </c>
      <c r="AG28" s="27"/>
      <c r="AH28" s="5" t="s">
        <v>33</v>
      </c>
      <c r="AI28" s="24"/>
      <c r="AJ28" s="24"/>
      <c r="AK28" s="24"/>
      <c r="AL28" s="24"/>
      <c r="AM28" s="24"/>
      <c r="AN28" s="24"/>
    </row>
    <row r="29" ht="27.0" customHeight="1">
      <c r="A29" s="7" t="str">
        <f>IFERROR(__xludf.DUMMYFUNCTION("""COMPUTED_VALUE"""),"IUP")</f>
        <v>IUP</v>
      </c>
      <c r="B29" s="7" t="str">
        <f>IFERROR(__xludf.DUMMYFUNCTION("""COMPUTED_VALUE"""),"Transformasi Ekonomi")</f>
        <v>Transformasi Ekonomi</v>
      </c>
      <c r="C29" s="7" t="str">
        <f>IFERROR(__xludf.DUMMYFUNCTION("""COMPUTED_VALUE"""),"lptek, lnovasi, dan Produktivitas Ekonomi")</f>
        <v>lptek, lnovasi, dan Produktivitas Ekonomi</v>
      </c>
      <c r="D29" s="7" t="str">
        <f>IFERROR(__xludf.DUMMYFUNCTION("""COMPUTED_VALUE"""),"11.a")</f>
        <v>11.a</v>
      </c>
      <c r="E29" s="7" t="str">
        <f>IFERROR(__xludf.DUMMYFUNCTION("""COMPUTED_VALUE"""),"Produktivitas Industri dan Pertanian: Rasio PDB Industri Pengolahan (%) ")</f>
        <v>Produktivitas Industri dan Pertanian: Rasio PDB Industri Pengolahan (%) </v>
      </c>
      <c r="F29" s="7"/>
      <c r="G29" s="30" t="str">
        <f>IFERROR(__xludf.DUMMYFUNCTION("""COMPUTED_VALUE"""),"Dit. Neraca Produksi")</f>
        <v>Dit. Neraca Produksi</v>
      </c>
      <c r="H29" s="7" t="str">
        <f>IFERROR(__xludf.DUMMYFUNCTION("""COMPUTED_VALUE"""),"Dit. Industri, Pariwisata dan Ekonomi Kreatif")</f>
        <v>Dit. Industri, Pariwisata dan Ekonomi Kreatif</v>
      </c>
      <c r="I29" s="5" t="str">
        <f>IFERROR(__xludf.DUMMYFUNCTION("""COMPUTED_VALUE"""),"- Direktorat Pariwisata, Ekonomi Kreatif, dan Ekonomi Digital
- Direktorat Industri, Perdagangan, dan Peningkatan Investasi")</f>
        <v>- Direktorat Pariwisata, Ekonomi Kreatif, dan Ekonomi Digital
- Direktorat Industri, Perdagangan, dan Peningkatan Investasi</v>
      </c>
      <c r="J29" s="7" t="str">
        <f>IFERROR(__xludf.DUMMYFUNCTION("""COMPUTED_VALUE"""),"BPS")</f>
        <v>BPS</v>
      </c>
      <c r="K29" s="5" t="str">
        <f>IFERROR(__xludf.DUMMYFUNCTION("""COMPUTED_VALUE"""),"Kementerian Perindustrian")</f>
        <v>Kementerian Perindustrian</v>
      </c>
      <c r="L29" s="7" t="str">
        <f>IFERROR(__xludf.DUMMYFUNCTION("""COMPUTED_VALUE"""),"Tersedia s.d Kabupaten/Kota")</f>
        <v>Tersedia s.d Kabupaten/Kota</v>
      </c>
      <c r="M29" s="8" t="str">
        <f>IFERROR(__xludf.DUMMYFUNCTION("""COMPUTED_VALUE"""),"Ety Kurniati, S.ST")</f>
        <v>Ety Kurniati, S.ST</v>
      </c>
      <c r="N29" s="5"/>
      <c r="O29" s="5"/>
      <c r="P29" s="7"/>
      <c r="Q29" s="5"/>
      <c r="R29" s="7"/>
      <c r="S29" s="9" t="str">
        <f>IFERROR(__xludf.DUMMYFUNCTION("""COMPUTED_VALUE"""),"https://www.bps.go.id/id/statistics-table/3/UzFSTVVXUlliME5XYzBZNUwwNVFRa3h6Y1d3M1p6MDkjMw==/produk-domestik-bruto-atas-dasar-harga-berlaku-menurut-lapangan-usaha--miliar-rupiah---2023.html?year=2024")</f>
        <v>https://www.bps.go.id/id/statistics-table/3/UzFSTVVXUlliME5XYzBZNUwwNVFRa3h6Y1d3M1p6MDkjMw==/produk-domestik-bruto-atas-dasar-harga-berlaku-menurut-lapangan-usaha--miliar-rupiah---2023.html?year=2024</v>
      </c>
      <c r="T29" s="7" t="str">
        <f>IFERROR(__xludf.DUMMYFUNCTION("""COMPUTED_VALUE"""),"Annual")</f>
        <v>Annual</v>
      </c>
      <c r="U29" s="7" t="str">
        <f>IFERROR(__xludf.DUMMYFUNCTION("""COMPUTED_VALUE"""),"2025 (data 2024)")</f>
        <v>2025 (data 2024)</v>
      </c>
      <c r="V29" s="7"/>
      <c r="W29" s="7"/>
      <c r="X29" s="7" t="str">
        <f>IFERROR(__xludf.DUMMYFUNCTION("""COMPUTED_VALUE"""),"mengikuti rilis PDB rutin --&gt; perlu minta update")</f>
        <v>mengikuti rilis PDB rutin --&gt; perlu minta update</v>
      </c>
      <c r="Y29" s="7"/>
      <c r="Z29" s="24"/>
      <c r="AA29" s="12" t="s">
        <v>15</v>
      </c>
      <c r="AB29" s="12" t="s">
        <v>9</v>
      </c>
      <c r="AC29" s="13" t="s">
        <v>10</v>
      </c>
      <c r="AD29" s="21" t="s">
        <v>11</v>
      </c>
      <c r="AE29" s="22">
        <v>2025.0</v>
      </c>
      <c r="AF29" s="23" t="s">
        <v>12</v>
      </c>
      <c r="AG29" s="27"/>
      <c r="AH29" s="5" t="s">
        <v>51</v>
      </c>
      <c r="AI29" s="24"/>
      <c r="AJ29" s="24"/>
      <c r="AK29" s="24"/>
      <c r="AL29" s="24"/>
      <c r="AM29" s="24"/>
      <c r="AN29" s="24"/>
    </row>
    <row r="30" ht="27.0" customHeight="1">
      <c r="A30" s="7" t="str">
        <f>IFERROR(__xludf.DUMMYFUNCTION("""COMPUTED_VALUE"""),"IUP")</f>
        <v>IUP</v>
      </c>
      <c r="B30" s="7" t="str">
        <f>IFERROR(__xludf.DUMMYFUNCTION("""COMPUTED_VALUE"""),"Transformasi Ekonomi")</f>
        <v>Transformasi Ekonomi</v>
      </c>
      <c r="C30" s="7" t="str">
        <f>IFERROR(__xludf.DUMMYFUNCTION("""COMPUTED_VALUE"""),"lptek, lnovasi, dan Produktivitas Ekonomi")</f>
        <v>lptek, lnovasi, dan Produktivitas Ekonomi</v>
      </c>
      <c r="D30" s="7" t="str">
        <f>IFERROR(__xludf.DUMMYFUNCTION("""COMPUTED_VALUE"""),"11.b")</f>
        <v>11.b</v>
      </c>
      <c r="E30" s="7" t="str">
        <f>IFERROR(__xludf.DUMMYFUNCTION("""COMPUTED_VALUE"""),"Produktivitas Industri dan Pertanian: Pertumbuhan PDB Pertanian, Kehutanan dan Perikanan (%) ")</f>
        <v>Produktivitas Industri dan Pertanian: Pertumbuhan PDB Pertanian, Kehutanan dan Perikanan (%) </v>
      </c>
      <c r="F30" s="7"/>
      <c r="G30" s="30" t="str">
        <f>IFERROR(__xludf.DUMMYFUNCTION("""COMPUTED_VALUE"""),"Dit. Neraca Produksi")</f>
        <v>Dit. Neraca Produksi</v>
      </c>
      <c r="H30" s="7" t="str">
        <f>IFERROR(__xludf.DUMMYFUNCTION("""COMPUTED_VALUE"""),"Dit. Kelautan dan Perikanan; Dit. Pangan dan Pertanian")</f>
        <v>Dit. Kelautan dan Perikanan; Dit. Pangan dan Pertanian</v>
      </c>
      <c r="I30" s="5" t="str">
        <f>IFERROR(__xludf.DUMMYFUNCTION("""COMPUTED_VALUE"""),"- Direktorat  Kelautan dan Perikanan
- Direktorat Pangan dan Pertanian")</f>
        <v>- Direktorat  Kelautan dan Perikanan
- Direktorat Pangan dan Pertanian</v>
      </c>
      <c r="J30" s="7" t="str">
        <f>IFERROR(__xludf.DUMMYFUNCTION("""COMPUTED_VALUE"""),"BPS")</f>
        <v>BPS</v>
      </c>
      <c r="K30" s="5" t="str">
        <f>IFERROR(__xludf.DUMMYFUNCTION("""COMPUTED_VALUE"""),"Kemenko Pangan")</f>
        <v>Kemenko Pangan</v>
      </c>
      <c r="L30" s="7" t="str">
        <f>IFERROR(__xludf.DUMMYFUNCTION("""COMPUTED_VALUE"""),"Tersedia Nasional")</f>
        <v>Tersedia Nasional</v>
      </c>
      <c r="M30" s="8" t="str">
        <f>IFERROR(__xludf.DUMMYFUNCTION("""COMPUTED_VALUE"""),"Ety Kurniati, S.ST")</f>
        <v>Ety Kurniati, S.ST</v>
      </c>
      <c r="N30" s="5"/>
      <c r="O30" s="5"/>
      <c r="P30" s="7"/>
      <c r="Q30" s="5"/>
      <c r="R30" s="7"/>
      <c r="S30" s="9" t="str">
        <f>IFERROR(__xludf.DUMMYFUNCTION("""COMPUTED_VALUE"""),"https://drive.google.com/file/d/1-zFE0EbPQZGu8UbuxVam-k2dditjffkL/view?usp=drive_link")</f>
        <v>https://drive.google.com/file/d/1-zFE0EbPQZGu8UbuxVam-k2dditjffkL/view?usp=drive_link</v>
      </c>
      <c r="T30" s="7"/>
      <c r="U30" s="7"/>
      <c r="V30" s="7"/>
      <c r="W30" s="7"/>
      <c r="X30" s="11" t="str">
        <f>IFERROR(__xludf.DUMMYFUNCTION("""COMPUTED_VALUE"""),"5,33 % tahun 2025")</f>
        <v>5,33 % tahun 2025</v>
      </c>
      <c r="Y30" s="7"/>
      <c r="Z30" s="24"/>
      <c r="AA30" s="12" t="s">
        <v>15</v>
      </c>
      <c r="AB30" s="12" t="s">
        <v>9</v>
      </c>
      <c r="AC30" s="13" t="s">
        <v>10</v>
      </c>
      <c r="AD30" s="27"/>
      <c r="AE30" s="32"/>
      <c r="AF30" s="32"/>
      <c r="AG30" s="27"/>
      <c r="AH30" s="5" t="s">
        <v>36</v>
      </c>
      <c r="AI30" s="24"/>
      <c r="AJ30" s="24"/>
      <c r="AK30" s="24"/>
      <c r="AL30" s="24"/>
      <c r="AM30" s="24"/>
      <c r="AN30" s="24"/>
    </row>
    <row r="31" ht="27.0" customHeight="1">
      <c r="A31" s="7" t="str">
        <f>IFERROR(__xludf.DUMMYFUNCTION("""COMPUTED_VALUE"""),"IUP")</f>
        <v>IUP</v>
      </c>
      <c r="B31" s="7" t="str">
        <f>IFERROR(__xludf.DUMMYFUNCTION("""COMPUTED_VALUE"""),"Transformasi Ekonomi")</f>
        <v>Transformasi Ekonomi</v>
      </c>
      <c r="C31" s="7" t="str">
        <f>IFERROR(__xludf.DUMMYFUNCTION("""COMPUTED_VALUE"""),"lptek, lnovasi, dan Produktivitas Ekonomi")</f>
        <v>lptek, lnovasi, dan Produktivitas Ekonomi</v>
      </c>
      <c r="D31" s="7" t="str">
        <f>IFERROR(__xludf.DUMMYFUNCTION("""COMPUTED_VALUE"""),"12.a")</f>
        <v>12.a</v>
      </c>
      <c r="E31" s="7" t="str">
        <f>IFERROR(__xludf.DUMMYFUNCTION("""COMPUTED_VALUE"""),"Pengembangan pariwisata: Rasio PDB Pariwisata ")</f>
        <v>Pengembangan pariwisata: Rasio PDB Pariwisata </v>
      </c>
      <c r="F31" s="7"/>
      <c r="G31" s="30" t="str">
        <f>IFERROR(__xludf.DUMMYFUNCTION("""COMPUTED_VALUE"""),"Dit. Neraca Produksi")</f>
        <v>Dit. Neraca Produksi</v>
      </c>
      <c r="H31" s="7" t="str">
        <f>IFERROR(__xludf.DUMMYFUNCTION("""COMPUTED_VALUE"""),"Dit. Industri, Pariwisata dan Ekonomi Kreatif")</f>
        <v>Dit. Industri, Pariwisata dan Ekonomi Kreatif</v>
      </c>
      <c r="I31" s="5" t="str">
        <f>IFERROR(__xludf.DUMMYFUNCTION("""COMPUTED_VALUE"""),"- Direktorat Pariwisata, Ekonomi Kreatif, dan Ekonomi Digital
- Direktorat Industri, Perdagangan, dan Peningkatan Investasi")</f>
        <v>- Direktorat Pariwisata, Ekonomi Kreatif, dan Ekonomi Digital
- Direktorat Industri, Perdagangan, dan Peningkatan Investasi</v>
      </c>
      <c r="J31" s="7" t="str">
        <f>IFERROR(__xludf.DUMMYFUNCTION("""COMPUTED_VALUE"""),"BPS")</f>
        <v>BPS</v>
      </c>
      <c r="K31" s="5" t="str">
        <f>IFERROR(__xludf.DUMMYFUNCTION("""COMPUTED_VALUE"""),"Kementerian Pariwisata")</f>
        <v>Kementerian Pariwisata</v>
      </c>
      <c r="L31" s="7" t="str">
        <f>IFERROR(__xludf.DUMMYFUNCTION("""COMPUTED_VALUE"""),"Tersedia Nasional")</f>
        <v>Tersedia Nasional</v>
      </c>
      <c r="M31" s="8" t="str">
        <f>IFERROR(__xludf.DUMMYFUNCTION("""COMPUTED_VALUE"""),"Ety Kurniati, S.ST")</f>
        <v>Ety Kurniati, S.ST</v>
      </c>
      <c r="N31" s="5" t="str">
        <f>IFERROR(__xludf.DUMMYFUNCTION("""COMPUTED_VALUE"""),"indikator proxy untuk level provinsi :
Rasio PDRB Penyediaan Akomodasi Makan dan 
Minum (%)")</f>
        <v>indikator proxy untuk level provinsi :
Rasio PDRB Penyediaan Akomodasi Makan dan 
Minum (%)</v>
      </c>
      <c r="O31" s="8" t="str">
        <f>IFERROR(__xludf.DUMMYFUNCTION("""COMPUTED_VALUE"""),"(2023) https://sirusa.web.bps.go.id/metadata/indikator/48438")</f>
        <v>(2023) https://sirusa.web.bps.go.id/metadata/indikator/48438</v>
      </c>
      <c r="P31" s="9" t="str">
        <f>IFERROR(__xludf.DUMMYFUNCTION("""COMPUTED_VALUE"""),"https://www.bps.go.id/id/publication/2023/06/29/4293acd4c70c003f804fab9d/tourism-satellite-account-indonesia-2017-2021.html ")</f>
        <v>https://www.bps.go.id/id/publication/2023/06/29/4293acd4c70c003f804fab9d/tourism-satellite-account-indonesia-2017-2021.html </v>
      </c>
      <c r="Q31" s="5"/>
      <c r="R31" s="7" t="str">
        <f>IFERROR(__xludf.DUMMYFUNCTION("""COMPUTED_VALUE"""),"Rasio PDB Pariwisata")</f>
        <v>Rasio PDB Pariwisata</v>
      </c>
      <c r="S31" s="33" t="str">
        <f>IFERROR(__xludf.DUMMYFUNCTION("""COMPUTED_VALUE"""),"https://www.bps.go.id/id/statistics-table/2/MTE4OCMy/proporsi-kontribusi-pariwisata-terhadap-pdb--persen-.html 
(data terbaru tahun 2017)")</f>
        <v>https://www.bps.go.id/id/statistics-table/2/MTE4OCMy/proporsi-kontribusi-pariwisata-terhadap-pdb--persen-.html 
(data terbaru tahun 2017)</v>
      </c>
      <c r="T31" s="7"/>
      <c r="U31" s="7"/>
      <c r="V31" s="7"/>
      <c r="W31" s="7"/>
      <c r="X31" s="11" t="str">
        <f>IFERROR(__xludf.DUMMYFUNCTION("""COMPUTED_VALUE"""),"4,82 % Tahun 2024")</f>
        <v>4,82 % Tahun 2024</v>
      </c>
      <c r="Y31" s="7"/>
      <c r="Z31" s="24"/>
      <c r="AA31" s="12" t="s">
        <v>15</v>
      </c>
      <c r="AB31" s="12" t="s">
        <v>9</v>
      </c>
      <c r="AC31" s="13" t="s">
        <v>10</v>
      </c>
      <c r="AD31" s="21" t="s">
        <v>11</v>
      </c>
      <c r="AE31" s="28" t="s">
        <v>18</v>
      </c>
      <c r="AF31" s="25" t="s">
        <v>18</v>
      </c>
      <c r="AG31" s="21" t="s">
        <v>52</v>
      </c>
      <c r="AH31" s="5" t="s">
        <v>45</v>
      </c>
      <c r="AI31" s="24"/>
      <c r="AJ31" s="24"/>
      <c r="AK31" s="24"/>
      <c r="AL31" s="24"/>
      <c r="AM31" s="24"/>
      <c r="AN31" s="24"/>
    </row>
    <row r="32" ht="27.0" customHeight="1">
      <c r="A32" s="7" t="str">
        <f>IFERROR(__xludf.DUMMYFUNCTION("""COMPUTED_VALUE"""),"IUP")</f>
        <v>IUP</v>
      </c>
      <c r="B32" s="7" t="str">
        <f>IFERROR(__xludf.DUMMYFUNCTION("""COMPUTED_VALUE"""),"Transformasi Ekonomi")</f>
        <v>Transformasi Ekonomi</v>
      </c>
      <c r="C32" s="7" t="str">
        <f>IFERROR(__xludf.DUMMYFUNCTION("""COMPUTED_VALUE"""),"lptek, lnovasi, dan Produktivitas Ekonomi")</f>
        <v>lptek, lnovasi, dan Produktivitas Ekonomi</v>
      </c>
      <c r="D32" s="7" t="str">
        <f>IFERROR(__xludf.DUMMYFUNCTION("""COMPUTED_VALUE"""),"12.b")</f>
        <v>12.b</v>
      </c>
      <c r="E32" s="7" t="str">
        <f>IFERROR(__xludf.DUMMYFUNCTION("""COMPUTED_VALUE"""),"Pengembangan pariwisata: Devisa Pariwisata ")</f>
        <v>Pengembangan pariwisata: Devisa Pariwisata </v>
      </c>
      <c r="F32" s="7"/>
      <c r="G32" s="30" t="str">
        <f>IFERROR(__xludf.DUMMYFUNCTION("""COMPUTED_VALUE"""),"Dit. Statistik Jasa")</f>
        <v>Dit. Statistik Jasa</v>
      </c>
      <c r="H32" s="7" t="str">
        <f>IFERROR(__xludf.DUMMYFUNCTION("""COMPUTED_VALUE"""),"Dit. Industri, Pariwisata dan Ekonomi Kreatif")</f>
        <v>Dit. Industri, Pariwisata dan Ekonomi Kreatif</v>
      </c>
      <c r="I32" s="5" t="str">
        <f>IFERROR(__xludf.DUMMYFUNCTION("""COMPUTED_VALUE"""),"- Direktorat Pariwisata, Ekonomi Kreatif, dan Ekonomi Digital
- Direktorat Industri, Perdagangan, dan Peningkatan Investasi")</f>
        <v>- Direktorat Pariwisata, Ekonomi Kreatif, dan Ekonomi Digital
- Direktorat Industri, Perdagangan, dan Peningkatan Investasi</v>
      </c>
      <c r="J32" s="7" t="str">
        <f>IFERROR(__xludf.DUMMYFUNCTION("""COMPUTED_VALUE"""),"Kementerian Pariwisata dan Ekonomi Kreatif / Badan Pariwisata dan Ekonomi Kreatif (konfirmasi Bank Indonesia)")</f>
        <v>Kementerian Pariwisata dan Ekonomi Kreatif / Badan Pariwisata dan Ekonomi Kreatif (konfirmasi Bank Indonesia)</v>
      </c>
      <c r="K32" s="5" t="str">
        <f>IFERROR(__xludf.DUMMYFUNCTION("""COMPUTED_VALUE"""),"Kementerian Pariwisata")</f>
        <v>Kementerian Pariwisata</v>
      </c>
      <c r="L32" s="7" t="str">
        <f>IFERROR(__xludf.DUMMYFUNCTION("""COMPUTED_VALUE"""),"Tersedia Nasional")</f>
        <v>Tersedia Nasional</v>
      </c>
      <c r="M32" s="5" t="str">
        <f>IFERROR(__xludf.DUMMYFUNCTION("""COMPUTED_VALUE"""),"Tika Meilaningsih")</f>
        <v>Tika Meilaningsih</v>
      </c>
      <c r="N32" s="5" t="str">
        <f>IFERROR(__xludf.DUMMYFUNCTION("""COMPUTED_VALUE"""),"12.b Devisa Pariwisata")</f>
        <v>12.b Devisa Pariwisata</v>
      </c>
      <c r="O32" s="5"/>
      <c r="P32" s="9" t="str">
        <f>IFERROR(__xludf.DUMMYFUNCTION("""COMPUTED_VALUE"""),"https://www.bi.go.id/id/publikasi/laporan/Documents/Indonesia-Tourism-Outlook-2025-2026.pdf#:~:text=devisa%20pariwisata%20berangsur%20naik%20pada,dolar%20AS%20atau%20hampir%20mendekati")</f>
        <v>https://www.bi.go.id/id/publikasi/laporan/Documents/Indonesia-Tourism-Outlook-2025-2026.pdf#:~:text=devisa%20pariwisata%20berangsur%20naik%20pada,dolar%20AS%20atau%20hampir%20mendekati</v>
      </c>
      <c r="Q32" s="5"/>
      <c r="R32" s="7"/>
      <c r="S32" s="9" t="str">
        <f>IFERROR(__xludf.DUMMYFUNCTION("""COMPUTED_VALUE"""),"https://kemenpar.go.id/statistik-devisa-pariwisata")</f>
        <v>https://kemenpar.go.id/statistik-devisa-pariwisata</v>
      </c>
      <c r="T32" s="7"/>
      <c r="U32" s="7"/>
      <c r="V32" s="7"/>
      <c r="W32" s="7"/>
      <c r="X32" s="11" t="str">
        <f>IFERROR(__xludf.DUMMYFUNCTION("""COMPUTED_VALUE"""),"18.275jt US$")</f>
        <v>18.275jt US$</v>
      </c>
      <c r="Y32" s="7"/>
      <c r="Z32" s="24"/>
      <c r="AA32" s="26" t="s">
        <v>53</v>
      </c>
      <c r="AB32" s="5" t="s">
        <v>21</v>
      </c>
      <c r="AC32" s="24" t="s">
        <v>40</v>
      </c>
      <c r="AD32" s="21" t="s">
        <v>11</v>
      </c>
      <c r="AE32" s="22">
        <v>2025.0</v>
      </c>
      <c r="AF32" s="23" t="s">
        <v>12</v>
      </c>
      <c r="AG32" s="21" t="s">
        <v>54</v>
      </c>
      <c r="AH32" s="5" t="s">
        <v>45</v>
      </c>
      <c r="AI32" s="24"/>
      <c r="AJ32" s="24"/>
      <c r="AK32" s="24"/>
      <c r="AL32" s="24"/>
      <c r="AM32" s="24"/>
      <c r="AN32" s="24"/>
    </row>
    <row r="33" ht="27.0" customHeight="1">
      <c r="A33" s="7" t="str">
        <f>IFERROR(__xludf.DUMMYFUNCTION("""COMPUTED_VALUE"""),"IUP")</f>
        <v>IUP</v>
      </c>
      <c r="B33" s="7" t="str">
        <f>IFERROR(__xludf.DUMMYFUNCTION("""COMPUTED_VALUE"""),"Transformasi Ekonomi")</f>
        <v>Transformasi Ekonomi</v>
      </c>
      <c r="C33" s="7" t="str">
        <f>IFERROR(__xludf.DUMMYFUNCTION("""COMPUTED_VALUE"""),"lptek, lnovasi, dan Produktivitas Ekonomi")</f>
        <v>lptek, lnovasi, dan Produktivitas Ekonomi</v>
      </c>
      <c r="D33" s="7">
        <f>IFERROR(__xludf.DUMMYFUNCTION("""COMPUTED_VALUE"""),13.0)</f>
        <v>13</v>
      </c>
      <c r="E33" s="7" t="str">
        <f>IFERROR(__xludf.DUMMYFUNCTION("""COMPUTED_VALUE"""),"Proporsi PDB Ekonomi Kreatif  ")</f>
        <v>Proporsi PDB Ekonomi Kreatif  </v>
      </c>
      <c r="F33" s="7"/>
      <c r="G33" s="30" t="str">
        <f>IFERROR(__xludf.DUMMYFUNCTION("""COMPUTED_VALUE"""),"Dit. Neraca Produksi")</f>
        <v>Dit. Neraca Produksi</v>
      </c>
      <c r="H33" s="7" t="str">
        <f>IFERROR(__xludf.DUMMYFUNCTION("""COMPUTED_VALUE"""),"Dit. Industri, Pariwisata dan Ekonomi Kreatif")</f>
        <v>Dit. Industri, Pariwisata dan Ekonomi Kreatif</v>
      </c>
      <c r="I33" s="5" t="str">
        <f>IFERROR(__xludf.DUMMYFUNCTION("""COMPUTED_VALUE"""),"- Direktorat Pariwisata, Ekonomi Kreatif, dan Ekonomi Digital
- Direktorat Industri, Perdagangan, dan Peningkatan Investasi")</f>
        <v>- Direktorat Pariwisata, Ekonomi Kreatif, dan Ekonomi Digital
- Direktorat Industri, Perdagangan, dan Peningkatan Investasi</v>
      </c>
      <c r="J33" s="7" t="str">
        <f>IFERROR(__xludf.DUMMYFUNCTION("""COMPUTED_VALUE"""),"BPS (belum pernah dihitung oleh BPS)")</f>
        <v>BPS (belum pernah dihitung oleh BPS)</v>
      </c>
      <c r="K33" s="5" t="str">
        <f>IFERROR(__xludf.DUMMYFUNCTION("""COMPUTED_VALUE"""),"Kementerian Ekraf/Badan ekonomi")</f>
        <v>Kementerian Ekraf/Badan ekonomi</v>
      </c>
      <c r="L33" s="7" t="str">
        <f>IFERROR(__xludf.DUMMYFUNCTION("""COMPUTED_VALUE"""),"Tidak Tersedia")</f>
        <v>Tidak Tersedia</v>
      </c>
      <c r="M33" s="8" t="str">
        <f>IFERROR(__xludf.DUMMYFUNCTION("""COMPUTED_VALUE"""),"Ety Kurniati, S.ST")</f>
        <v>Ety Kurniati, S.ST</v>
      </c>
      <c r="N33" s="5" t="str">
        <f>IFERROR(__xludf.DUMMYFUNCTION("""COMPUTED_VALUE"""),"Hanya tersedia di provinsi DKI Jakarta")</f>
        <v>Hanya tersedia di provinsi DKI Jakarta</v>
      </c>
      <c r="O33" s="5"/>
      <c r="P33" s="9" t="str">
        <f>IFERROR(__xludf.DUMMYFUNCTION("""COMPUTED_VALUE"""),"https://jakarta.bps.go.id/id/publication/2019/12/31/6158504af2c2c62597990070/laporan-studi-penyusunan-pdrb-ekonomi-kreatif-provinsi-dki-jakarta.html")</f>
        <v>https://jakarta.bps.go.id/id/publication/2019/12/31/6158504af2c2c62597990070/laporan-studi-penyusunan-pdrb-ekonomi-kreatif-provinsi-dki-jakarta.html</v>
      </c>
      <c r="Q33" s="5"/>
      <c r="R33" s="7"/>
      <c r="S33" s="7"/>
      <c r="T33" s="7"/>
      <c r="U33" s="7"/>
      <c r="V33" s="7"/>
      <c r="W33" s="7"/>
      <c r="X33" s="7" t="str">
        <f>IFERROR(__xludf.DUMMYFUNCTION("""COMPUTED_VALUE"""),"PDB Ekraf, perubahan SOTK PJK adalah DANS")</f>
        <v>PDB Ekraf, perubahan SOTK PJK adalah DANS</v>
      </c>
      <c r="Y33" s="7"/>
      <c r="Z33" s="24"/>
      <c r="AA33" s="12" t="s">
        <v>15</v>
      </c>
      <c r="AB33" s="12" t="s">
        <v>9</v>
      </c>
      <c r="AC33" s="13" t="s">
        <v>10</v>
      </c>
      <c r="AD33" s="21" t="s">
        <v>11</v>
      </c>
      <c r="AE33" s="28" t="s">
        <v>18</v>
      </c>
      <c r="AF33" s="25" t="s">
        <v>18</v>
      </c>
      <c r="AG33" s="21" t="s">
        <v>55</v>
      </c>
      <c r="AH33" s="5" t="s">
        <v>56</v>
      </c>
      <c r="AI33" s="24"/>
      <c r="AJ33" s="24"/>
      <c r="AK33" s="24"/>
      <c r="AL33" s="24"/>
      <c r="AM33" s="24"/>
      <c r="AN33" s="24"/>
    </row>
    <row r="34" ht="27.0" customHeight="1">
      <c r="A34" s="7" t="str">
        <f>IFERROR(__xludf.DUMMYFUNCTION("""COMPUTED_VALUE"""),"IUP")</f>
        <v>IUP</v>
      </c>
      <c r="B34" s="7" t="str">
        <f>IFERROR(__xludf.DUMMYFUNCTION("""COMPUTED_VALUE"""),"Transformasi Ekonomi")</f>
        <v>Transformasi Ekonomi</v>
      </c>
      <c r="C34" s="7" t="str">
        <f>IFERROR(__xludf.DUMMYFUNCTION("""COMPUTED_VALUE"""),"lptek, lnovasi, dan Produktivitas Ekonomi")</f>
        <v>lptek, lnovasi, dan Produktivitas Ekonomi</v>
      </c>
      <c r="D34" s="7" t="str">
        <f>IFERROR(__xludf.DUMMYFUNCTION("""COMPUTED_VALUE"""),"14.a")</f>
        <v>14.a</v>
      </c>
      <c r="E34" s="7" t="str">
        <f>IFERROR(__xludf.DUMMYFUNCTION("""COMPUTED_VALUE"""),"Produktivitas UMKM, Koperasi, BUMN: Proporsi Jumlah Usaha Kecil dan Menengah ")</f>
        <v>Produktivitas UMKM, Koperasi, BUMN: Proporsi Jumlah Usaha Kecil dan Menengah </v>
      </c>
      <c r="F34" s="7"/>
      <c r="G34" s="30" t="str">
        <f>IFERROR(__xludf.DUMMYFUNCTION("""COMPUTED_VALUE"""),"Dit. Statistik Distribusi")</f>
        <v>Dit. Statistik Distribusi</v>
      </c>
      <c r="H34" s="7" t="str">
        <f>IFERROR(__xludf.DUMMYFUNCTION("""COMPUTED_VALUE"""),"Dit. Pengembangan Usaha Mikro, Kecil, Menengah, dan Koperasi")</f>
        <v>Dit. Pengembangan Usaha Mikro, Kecil, Menengah, dan Koperasi</v>
      </c>
      <c r="I34" s="5" t="str">
        <f>IFERROR(__xludf.DUMMYFUNCTION("""COMPUTED_VALUE"""),"Direktorat Koperasi dan Usaha Mikro, Kecil, dan Menengah")</f>
        <v>Direktorat Koperasi dan Usaha Mikro, Kecil, dan Menengah</v>
      </c>
      <c r="J34" s="7" t="str">
        <f>IFERROR(__xludf.DUMMYFUNCTION("""COMPUTED_VALUE"""),"Kementerian Usaha Kecil dan Menengah (konfirmasi BPS)")</f>
        <v>Kementerian Usaha Kecil dan Menengah (konfirmasi BPS)</v>
      </c>
      <c r="K34" s="5" t="str">
        <f>IFERROR(__xludf.DUMMYFUNCTION("""COMPUTED_VALUE"""),"Kementerian Usaha Kecil dan Menengah")</f>
        <v>Kementerian Usaha Kecil dan Menengah</v>
      </c>
      <c r="L34" s="7" t="str">
        <f>IFERROR(__xludf.DUMMYFUNCTION("""COMPUTED_VALUE"""),"Tidak Tersedia")</f>
        <v>Tidak Tersedia</v>
      </c>
      <c r="M34" s="5" t="str">
        <f>IFERROR(__xludf.DUMMYFUNCTION("""COMPUTED_VALUE"""),"Aprilia Ira")</f>
        <v>Aprilia Ira</v>
      </c>
      <c r="N34" s="5" t="str">
        <f>IFERROR(__xludf.DUMMYFUNCTION("""COMPUTED_VALUE"""),"Jumlah UMKM dan Koperasi dapat diperoleh dari Dinas Koperasi dan UMKM (Tapi Proyeksi) atau Kementerian UMKM dan Koperasi (Tapi Perlu Login)")</f>
        <v>Jumlah UMKM dan Koperasi dapat diperoleh dari Dinas Koperasi dan UMKM (Tapi Proyeksi) atau Kementerian UMKM dan Koperasi (Tapi Perlu Login)</v>
      </c>
      <c r="O34" s="8" t="str">
        <f>IFERROR(__xludf.DUMMYFUNCTION("""COMPUTED_VALUE"""),"Metadata Nomor 14 https://drive.google.com/drive/folders/1bL0VYlLQayyiyu9GsR1cYf6pBZSRb_IE ")</f>
        <v>Metadata Nomor 14 https://drive.google.com/drive/folders/1bL0VYlLQayyiyu9GsR1cYf6pBZSRb_IE </v>
      </c>
      <c r="P34" s="7" t="str">
        <f>IFERROR(__xludf.DUMMYFUNCTION("""COMPUTED_VALUE"""),"https://opendata.jabarprov.go.id/id/dataset/proyeksi-jumlah-usaha-mikro-kecil-menengah-umkm-berdasarkan-kabupatenkota-di-jawa-barat
https://satudata.umkm.go.id/custom-dashboard/")</f>
        <v>https://opendata.jabarprov.go.id/id/dataset/proyeksi-jumlah-usaha-mikro-kecil-menengah-umkm-berdasarkan-kabupatenkota-di-jawa-barat
https://satudata.umkm.go.id/custom-dashboard/</v>
      </c>
      <c r="Q34" s="5"/>
      <c r="R34" s="7"/>
      <c r="S34" s="7"/>
      <c r="T34" s="7"/>
      <c r="U34" s="7"/>
      <c r="V34" s="7"/>
      <c r="W34" s="7"/>
      <c r="X34" s="7" t="str">
        <f>IFERROR(__xludf.DUMMYFUNCTION("""COMPUTED_VALUE"""),"Perkiraan rilis September 2026
PJK dan K/L sedang menyepakati update metadata dan akan melakukan pemodelan bulan Juni")</f>
        <v>Perkiraan rilis September 2026
PJK dan K/L sedang menyepakati update metadata dan akan melakukan pemodelan bulan Juni</v>
      </c>
      <c r="Y34" s="7"/>
      <c r="Z34" s="24"/>
      <c r="AA34" s="12" t="s">
        <v>57</v>
      </c>
      <c r="AB34" s="5" t="s">
        <v>21</v>
      </c>
      <c r="AC34" s="24" t="s">
        <v>41</v>
      </c>
      <c r="AD34" s="21" t="s">
        <v>11</v>
      </c>
      <c r="AE34" s="22">
        <v>2024.0</v>
      </c>
      <c r="AF34" s="23" t="s">
        <v>12</v>
      </c>
      <c r="AG34" s="21" t="s">
        <v>58</v>
      </c>
      <c r="AH34" s="5" t="s">
        <v>59</v>
      </c>
      <c r="AI34" s="24"/>
      <c r="AJ34" s="24"/>
      <c r="AK34" s="24"/>
      <c r="AL34" s="24"/>
      <c r="AM34" s="24"/>
      <c r="AN34" s="24"/>
    </row>
    <row r="35" ht="27.0" customHeight="1">
      <c r="A35" s="7" t="str">
        <f>IFERROR(__xludf.DUMMYFUNCTION("""COMPUTED_VALUE"""),"IUP")</f>
        <v>IUP</v>
      </c>
      <c r="B35" s="7" t="str">
        <f>IFERROR(__xludf.DUMMYFUNCTION("""COMPUTED_VALUE"""),"Transformasi Ekonomi")</f>
        <v>Transformasi Ekonomi</v>
      </c>
      <c r="C35" s="7" t="str">
        <f>IFERROR(__xludf.DUMMYFUNCTION("""COMPUTED_VALUE"""),"lptek, lnovasi, dan Produktivitas Ekonomi")</f>
        <v>lptek, lnovasi, dan Produktivitas Ekonomi</v>
      </c>
      <c r="D35" s="7" t="str">
        <f>IFERROR(__xludf.DUMMYFUNCTION("""COMPUTED_VALUE"""),"14.b")</f>
        <v>14.b</v>
      </c>
      <c r="E35" s="7" t="str">
        <f>IFERROR(__xludf.DUMMYFUNCTION("""COMPUTED_VALUE"""),"Produktivitas UMKM, Koperasi, BUMN: Rasio Kewirausahaan ")</f>
        <v>Produktivitas UMKM, Koperasi, BUMN: Rasio Kewirausahaan </v>
      </c>
      <c r="F35" s="7"/>
      <c r="G35" s="30" t="str">
        <f>IFERROR(__xludf.DUMMYFUNCTION("""COMPUTED_VALUE"""),"Dit. Statistik Kependudukan dan Ketenagakerjaan")</f>
        <v>Dit. Statistik Kependudukan dan Ketenagakerjaan</v>
      </c>
      <c r="H35" s="7" t="str">
        <f>IFERROR(__xludf.DUMMYFUNCTION("""COMPUTED_VALUE"""),"Dit. Pengembangan Usaha Mikro, Kecil, Menengah, dan Koperasi")</f>
        <v>Dit. Pengembangan Usaha Mikro, Kecil, Menengah, dan Koperasi</v>
      </c>
      <c r="I35" s="5" t="str">
        <f>IFERROR(__xludf.DUMMYFUNCTION("""COMPUTED_VALUE"""),"Direktorat Koperasi dan Usaha Mikro, Kecil, dan Menengah")</f>
        <v>Direktorat Koperasi dan Usaha Mikro, Kecil, dan Menengah</v>
      </c>
      <c r="J35" s="7" t="str">
        <f>IFERROR(__xludf.DUMMYFUNCTION("""COMPUTED_VALUE"""),"Kementerian Usaha Kecil dan Menengah (konfirmasi BPS)")</f>
        <v>Kementerian Usaha Kecil dan Menengah (konfirmasi BPS)</v>
      </c>
      <c r="K35" s="5" t="str">
        <f>IFERROR(__xludf.DUMMYFUNCTION("""COMPUTED_VALUE"""),"Kementerian Usaha Kecil dan Menengah")</f>
        <v>Kementerian Usaha Kecil dan Menengah</v>
      </c>
      <c r="L35" s="7" t="str">
        <f>IFERROR(__xludf.DUMMYFUNCTION("""COMPUTED_VALUE"""),"Tidak Tersedia")</f>
        <v>Tidak Tersedia</v>
      </c>
      <c r="M35" s="5" t="str">
        <f>IFERROR(__xludf.DUMMYFUNCTION("""COMPUTED_VALUE"""),"Alfatihah Reno Maulani")</f>
        <v>Alfatihah Reno Maulani</v>
      </c>
      <c r="N35" s="5"/>
      <c r="O35" s="5"/>
      <c r="P35" s="7"/>
      <c r="Q35" s="5"/>
      <c r="R35" s="7"/>
      <c r="S35" s="7"/>
      <c r="T35" s="7"/>
      <c r="U35" s="7"/>
      <c r="V35" s="7"/>
      <c r="W35" s="7"/>
      <c r="X35" s="11">
        <f>IFERROR(__xludf.DUMMYFUNCTION("""COMPUTED_VALUE"""),3.29)</f>
        <v>3.29</v>
      </c>
      <c r="Y35" s="7"/>
      <c r="Z35" s="24"/>
      <c r="AA35" s="12" t="s">
        <v>38</v>
      </c>
      <c r="AB35" s="12" t="s">
        <v>17</v>
      </c>
      <c r="AC35" s="17" t="s">
        <v>34</v>
      </c>
      <c r="AD35" s="21" t="s">
        <v>11</v>
      </c>
      <c r="AE35" s="22">
        <v>2024.0</v>
      </c>
      <c r="AF35" s="23" t="s">
        <v>12</v>
      </c>
      <c r="AG35" s="27"/>
      <c r="AH35" s="5" t="s">
        <v>33</v>
      </c>
      <c r="AI35" s="24"/>
      <c r="AJ35" s="24"/>
      <c r="AK35" s="24"/>
      <c r="AL35" s="24"/>
      <c r="AM35" s="24"/>
      <c r="AN35" s="24"/>
    </row>
    <row r="36" ht="27.0" customHeight="1">
      <c r="A36" s="7" t="str">
        <f>IFERROR(__xludf.DUMMYFUNCTION("""COMPUTED_VALUE"""),"IUP")</f>
        <v>IUP</v>
      </c>
      <c r="B36" s="7" t="str">
        <f>IFERROR(__xludf.DUMMYFUNCTION("""COMPUTED_VALUE"""),"Transformasi Ekonomi")</f>
        <v>Transformasi Ekonomi</v>
      </c>
      <c r="C36" s="7" t="str">
        <f>IFERROR(__xludf.DUMMYFUNCTION("""COMPUTED_VALUE"""),"lptek, lnovasi, dan Produktivitas Ekonomi")</f>
        <v>lptek, lnovasi, dan Produktivitas Ekonomi</v>
      </c>
      <c r="D36" s="7" t="str">
        <f>IFERROR(__xludf.DUMMYFUNCTION("""COMPUTED_VALUE"""),"14.c")</f>
        <v>14.c</v>
      </c>
      <c r="E36" s="7" t="str">
        <f>IFERROR(__xludf.DUMMYFUNCTION("""COMPUTED_VALUE"""),"Produktivitas UMKM, Koperasi, BUMN: Rasio Volume Usaha Koperasi terhadap PDB ")</f>
        <v>Produktivitas UMKM, Koperasi, BUMN: Rasio Volume Usaha Koperasi terhadap PDB </v>
      </c>
      <c r="F36" s="7"/>
      <c r="G36" s="30" t="str">
        <f>IFERROR(__xludf.DUMMYFUNCTION("""COMPUTED_VALUE"""),"Dit. Neraca Produksi")</f>
        <v>Dit. Neraca Produksi</v>
      </c>
      <c r="H36" s="7" t="str">
        <f>IFERROR(__xludf.DUMMYFUNCTION("""COMPUTED_VALUE"""),"Dit. Pengembangan Usaha Mikro, Kecil, Menengah, dan Koperasi")</f>
        <v>Dit. Pengembangan Usaha Mikro, Kecil, Menengah, dan Koperasi</v>
      </c>
      <c r="I36" s="5" t="str">
        <f>IFERROR(__xludf.DUMMYFUNCTION("""COMPUTED_VALUE"""),"Direktorat Koperasi dan Usaha Mikro, Kecil, dan Menengah")</f>
        <v>Direktorat Koperasi dan Usaha Mikro, Kecil, dan Menengah</v>
      </c>
      <c r="J36" s="7" t="str">
        <f>IFERROR(__xludf.DUMMYFUNCTION("""COMPUTED_VALUE"""),"Kementerian Koperasi")</f>
        <v>Kementerian Koperasi</v>
      </c>
      <c r="K36" s="5" t="str">
        <f>IFERROR(__xludf.DUMMYFUNCTION("""COMPUTED_VALUE"""),"Kementerian Koperasi")</f>
        <v>Kementerian Koperasi</v>
      </c>
      <c r="L36" s="7" t="str">
        <f>IFERROR(__xludf.DUMMYFUNCTION("""COMPUTED_VALUE"""),"Tidak Tersedia")</f>
        <v>Tidak Tersedia</v>
      </c>
      <c r="M36" s="8" t="str">
        <f>IFERROR(__xludf.DUMMYFUNCTION("""COMPUTED_VALUE"""),"Ety Kurniati, S.ST")</f>
        <v>Ety Kurniati, S.ST</v>
      </c>
      <c r="N36" s="5"/>
      <c r="O36" s="5"/>
      <c r="P36" s="7"/>
      <c r="Q36" s="5"/>
      <c r="R36" s="7"/>
      <c r="S36" s="7"/>
      <c r="T36" s="7"/>
      <c r="U36" s="7"/>
      <c r="V36" s="7"/>
      <c r="W36" s="7"/>
      <c r="X36" s="7"/>
      <c r="Y36" s="7"/>
      <c r="Z36" s="24"/>
      <c r="AA36" s="12" t="s">
        <v>15</v>
      </c>
      <c r="AB36" s="12" t="s">
        <v>9</v>
      </c>
      <c r="AC36" s="13" t="s">
        <v>10</v>
      </c>
      <c r="AD36" s="21" t="s">
        <v>11</v>
      </c>
      <c r="AE36" s="22">
        <v>2024.0</v>
      </c>
      <c r="AF36" s="23" t="s">
        <v>12</v>
      </c>
      <c r="AG36" s="21" t="s">
        <v>60</v>
      </c>
      <c r="AH36" s="5" t="s">
        <v>33</v>
      </c>
      <c r="AI36" s="24"/>
      <c r="AJ36" s="24"/>
      <c r="AK36" s="24"/>
      <c r="AL36" s="24"/>
      <c r="AM36" s="24"/>
      <c r="AN36" s="24"/>
    </row>
    <row r="37" ht="27.0" customHeight="1">
      <c r="A37" s="7" t="str">
        <f>IFERROR(__xludf.DUMMYFUNCTION("""COMPUTED_VALUE"""),"IUP")</f>
        <v>IUP</v>
      </c>
      <c r="B37" s="7" t="str">
        <f>IFERROR(__xludf.DUMMYFUNCTION("""COMPUTED_VALUE"""),"Transformasi Ekonomi")</f>
        <v>Transformasi Ekonomi</v>
      </c>
      <c r="C37" s="7" t="str">
        <f>IFERROR(__xludf.DUMMYFUNCTION("""COMPUTED_VALUE"""),"lptek, lnovasi, dan Produktivitas Ekonomi")</f>
        <v>lptek, lnovasi, dan Produktivitas Ekonomi</v>
      </c>
      <c r="D37" s="7" t="str">
        <f>IFERROR(__xludf.DUMMYFUNCTION("""COMPUTED_VALUE"""),"14.d")</f>
        <v>14.d</v>
      </c>
      <c r="E37" s="7" t="str">
        <f>IFERROR(__xludf.DUMMYFUNCTION("""COMPUTED_VALUE"""),"Produktivitas UMKM, Koperasi, BUMN: d. Return on Asset (ROA) BUMN ")</f>
        <v>Produktivitas UMKM, Koperasi, BUMN: d. Return on Asset (ROA) BUMN </v>
      </c>
      <c r="F37" s="7"/>
      <c r="G37" s="30" t="str">
        <f>IFERROR(__xludf.DUMMYFUNCTION("""COMPUTED_VALUE"""),"Dit. Statistik Jasa")</f>
        <v>Dit. Statistik Jasa</v>
      </c>
      <c r="H37" s="7" t="str">
        <f>IFERROR(__xludf.DUMMYFUNCTION("""COMPUTED_VALUE"""),"Dit. Jasa Keuangan dan BUMN")</f>
        <v>Dit. Jasa Keuangan dan BUMN</v>
      </c>
      <c r="I37" s="5" t="str">
        <f>IFERROR(__xludf.DUMMYFUNCTION("""COMPUTED_VALUE"""),"Direktorat Ekonomi Syariah dan Badan Usaha Milik Negara")</f>
        <v>Direktorat Ekonomi Syariah dan Badan Usaha Milik Negara</v>
      </c>
      <c r="J37" s="7" t="str">
        <f>IFERROR(__xludf.DUMMYFUNCTION("""COMPUTED_VALUE"""),"Kementerian PPN/Bappenas")</f>
        <v>Kementerian PPN/Bappenas</v>
      </c>
      <c r="K37" s="5" t="str">
        <f>IFERROR(__xludf.DUMMYFUNCTION("""COMPUTED_VALUE"""),"Kementerian BUMN")</f>
        <v>Kementerian BUMN</v>
      </c>
      <c r="L37" s="7" t="str">
        <f>IFERROR(__xludf.DUMMYFUNCTION("""COMPUTED_VALUE"""),"Tersedia Nasional")</f>
        <v>Tersedia Nasional</v>
      </c>
      <c r="M37" s="5" t="str">
        <f>IFERROR(__xludf.DUMMYFUNCTION("""COMPUTED_VALUE"""),"Tika Meilaningsih")</f>
        <v>Tika Meilaningsih</v>
      </c>
      <c r="N37" s="5" t="str">
        <f>IFERROR(__xludf.DUMMYFUNCTION("""COMPUTED_VALUE"""),"Dihitung dari laba bersih (laba tahun berjalan) / total asset")</f>
        <v>Dihitung dari laba bersih (laba tahun berjalan) / total asset</v>
      </c>
      <c r="O37" s="8" t="str">
        <f>IFERROR(__xludf.DUMMYFUNCTION("""COMPUTED_VALUE"""),"https://sdi.beltim.go.id/kodref/02.08.040")</f>
        <v>https://sdi.beltim.go.id/kodref/02.08.040</v>
      </c>
      <c r="P37" s="7"/>
      <c r="Q37" s="5"/>
      <c r="R37" s="7"/>
      <c r="S37" s="7" t="str">
        <f>IFERROR(__xludf.DUMMYFUNCTION("""COMPUTED_VALUE"""),"2024	2.83%
2023	3.14%
2022	3.16%
2021	1.39%
2020	0.16%")</f>
        <v>2024	2.83%
2023	3.14%
2022	3.16%
2021	1.39%
2020	0.16%</v>
      </c>
      <c r="T37" s="7"/>
      <c r="U37" s="7"/>
      <c r="V37" s="7"/>
      <c r="W37" s="7"/>
      <c r="X37" s="11" t="str">
        <f>IFERROR(__xludf.DUMMYFUNCTION("""COMPUTED_VALUE"""),"belum ada angka final audited, baru ada prediksi")</f>
        <v>belum ada angka final audited, baru ada prediksi</v>
      </c>
      <c r="Y37" s="7"/>
      <c r="Z37" s="24"/>
      <c r="AA37" s="5" t="s">
        <v>61</v>
      </c>
      <c r="AB37" s="5" t="s">
        <v>21</v>
      </c>
      <c r="AC37" s="24" t="s">
        <v>40</v>
      </c>
      <c r="AD37" s="21" t="s">
        <v>11</v>
      </c>
      <c r="AE37" s="28" t="s">
        <v>18</v>
      </c>
      <c r="AF37" s="25" t="s">
        <v>18</v>
      </c>
      <c r="AG37" s="21" t="s">
        <v>62</v>
      </c>
      <c r="AH37" s="5" t="s">
        <v>33</v>
      </c>
      <c r="AI37" s="24"/>
      <c r="AJ37" s="24"/>
      <c r="AK37" s="24"/>
      <c r="AL37" s="24"/>
      <c r="AM37" s="24"/>
      <c r="AN37" s="24"/>
    </row>
    <row r="38" ht="27.0" customHeight="1">
      <c r="A38" s="7" t="str">
        <f>IFERROR(__xludf.DUMMYFUNCTION("""COMPUTED_VALUE"""),"IUP")</f>
        <v>IUP</v>
      </c>
      <c r="B38" s="7" t="str">
        <f>IFERROR(__xludf.DUMMYFUNCTION("""COMPUTED_VALUE"""),"Transformasi Ekonomi")</f>
        <v>Transformasi Ekonomi</v>
      </c>
      <c r="C38" s="7" t="str">
        <f>IFERROR(__xludf.DUMMYFUNCTION("""COMPUTED_VALUE"""),"lptek, lnovasi, dan Produktivitas Ekonomi")</f>
        <v>lptek, lnovasi, dan Produktivitas Ekonomi</v>
      </c>
      <c r="D38" s="7" t="str">
        <f>IFERROR(__xludf.DUMMYFUNCTION("""COMPUTED_VALUE"""),"15.a")</f>
        <v>15.a</v>
      </c>
      <c r="E38" s="7" t="str">
        <f>IFERROR(__xludf.DUMMYFUNCTION("""COMPUTED_VALUE"""),"Penciptaan Lapangan Kerja yang Baik: Tingkat Pengangguran Terbuka ")</f>
        <v>Penciptaan Lapangan Kerja yang Baik: Tingkat Pengangguran Terbuka </v>
      </c>
      <c r="F38" s="7"/>
      <c r="G38" s="30" t="str">
        <f>IFERROR(__xludf.DUMMYFUNCTION("""COMPUTED_VALUE"""),"Dit. Statistik Kependudukan dan Ketenagakerjaan")</f>
        <v>Dit. Statistik Kependudukan dan Ketenagakerjaan</v>
      </c>
      <c r="H38" s="7" t="str">
        <f>IFERROR(__xludf.DUMMYFUNCTION("""COMPUTED_VALUE"""),"Dit. Ketenagakerjaan")</f>
        <v>Dit. Ketenagakerjaan</v>
      </c>
      <c r="I38" s="5" t="str">
        <f>IFERROR(__xludf.DUMMYFUNCTION("""COMPUTED_VALUE"""),"Direktorat Ketenagakerjaan")</f>
        <v>Direktorat Ketenagakerjaan</v>
      </c>
      <c r="J38" s="7" t="str">
        <f>IFERROR(__xludf.DUMMYFUNCTION("""COMPUTED_VALUE"""),"BPS")</f>
        <v>BPS</v>
      </c>
      <c r="K38" s="5" t="str">
        <f>IFERROR(__xludf.DUMMYFUNCTION("""COMPUTED_VALUE"""),"Kementerian Koordinator Bidang Perekonomian")</f>
        <v>Kementerian Koordinator Bidang Perekonomian</v>
      </c>
      <c r="L38" s="7" t="str">
        <f>IFERROR(__xludf.DUMMYFUNCTION("""COMPUTED_VALUE"""),"Tersedia s.d Kabupaten/Kota")</f>
        <v>Tersedia s.d Kabupaten/Kota</v>
      </c>
      <c r="M38" s="5" t="str">
        <f>IFERROR(__xludf.DUMMYFUNCTION("""COMPUTED_VALUE"""),"Alfatihah Reno Maulani")</f>
        <v>Alfatihah Reno Maulani</v>
      </c>
      <c r="N38" s="5"/>
      <c r="O38" s="8" t="str">
        <f>IFERROR(__xludf.DUMMYFUNCTION("""COMPUTED_VALUE"""),"(2023) https://sirusa.web.bps.go.id/metadata/indikator/48426")</f>
        <v>(2023) https://sirusa.web.bps.go.id/metadata/indikator/48426</v>
      </c>
      <c r="P38" s="9" t="str">
        <f>IFERROR(__xludf.DUMMYFUNCTION("""COMPUTED_VALUE"""),"https://www.bps.go.id/id/publication/2026/01/12/7cafd1df082c81784e0e15f8/booklet-sakernas-agustus-2025.html")</f>
        <v>https://www.bps.go.id/id/publication/2026/01/12/7cafd1df082c81784e0e15f8/booklet-sakernas-agustus-2025.html</v>
      </c>
      <c r="Q38" s="5"/>
      <c r="R38" s="7" t="str">
        <f>IFERROR(__xludf.DUMMYFUNCTION("""COMPUTED_VALUE"""),"Tingkat Pengangguran terbuka")</f>
        <v>Tingkat Pengangguran terbuka</v>
      </c>
      <c r="S38" s="7" t="str">
        <f>IFERROR(__xludf.DUMMYFUNCTION("""COMPUTED_VALUE"""),"https://www.bps.go.id/id/statistics-table/2/NTQzIzI=/tingkat-pengangguran-terbuka--agustus-2025.html 
https://jabar.bps.go.id/id/statistics-table/2/NzMjMg==/tingkat-pengangguran-terbuka-kabupaten-kota.html ")</f>
        <v>https://www.bps.go.id/id/statistics-table/2/NTQzIzI=/tingkat-pengangguran-terbuka--agustus-2025.html 
https://jabar.bps.go.id/id/statistics-table/2/NzMjMg==/tingkat-pengangguran-terbuka-kabupaten-kota.html </v>
      </c>
      <c r="T38" s="7"/>
      <c r="U38" s="7"/>
      <c r="V38" s="7" t="str">
        <f>IFERROR(__xludf.DUMMYFUNCTION("""COMPUTED_VALUE"""),"8.5.2")</f>
        <v>8.5.2</v>
      </c>
      <c r="W38" s="7"/>
      <c r="X38" s="11">
        <f>IFERROR(__xludf.DUMMYFUNCTION("""COMPUTED_VALUE"""),4.85)</f>
        <v>4.85</v>
      </c>
      <c r="Y38" s="7"/>
      <c r="Z38" s="24"/>
      <c r="AA38" s="12" t="s">
        <v>38</v>
      </c>
      <c r="AB38" s="12" t="s">
        <v>17</v>
      </c>
      <c r="AC38" s="17" t="s">
        <v>34</v>
      </c>
      <c r="AD38" s="21" t="s">
        <v>24</v>
      </c>
      <c r="AE38" s="22">
        <v>2025.0</v>
      </c>
      <c r="AF38" s="23" t="s">
        <v>12</v>
      </c>
      <c r="AG38" s="27"/>
      <c r="AH38" s="5" t="s">
        <v>33</v>
      </c>
      <c r="AI38" s="24"/>
      <c r="AJ38" s="24"/>
      <c r="AK38" s="24"/>
      <c r="AL38" s="24"/>
      <c r="AM38" s="24"/>
      <c r="AN38" s="24"/>
    </row>
    <row r="39" ht="27.0" customHeight="1">
      <c r="A39" s="7" t="str">
        <f>IFERROR(__xludf.DUMMYFUNCTION("""COMPUTED_VALUE"""),"IUP")</f>
        <v>IUP</v>
      </c>
      <c r="B39" s="7" t="str">
        <f>IFERROR(__xludf.DUMMYFUNCTION("""COMPUTED_VALUE"""),"Transformasi Ekonomi")</f>
        <v>Transformasi Ekonomi</v>
      </c>
      <c r="C39" s="7" t="str">
        <f>IFERROR(__xludf.DUMMYFUNCTION("""COMPUTED_VALUE"""),"lptek, lnovasi, dan Produktivitas Ekonomi")</f>
        <v>lptek, lnovasi, dan Produktivitas Ekonomi</v>
      </c>
      <c r="D39" s="7" t="str">
        <f>IFERROR(__xludf.DUMMYFUNCTION("""COMPUTED_VALUE"""),"15.b")</f>
        <v>15.b</v>
      </c>
      <c r="E39" s="7" t="str">
        <f>IFERROR(__xludf.DUMMYFUNCTION("""COMPUTED_VALUE"""),"Penciptaan Lapangan Kerja yang Baik: Proporsi Penciptaan Lapangan Kerja Formal (%) ")</f>
        <v>Penciptaan Lapangan Kerja yang Baik: Proporsi Penciptaan Lapangan Kerja Formal (%) </v>
      </c>
      <c r="F39" s="7"/>
      <c r="G39" s="30" t="str">
        <f>IFERROR(__xludf.DUMMYFUNCTION("""COMPUTED_VALUE"""),"Dit. Statistik Kependudukan dan Ketenagakerjaan")</f>
        <v>Dit. Statistik Kependudukan dan Ketenagakerjaan</v>
      </c>
      <c r="H39" s="7" t="str">
        <f>IFERROR(__xludf.DUMMYFUNCTION("""COMPUTED_VALUE"""),"Dit. Ketenagakerjaan")</f>
        <v>Dit. Ketenagakerjaan</v>
      </c>
      <c r="I39" s="5" t="str">
        <f>IFERROR(__xludf.DUMMYFUNCTION("""COMPUTED_VALUE"""),"Direktorat Ketenagakerjaan")</f>
        <v>Direktorat Ketenagakerjaan</v>
      </c>
      <c r="J39" s="7" t="str">
        <f>IFERROR(__xludf.DUMMYFUNCTION("""COMPUTED_VALUE"""),"Kementerian Koordinator Bidang Perekonomian")</f>
        <v>Kementerian Koordinator Bidang Perekonomian</v>
      </c>
      <c r="K39" s="5" t="str">
        <f>IFERROR(__xludf.DUMMYFUNCTION("""COMPUTED_VALUE"""),"Kementerian Koordinator Bidang Perekonomian")</f>
        <v>Kementerian Koordinator Bidang Perekonomian</v>
      </c>
      <c r="L39" s="7" t="str">
        <f>IFERROR(__xludf.DUMMYFUNCTION("""COMPUTED_VALUE"""),"Tersedia s.d Kabupaten/Kota")</f>
        <v>Tersedia s.d Kabupaten/Kota</v>
      </c>
      <c r="M39" s="5" t="str">
        <f>IFERROR(__xludf.DUMMYFUNCTION("""COMPUTED_VALUE"""),"Alfatihah Reno Maulani")</f>
        <v>Alfatihah Reno Maulani</v>
      </c>
      <c r="N39" s="5" t="str">
        <f>IFERROR(__xludf.DUMMYFUNCTION("""COMPUTED_VALUE"""),"untuk SDGs adanya Proporsi lapangan kerja informal, berdasarkan sektor dan jenis kelamin. pada indikator 8.3.1")</f>
        <v>untuk SDGs adanya Proporsi lapangan kerja informal, berdasarkan sektor dan jenis kelamin. pada indikator 8.3.1</v>
      </c>
      <c r="O39" s="5"/>
      <c r="P39" s="9" t="str">
        <f>IFERROR(__xludf.DUMMYFUNCTION("""COMPUTED_VALUE"""),"https://web-api.bps.go.id/download.php?f=P7DeZnTJ65FkJQ1qE3dB9GRMQ2h1dzhCRnZ6SFA1QTRzMWNLODdyWjZ4V3k0SHJxK2YvSWpmTHYzNlNRYjBIbHkydTR6eEFIMklNV1pTZng2NlpaM2d2OThCYUZxLzJKNzJUbWY5eGJKZUk4UXNJNlRYQ0ttUi9PR3l5ZVlOSm0zZkQ0UWVxbk40OEJmZ0RrTC9HS3pyMVpKR2NMTWVOcl"&amp;"FFUjBvK0xTWlpwYTk0N2ZjalFmR2F3UkhjZDFQVnRBS2pQR1ZpUE91NzZ1SERvTkdpTjVBeXJLNllrSTNYTU1WRnM0QnpJdUI5YklZSks5ZW0rMWQvS3JCV0FlTXJ0MWd5bGttQURtZFdxdWhpTms=&amp;_gl=1*24jkot*_ga*MzczNTkwNDAyLjE3NTg1NDQ5MTQ.*_ga_XXTTVXWHDB*czE3NzEzODExMDEkbzcyJGcxJHQxNzcxMzgxMzg4JGo"&amp;"xNyRsMCRoMA..")</f>
        <v>https://web-api.bps.go.id/download.php?f=P7DeZnTJ65FkJQ1qE3dB9GRMQ2h1dzhCRnZ6SFA1QTRzMWNLODdyWjZ4V3k0SHJxK2YvSWpmTHYzNlNRYjBIbHkydTR6eEFIMklNV1pTZng2NlpaM2d2OThCYUZxLzJKNzJUbWY5eGJKZUk4UXNJNlRYQ0ttUi9PR3l5ZVlOSm0zZkQ0UWVxbk40OEJmZ0RrTC9HS3pyMVpKR2NMTWVOclFFUjBvK0xTWlpwYTk0N2ZjalFmR2F3UkhjZDFQVnRBS2pQR1ZpUE91NzZ1SERvTkdpTjVBeXJLNllrSTNYTU1WRnM0QnpJdUI5YklZSks5ZW0rMWQvS3JCV0FlTXJ0MWd5bGttQURtZFdxdWhpTms=&amp;_gl=1*24jkot*_ga*MzczNTkwNDAyLjE3NTg1NDQ5MTQ.*_ga_XXTTVXWHDB*czE3NzEzODExMDEkbzcyJGcxJHQxNzcxMzgxMzg4JGoxNyRsMCRoMA..</v>
      </c>
      <c r="Q39" s="5"/>
      <c r="R39" s="7"/>
      <c r="S39" s="9" t="str">
        <f>IFERROR(__xludf.DUMMYFUNCTION("""COMPUTED_VALUE"""),"https://satudata.dharmasrayakab.go.id/id/dataset/proporsi-penciptaan-lapangan-kerja-formal")</f>
        <v>https://satudata.dharmasrayakab.go.id/id/dataset/proporsi-penciptaan-lapangan-kerja-formal</v>
      </c>
      <c r="T39" s="7"/>
      <c r="U39" s="7"/>
      <c r="V39" s="7"/>
      <c r="W39" s="7"/>
      <c r="X39" s="11">
        <f>IFERROR(__xludf.DUMMYFUNCTION("""COMPUTED_VALUE"""),24.63)</f>
        <v>24.63</v>
      </c>
      <c r="Y39" s="7"/>
      <c r="Z39" s="24"/>
      <c r="AA39" s="12" t="s">
        <v>38</v>
      </c>
      <c r="AB39" s="12" t="s">
        <v>17</v>
      </c>
      <c r="AC39" s="17" t="s">
        <v>34</v>
      </c>
      <c r="AD39" s="21" t="s">
        <v>11</v>
      </c>
      <c r="AE39" s="28" t="s">
        <v>18</v>
      </c>
      <c r="AF39" s="23" t="s">
        <v>12</v>
      </c>
      <c r="AG39" s="27"/>
      <c r="AH39" s="5" t="s">
        <v>33</v>
      </c>
      <c r="AI39" s="24"/>
      <c r="AJ39" s="24"/>
      <c r="AK39" s="24"/>
      <c r="AL39" s="24"/>
      <c r="AM39" s="24"/>
      <c r="AN39" s="24"/>
    </row>
    <row r="40" ht="27.0" customHeight="1">
      <c r="A40" s="7" t="str">
        <f>IFERROR(__xludf.DUMMYFUNCTION("""COMPUTED_VALUE"""),"IUP")</f>
        <v>IUP</v>
      </c>
      <c r="B40" s="7" t="str">
        <f>IFERROR(__xludf.DUMMYFUNCTION("""COMPUTED_VALUE"""),"Transformasi Ekonomi")</f>
        <v>Transformasi Ekonomi</v>
      </c>
      <c r="C40" s="7" t="str">
        <f>IFERROR(__xludf.DUMMYFUNCTION("""COMPUTED_VALUE"""),"lptek, lnovasi, dan Produktivitas Ekonomi")</f>
        <v>lptek, lnovasi, dan Produktivitas Ekonomi</v>
      </c>
      <c r="D40" s="7">
        <f>IFERROR(__xludf.DUMMYFUNCTION("""COMPUTED_VALUE"""),16.0)</f>
        <v>16</v>
      </c>
      <c r="E40" s="7" t="str">
        <f>IFERROR(__xludf.DUMMYFUNCTION("""COMPUTED_VALUE"""),"Tingkat Partisipasi Angkatan Kerja Perempuan  ")</f>
        <v>Tingkat Partisipasi Angkatan Kerja Perempuan  </v>
      </c>
      <c r="F40" s="7"/>
      <c r="G40" s="30" t="str">
        <f>IFERROR(__xludf.DUMMYFUNCTION("""COMPUTED_VALUE"""),"Dit. Statistik Kependudukan dan Ketenagakerjaan")</f>
        <v>Dit. Statistik Kependudukan dan Ketenagakerjaan</v>
      </c>
      <c r="H40" s="7" t="str">
        <f>IFERROR(__xludf.DUMMYFUNCTION("""COMPUTED_VALUE"""),"Dit. Ketenagakerjaan")</f>
        <v>Dit. Ketenagakerjaan</v>
      </c>
      <c r="I40" s="5" t="str">
        <f>IFERROR(__xludf.DUMMYFUNCTION("""COMPUTED_VALUE"""),"Direktorat Ketenagakerjaan")</f>
        <v>Direktorat Ketenagakerjaan</v>
      </c>
      <c r="J40" s="7" t="str">
        <f>IFERROR(__xludf.DUMMYFUNCTION("""COMPUTED_VALUE"""),"BPS")</f>
        <v>BPS</v>
      </c>
      <c r="K40" s="5" t="str">
        <f>IFERROR(__xludf.DUMMYFUNCTION("""COMPUTED_VALUE"""),"Kementerian Koordinator Bidang Perekonomian")</f>
        <v>Kementerian Koordinator Bidang Perekonomian</v>
      </c>
      <c r="L40" s="7" t="str">
        <f>IFERROR(__xludf.DUMMYFUNCTION("""COMPUTED_VALUE"""),"Tersedia s.d Kabupaten/Kota")</f>
        <v>Tersedia s.d Kabupaten/Kota</v>
      </c>
      <c r="M40" s="5" t="str">
        <f>IFERROR(__xludf.DUMMYFUNCTION("""COMPUTED_VALUE"""),"Alfatihah Reno Maulani")</f>
        <v>Alfatihah Reno Maulani</v>
      </c>
      <c r="N40" s="5"/>
      <c r="O40" s="8" t="str">
        <f>IFERROR(__xludf.DUMMYFUNCTION("""COMPUTED_VALUE"""),"Semarang (2023) https://sirusa.web.bps.go.id/metadata/indikator/63112")</f>
        <v>Semarang (2023) https://sirusa.web.bps.go.id/metadata/indikator/63112</v>
      </c>
      <c r="P40" s="7"/>
      <c r="Q40" s="5"/>
      <c r="R40" s="7"/>
      <c r="S40" s="33" t="str">
        <f>IFERROR(__xludf.DUMMYFUNCTION("""COMPUTED_VALUE"""),"https://www.bps.go.id/id/statistics-table/2/MjIwMCMy/tingkat-partisipasi-angkatan-kerja-menurut-jenis-kelamin.html")</f>
        <v>https://www.bps.go.id/id/statistics-table/2/MjIwMCMy/tingkat-partisipasi-angkatan-kerja-menurut-jenis-kelamin.html</v>
      </c>
      <c r="T40" s="7"/>
      <c r="U40" s="7"/>
      <c r="V40" s="7"/>
      <c r="W40" s="7"/>
      <c r="X40" s="11">
        <f>IFERROR(__xludf.DUMMYFUNCTION("""COMPUTED_VALUE"""),56.63)</f>
        <v>56.63</v>
      </c>
      <c r="Y40" s="7"/>
      <c r="Z40" s="24"/>
      <c r="AA40" s="12" t="s">
        <v>38</v>
      </c>
      <c r="AB40" s="12" t="s">
        <v>17</v>
      </c>
      <c r="AC40" s="17" t="s">
        <v>34</v>
      </c>
      <c r="AD40" s="21" t="s">
        <v>24</v>
      </c>
      <c r="AE40" s="22">
        <v>2025.0</v>
      </c>
      <c r="AF40" s="23" t="s">
        <v>12</v>
      </c>
      <c r="AG40" s="27"/>
      <c r="AH40" s="5" t="s">
        <v>33</v>
      </c>
      <c r="AI40" s="24"/>
      <c r="AJ40" s="24"/>
      <c r="AK40" s="24"/>
      <c r="AL40" s="24"/>
      <c r="AM40" s="24"/>
      <c r="AN40" s="24"/>
    </row>
    <row r="41" ht="27.0" customHeight="1">
      <c r="A41" s="7" t="str">
        <f>IFERROR(__xludf.DUMMYFUNCTION("""COMPUTED_VALUE"""),"IUP")</f>
        <v>IUP</v>
      </c>
      <c r="B41" s="7" t="str">
        <f>IFERROR(__xludf.DUMMYFUNCTION("""COMPUTED_VALUE"""),"Transformasi Ekonomi")</f>
        <v>Transformasi Ekonomi</v>
      </c>
      <c r="C41" s="7" t="str">
        <f>IFERROR(__xludf.DUMMYFUNCTION("""COMPUTED_VALUE"""),"lptek, lnovasi, dan Produktivitas Ekonomi")</f>
        <v>lptek, lnovasi, dan Produktivitas Ekonomi</v>
      </c>
      <c r="D41" s="7" t="str">
        <f>IFERROR(__xludf.DUMMYFUNCTION("""COMPUTED_VALUE"""),"17.a")</f>
        <v>17.a</v>
      </c>
      <c r="E41" s="7" t="str">
        <f>IFERROR(__xludf.DUMMYFUNCTION("""COMPUTED_VALUE"""),"Tingkat Penguasaan IPTEK: Pengeluaran Iptek dan Inovasi (Persen
 PDB) ")</f>
        <v>Tingkat Penguasaan IPTEK: Pengeluaran Iptek dan Inovasi (Persen
 PDB) </v>
      </c>
      <c r="F41" s="7"/>
      <c r="G41" s="30" t="str">
        <f>IFERROR(__xludf.DUMMYFUNCTION("""COMPUTED_VALUE"""),"Dit. Neraca Pengeluaran")</f>
        <v>Dit. Neraca Pengeluaran</v>
      </c>
      <c r="H41" s="7" t="str">
        <f>IFERROR(__xludf.DUMMYFUNCTION("""COMPUTED_VALUE"""),"Dit. Pendidikan Tinggi dan IPTEK")</f>
        <v>Dit. Pendidikan Tinggi dan IPTEK</v>
      </c>
      <c r="I41" s="31" t="str">
        <f>IFERROR(__xludf.DUMMYFUNCTION("""COMPUTED_VALUE"""),"Direktorat Pendidikan Tinggi, Ilmu Pengetahuan, dan Teknologi")</f>
        <v>Direktorat Pendidikan Tinggi, Ilmu Pengetahuan, dan Teknologi</v>
      </c>
      <c r="J41" s="7" t="str">
        <f>IFERROR(__xludf.DUMMYFUNCTION("""COMPUTED_VALUE"""),"Badan Riset dan Inovasi Nasional")</f>
        <v>Badan Riset dan Inovasi Nasional</v>
      </c>
      <c r="K41" s="5" t="str">
        <f>IFERROR(__xludf.DUMMYFUNCTION("""COMPUTED_VALUE"""),"Badan Riset dan Inovasi Nasional")</f>
        <v>Badan Riset dan Inovasi Nasional</v>
      </c>
      <c r="L41" s="7" t="str">
        <f>IFERROR(__xludf.DUMMYFUNCTION("""COMPUTED_VALUE"""),"Tidak Tersedia")</f>
        <v>Tidak Tersedia</v>
      </c>
      <c r="M41" s="5" t="str">
        <f>IFERROR(__xludf.DUMMYFUNCTION("""COMPUTED_VALUE"""),"Syifasari Diennabila")</f>
        <v>Syifasari Diennabila</v>
      </c>
      <c r="N41" s="5" t="str">
        <f>IFERROR(__xludf.DUMMYFUNCTION("""COMPUTED_VALUE"""),"17a Pengeluaran IPTEK dan Inovasi
Yang Anggaran Riset Pemerintah ada di APBN dan APBD namun riset swasta tidak tersedia.")</f>
        <v>17a Pengeluaran IPTEK dan Inovasi
Yang Anggaran Riset Pemerintah ada di APBN dan APBD namun riset swasta tidak tersedia.</v>
      </c>
      <c r="O41" s="8" t="str">
        <f>IFERROR(__xludf.DUMMYFUNCTION("""COMPUTED_VALUE"""),"Metadata Nomor 17a https://drive.google.com/drive/folders/1bL0VYlLQayyiyu9GsR1cYf6pBZSRb_IE ")</f>
        <v>Metadata Nomor 17a https://drive.google.com/drive/folders/1bL0VYlLQayyiyu9GsR1cYf6pBZSRb_IE </v>
      </c>
      <c r="P41" s="7"/>
      <c r="Q41" s="5"/>
      <c r="R41" s="7"/>
      <c r="S41" s="7"/>
      <c r="T41" s="7"/>
      <c r="U41" s="7"/>
      <c r="V41" s="7"/>
      <c r="W41" s="7"/>
      <c r="X41" s="7" t="str">
        <f>IFERROR(__xludf.DUMMYFUNCTION("""COMPUTED_VALUE"""),"Data Tersedia dari tahun 2022-2024, untuk tahun 2025 masih dalam tahap pengumpulan data")</f>
        <v>Data Tersedia dari tahun 2022-2024, untuk tahun 2025 masih dalam tahap pengumpulan data</v>
      </c>
      <c r="Y41" s="7"/>
      <c r="Z41" s="24"/>
      <c r="AA41" s="12" t="s">
        <v>8</v>
      </c>
      <c r="AB41" s="12" t="s">
        <v>9</v>
      </c>
      <c r="AC41" s="13" t="s">
        <v>10</v>
      </c>
      <c r="AD41" s="27"/>
      <c r="AE41" s="32"/>
      <c r="AF41" s="32"/>
      <c r="AG41" s="27"/>
      <c r="AH41" s="5" t="s">
        <v>63</v>
      </c>
      <c r="AI41" s="24"/>
      <c r="AJ41" s="24"/>
      <c r="AK41" s="24"/>
      <c r="AL41" s="24"/>
      <c r="AM41" s="24"/>
      <c r="AN41" s="24"/>
    </row>
    <row r="42" ht="27.0" customHeight="1">
      <c r="A42" s="7" t="str">
        <f>IFERROR(__xludf.DUMMYFUNCTION("""COMPUTED_VALUE"""),"IUP")</f>
        <v>IUP</v>
      </c>
      <c r="B42" s="7" t="str">
        <f>IFERROR(__xludf.DUMMYFUNCTION("""COMPUTED_VALUE"""),"Transformasi Ekonomi")</f>
        <v>Transformasi Ekonomi</v>
      </c>
      <c r="C42" s="7" t="str">
        <f>IFERROR(__xludf.DUMMYFUNCTION("""COMPUTED_VALUE"""),"lptek, lnovasi, dan Produktivitas Ekonomi")</f>
        <v>lptek, lnovasi, dan Produktivitas Ekonomi</v>
      </c>
      <c r="D42" s="7" t="str">
        <f>IFERROR(__xludf.DUMMYFUNCTION("""COMPUTED_VALUE"""),"17.b")</f>
        <v>17.b</v>
      </c>
      <c r="E42" s="7" t="str">
        <f>IFERROR(__xludf.DUMMYFUNCTION("""COMPUTED_VALUE"""),"Tingkat Penguasaan IPTEK: Peringkat Indeks Inovasi Global (peringkat) ")</f>
        <v>Tingkat Penguasaan IPTEK: Peringkat Indeks Inovasi Global (peringkat) </v>
      </c>
      <c r="F42" s="7"/>
      <c r="G42" s="30" t="str">
        <f>IFERROR(__xludf.DUMMYFUNCTION("""COMPUTED_VALUE"""),"Dit. Analisis Statistik dan Neraca Satelit")</f>
        <v>Dit. Analisis Statistik dan Neraca Satelit</v>
      </c>
      <c r="H42" s="7" t="str">
        <f>IFERROR(__xludf.DUMMYFUNCTION("""COMPUTED_VALUE"""),"Dit. Pendidikan Tinggi dan IPTEK")</f>
        <v>Dit. Pendidikan Tinggi dan IPTEK</v>
      </c>
      <c r="I42" s="5" t="str">
        <f>IFERROR(__xludf.DUMMYFUNCTION("""COMPUTED_VALUE"""),"Direktorat Pendidikan Tinggi, Ilmu Pengetahuan, dan Teknologi")</f>
        <v>Direktorat Pendidikan Tinggi, Ilmu Pengetahuan, dan Teknologi</v>
      </c>
      <c r="J42" s="7" t="str">
        <f>IFERROR(__xludf.DUMMYFUNCTION("""COMPUTED_VALUE"""),"World Intellectual Property Organization (WIPO)")</f>
        <v>World Intellectual Property Organization (WIPO)</v>
      </c>
      <c r="K42" s="5" t="str">
        <f>IFERROR(__xludf.DUMMYFUNCTION("""COMPUTED_VALUE"""),"Badan Riset dan Inovasi Nasional")</f>
        <v>Badan Riset dan Inovasi Nasional</v>
      </c>
      <c r="L42" s="7" t="str">
        <f>IFERROR(__xludf.DUMMYFUNCTION("""COMPUTED_VALUE"""),"Tersedia Nasional")</f>
        <v>Tersedia Nasional</v>
      </c>
      <c r="M42" s="5" t="str">
        <f>IFERROR(__xludf.DUMMYFUNCTION("""COMPUTED_VALUE"""),"Erna Yulianingsih")</f>
        <v>Erna Yulianingsih</v>
      </c>
      <c r="N42" s="8" t="str">
        <f>IFERROR(__xludf.DUMMYFUNCTION("""COMPUTED_VALUE"""),"https://www.wipo.int/publications/en/series/index.jsp?id=129")</f>
        <v>https://www.wipo.int/publications/en/series/index.jsp?id=129</v>
      </c>
      <c r="O42" s="5"/>
      <c r="P42" s="7"/>
      <c r="Q42" s="5"/>
      <c r="R42" s="7"/>
      <c r="S42" s="7"/>
      <c r="T42" s="7"/>
      <c r="U42" s="7"/>
      <c r="V42" s="7"/>
      <c r="W42" s="7"/>
      <c r="X42" s="11" t="str">
        <f>IFERROR(__xludf.DUMMYFUNCTION("""COMPUTED_VALUE"""),"Indeks 31.3
Peringkat 55")</f>
        <v>Indeks 31.3
Peringkat 55</v>
      </c>
      <c r="Y42" s="7"/>
      <c r="Z42" s="24"/>
      <c r="AA42" s="5" t="s">
        <v>27</v>
      </c>
      <c r="AB42" s="12" t="s">
        <v>9</v>
      </c>
      <c r="AC42" s="13" t="s">
        <v>10</v>
      </c>
      <c r="AD42" s="21" t="s">
        <v>11</v>
      </c>
      <c r="AE42" s="22">
        <v>2025.0</v>
      </c>
      <c r="AF42" s="23" t="s">
        <v>12</v>
      </c>
      <c r="AG42" s="21" t="s">
        <v>64</v>
      </c>
      <c r="AH42" s="5" t="s">
        <v>33</v>
      </c>
      <c r="AI42" s="24"/>
      <c r="AJ42" s="24"/>
      <c r="AK42" s="24"/>
      <c r="AL42" s="24"/>
      <c r="AM42" s="24"/>
      <c r="AN42" s="24"/>
    </row>
    <row r="43" ht="27.0" customHeight="1">
      <c r="A43" s="7" t="str">
        <f>IFERROR(__xludf.DUMMYFUNCTION("""COMPUTED_VALUE"""),"IUP")</f>
        <v>IUP</v>
      </c>
      <c r="B43" s="7" t="str">
        <f>IFERROR(__xludf.DUMMYFUNCTION("""COMPUTED_VALUE"""),"Transformasi Ekonomi")</f>
        <v>Transformasi Ekonomi</v>
      </c>
      <c r="C43" s="7" t="str">
        <f>IFERROR(__xludf.DUMMYFUNCTION("""COMPUTED_VALUE"""),"Penerapan Ekonomi Hijau")</f>
        <v>Penerapan Ekonomi Hijau</v>
      </c>
      <c r="D43" s="7" t="str">
        <f>IFERROR(__xludf.DUMMYFUNCTION("""COMPUTED_VALUE"""),"18.a")</f>
        <v>18.a</v>
      </c>
      <c r="E43" s="7" t="str">
        <f>IFERROR(__xludf.DUMMYFUNCTION("""COMPUTED_VALUE"""),"Tingkat Penerapan Ekonomi Hijau: Indeks Ekonomi Hijau ")</f>
        <v>Tingkat Penerapan Ekonomi Hijau: Indeks Ekonomi Hijau </v>
      </c>
      <c r="F43" s="7"/>
      <c r="G43" s="30" t="str">
        <f>IFERROR(__xludf.DUMMYFUNCTION("""COMPUTED_VALUE"""),"Dit. Neraca Produksi")</f>
        <v>Dit. Neraca Produksi</v>
      </c>
      <c r="H43" s="7" t="str">
        <f>IFERROR(__xludf.DUMMYFUNCTION("""COMPUTED_VALUE"""),"Dit. Lingkungan Hidup")</f>
        <v>Dit. Lingkungan Hidup</v>
      </c>
      <c r="I43" s="5" t="str">
        <f>IFERROR(__xludf.DUMMYFUNCTION("""COMPUTED_VALUE"""),"Direktorat Lingkungan Hidup")</f>
        <v>Direktorat Lingkungan Hidup</v>
      </c>
      <c r="J43" s="7" t="str">
        <f>IFERROR(__xludf.DUMMYFUNCTION("""COMPUTED_VALUE"""),"Kementerian PPN/Bappenas")</f>
        <v>Kementerian PPN/Bappenas</v>
      </c>
      <c r="K43" s="5" t="str">
        <f>IFERROR(__xludf.DUMMYFUNCTION("""COMPUTED_VALUE"""),"Kementerian PPN/Bappenas")</f>
        <v>Kementerian PPN/Bappenas</v>
      </c>
      <c r="L43" s="7" t="str">
        <f>IFERROR(__xludf.DUMMYFUNCTION("""COMPUTED_VALUE"""),"Tersedia Nasional")</f>
        <v>Tersedia Nasional</v>
      </c>
      <c r="M43" s="8" t="str">
        <f>IFERROR(__xludf.DUMMYFUNCTION("""COMPUTED_VALUE"""),"Ety Kurniati, S.ST")</f>
        <v>Ety Kurniati, S.ST</v>
      </c>
      <c r="N43" s="5"/>
      <c r="O43" s="5"/>
      <c r="P43" s="9" t="str">
        <f>IFERROR(__xludf.DUMMYFUNCTION("""COMPUTED_VALUE"""),"https://lcdi-indonesia.id/wp-content/uploads/2022/08/Green-Economy-Index-A-Step-Forward-to-Measure-the-Progress-of-Low-Carbon-and-Green-Economy-in-Indonesia.pdf")</f>
        <v>https://lcdi-indonesia.id/wp-content/uploads/2022/08/Green-Economy-Index-A-Step-Forward-to-Measure-the-Progress-of-Low-Carbon-and-Green-Economy-in-Indonesia.pdf</v>
      </c>
      <c r="Q43" s="5"/>
      <c r="R43" s="7"/>
      <c r="S43" s="7"/>
      <c r="T43" s="7"/>
      <c r="U43" s="7">
        <f>IFERROR(__xludf.DUMMYFUNCTION("""COMPUTED_VALUE"""),2022.0)</f>
        <v>2022</v>
      </c>
      <c r="V43" s="7"/>
      <c r="W43" s="7"/>
      <c r="X43" s="7" t="str">
        <f>IFERROR(__xludf.DUMMYFUNCTION("""COMPUTED_VALUE"""),"Perubahan SOTK, PJK adalah DANS")</f>
        <v>Perubahan SOTK, PJK adalah DANS</v>
      </c>
      <c r="Y43" s="7"/>
      <c r="Z43" s="24"/>
      <c r="AA43" s="12" t="s">
        <v>15</v>
      </c>
      <c r="AB43" s="12" t="s">
        <v>9</v>
      </c>
      <c r="AC43" s="13" t="s">
        <v>10</v>
      </c>
      <c r="AD43" s="21" t="s">
        <v>11</v>
      </c>
      <c r="AE43" s="22">
        <v>2023.0</v>
      </c>
      <c r="AF43" s="23" t="s">
        <v>12</v>
      </c>
      <c r="AG43" s="27"/>
      <c r="AH43" s="5" t="s">
        <v>33</v>
      </c>
      <c r="AI43" s="24"/>
      <c r="AJ43" s="24"/>
      <c r="AK43" s="24"/>
      <c r="AL43" s="24"/>
      <c r="AM43" s="24"/>
      <c r="AN43" s="24"/>
    </row>
    <row r="44" ht="27.0" customHeight="1">
      <c r="A44" s="7" t="str">
        <f>IFERROR(__xludf.DUMMYFUNCTION("""COMPUTED_VALUE"""),"IUP")</f>
        <v>IUP</v>
      </c>
      <c r="B44" s="7" t="str">
        <f>IFERROR(__xludf.DUMMYFUNCTION("""COMPUTED_VALUE"""),"Transformasi Ekonomi")</f>
        <v>Transformasi Ekonomi</v>
      </c>
      <c r="C44" s="7" t="str">
        <f>IFERROR(__xludf.DUMMYFUNCTION("""COMPUTED_VALUE"""),"Penerapan Ekonomi Hijau")</f>
        <v>Penerapan Ekonomi Hijau</v>
      </c>
      <c r="D44" s="7" t="str">
        <f>IFERROR(__xludf.DUMMYFUNCTION("""COMPUTED_VALUE"""),"18.b")</f>
        <v>18.b</v>
      </c>
      <c r="E44" s="7" t="str">
        <f>IFERROR(__xludf.DUMMYFUNCTION("""COMPUTED_VALUE"""),"Tingkat Penerapan Ekonomi Hijau: Porsi EBT dalam Bauran Energi Primer (%) ")</f>
        <v>Tingkat Penerapan Ekonomi Hijau: Porsi EBT dalam Bauran Energi Primer (%) </v>
      </c>
      <c r="F44" s="7"/>
      <c r="G44" s="30" t="str">
        <f>IFERROR(__xludf.DUMMYFUNCTION("""COMPUTED_VALUE"""),"Dit. Statistik Sumber Daya Mineral dan Konstruksi")</f>
        <v>Dit. Statistik Sumber Daya Mineral dan Konstruksi</v>
      </c>
      <c r="H44" s="7" t="str">
        <f>IFERROR(__xludf.DUMMYFUNCTION("""COMPUTED_VALUE"""),"Dit. Sumber Daya Energi, Mineral dan Pertambangan")</f>
        <v>Dit. Sumber Daya Energi, Mineral dan Pertambangan</v>
      </c>
      <c r="I44" s="5" t="str">
        <f>IFERROR(__xludf.DUMMYFUNCTION("""COMPUTED_VALUE"""),"Direktorat Sumber Daya Energi, Mineral, dan Pertambangan")</f>
        <v>Direktorat Sumber Daya Energi, Mineral, dan Pertambangan</v>
      </c>
      <c r="J44" s="7" t="str">
        <f>IFERROR(__xludf.DUMMYFUNCTION("""COMPUTED_VALUE"""),"Kementerian Energi dan Sumber Daya Mineral")</f>
        <v>Kementerian Energi dan Sumber Daya Mineral</v>
      </c>
      <c r="K44" s="5" t="str">
        <f>IFERROR(__xludf.DUMMYFUNCTION("""COMPUTED_VALUE"""),"Kementerian Energi dan Sumber Daya Mineral")</f>
        <v>Kementerian Energi dan Sumber Daya Mineral</v>
      </c>
      <c r="L44" s="7" t="str">
        <f>IFERROR(__xludf.DUMMYFUNCTION("""COMPUTED_VALUE"""),"Tersedia Nasional")</f>
        <v>Tersedia Nasional</v>
      </c>
      <c r="M44" s="5" t="str">
        <f>IFERROR(__xludf.DUMMYFUNCTION("""COMPUTED_VALUE"""),"Dhiar Niken Larasati, SST, M.E.")</f>
        <v>Dhiar Niken Larasati, SST, M.E.</v>
      </c>
      <c r="N44" s="5" t="str">
        <f>IFERROR(__xludf.DUMMYFUNCTION("""COMPUTED_VALUE"""),"Berapa persen energi yang digunakan suatu negara berasal dari energi terbarukan dibandingkan seluruh sumber energi yang dipakai. \text{Porsi EBT} =
\frac{\text{Total energi dari EBT}}{\text{Total seluruh energi primer}}
\times 100\%")</f>
        <v>Berapa persen energi yang digunakan suatu negara berasal dari energi terbarukan dibandingkan seluruh sumber energi yang dipakai. \text{Porsi EBT} =
\frac{\text{Total energi dari EBT}}{\text{Total seluruh energi primer}}
\times 100\%</v>
      </c>
      <c r="O44" s="5"/>
      <c r="P44" s="7" t="str">
        <f>IFERROR(__xludf.DUMMYFUNCTION("""COMPUTED_VALUE"""),"https://www.esdm.go.id/en/publication/handbook-of-energy-economic-statistics-of-indonesia-heesi
https://www.esdm.go.id/assets/media/content/content-laporan-kinerja-ditjen-ebtke-tahun-2024.pdf")</f>
        <v>https://www.esdm.go.id/en/publication/handbook-of-energy-economic-statistics-of-indonesia-heesi
https://www.esdm.go.id/assets/media/content/content-laporan-kinerja-ditjen-ebtke-tahun-2024.pdf</v>
      </c>
      <c r="Q44" s="5"/>
      <c r="R44" s="7"/>
      <c r="S44" s="7" t="str">
        <f>IFERROR(__xludf.DUMMYFUNCTION("""COMPUTED_VALUE"""),"2024 14,7%
2023 13,3%
2022 11,9%
2021 11,8%
2020 10,9%
2019 9,2%
2018 8,6%
2017 6,7%
")</f>
        <v>2024 14,7%
2023 13,3%
2022 11,9%
2021 11,8%
2020 10,9%
2019 9,2%
2018 8,6%
2017 6,7%
</v>
      </c>
      <c r="T44" s="7"/>
      <c r="U44" s="7">
        <f>IFERROR(__xludf.DUMMYFUNCTION("""COMPUTED_VALUE"""),2024.0)</f>
        <v>2024</v>
      </c>
      <c r="V44" s="7"/>
      <c r="W44" s="7"/>
      <c r="X44" s="7" t="str">
        <f>IFERROR(__xludf.DUMMYFUNCTION("""COMPUTED_VALUE"""),"rencana rilis triwulan II tahun 2026")</f>
        <v>rencana rilis triwulan II tahun 2026</v>
      </c>
      <c r="Y44" s="7"/>
      <c r="Z44" s="24"/>
      <c r="AA44" s="5" t="s">
        <v>65</v>
      </c>
      <c r="AB44" s="5" t="s">
        <v>25</v>
      </c>
      <c r="AC44" s="24" t="s">
        <v>43</v>
      </c>
      <c r="AD44" s="21" t="s">
        <v>11</v>
      </c>
      <c r="AE44" s="22">
        <v>2024.0</v>
      </c>
      <c r="AF44" s="23" t="s">
        <v>12</v>
      </c>
      <c r="AG44" s="27"/>
      <c r="AH44" s="5" t="s">
        <v>33</v>
      </c>
      <c r="AI44" s="24"/>
      <c r="AJ44" s="24"/>
      <c r="AK44" s="24"/>
      <c r="AL44" s="24"/>
      <c r="AM44" s="24"/>
      <c r="AN44" s="24"/>
    </row>
    <row r="45" ht="27.0" customHeight="1">
      <c r="A45" s="7" t="str">
        <f>IFERROR(__xludf.DUMMYFUNCTION("""COMPUTED_VALUE"""),"IUP")</f>
        <v>IUP</v>
      </c>
      <c r="B45" s="7" t="str">
        <f>IFERROR(__xludf.DUMMYFUNCTION("""COMPUTED_VALUE"""),"Transformasi Digital")</f>
        <v>Transformasi Digital</v>
      </c>
      <c r="C45" s="7" t="str">
        <f>IFERROR(__xludf.DUMMYFUNCTION("""COMPUTED_VALUE"""),"Transformasi Digital")</f>
        <v>Transformasi Digital</v>
      </c>
      <c r="D45" s="7">
        <f>IFERROR(__xludf.DUMMYFUNCTION("""COMPUTED_VALUE"""),19.0)</f>
        <v>19</v>
      </c>
      <c r="E45" s="7" t="str">
        <f>IFERROR(__xludf.DUMMYFUNCTION("""COMPUTED_VALUE"""),"Indeks Daya Saing Digital di Tingkat Global (Peringkat)  ")</f>
        <v>Indeks Daya Saing Digital di Tingkat Global (Peringkat)  </v>
      </c>
      <c r="F45" s="7"/>
      <c r="G45" s="30" t="str">
        <f>IFERROR(__xludf.DUMMYFUNCTION("""COMPUTED_VALUE"""),"Dit. Analisis Statistik dan Neraca Satelit")</f>
        <v>Dit. Analisis Statistik dan Neraca Satelit</v>
      </c>
      <c r="H45" s="7" t="str">
        <f>IFERROR(__xludf.DUMMYFUNCTION("""COMPUTED_VALUE"""),"Dit. Ketenagalistrikan, Telekomunikasi dan Informatika")</f>
        <v>Dit. Ketenagalistrikan, Telekomunikasi dan Informatika</v>
      </c>
      <c r="I45" s="5" t="str">
        <f>IFERROR(__xludf.DUMMYFUNCTION("""COMPUTED_VALUE"""),"Direktorat Infrastruktur, Ekosistem, dan Keamanan Digital")</f>
        <v>Direktorat Infrastruktur, Ekosistem, dan Keamanan Digital</v>
      </c>
      <c r="J45" s="7" t="str">
        <f>IFERROR(__xludf.DUMMYFUNCTION("""COMPUTED_VALUE"""),"International Institute for Management Development")</f>
        <v>International Institute for Management Development</v>
      </c>
      <c r="K45" s="5" t="str">
        <f>IFERROR(__xludf.DUMMYFUNCTION("""COMPUTED_VALUE"""),"Kementerian Komunikasi dan Digital")</f>
        <v>Kementerian Komunikasi dan Digital</v>
      </c>
      <c r="L45" s="7" t="str">
        <f>IFERROR(__xludf.DUMMYFUNCTION("""COMPUTED_VALUE"""),"Tersedia Nasional")</f>
        <v>Tersedia Nasional</v>
      </c>
      <c r="M45" s="5" t="str">
        <f>IFERROR(__xludf.DUMMYFUNCTION("""COMPUTED_VALUE"""),"Erna Yulianingsih")</f>
        <v>Erna Yulianingsih</v>
      </c>
      <c r="N45" s="8" t="str">
        <f>IFERROR(__xludf.DUMMYFUNCTION("""COMPUTED_VALUE"""),"World Digital Competitiveness Ranking 2025 - IMD business school for management and leadership courses")</f>
        <v>World Digital Competitiveness Ranking 2025 - IMD business school for management and leadership courses</v>
      </c>
      <c r="O45" s="5" t="str">
        <f>IFERROR(__xludf.DUMMYFUNCTION("""COMPUTED_VALUE"""),"2025 (latest) 19. Indeks Daya Saing Digital di Tingkat Global (Peringkat)")</f>
        <v>2025 (latest) 19. Indeks Daya Saing Digital di Tingkat Global (Peringkat)</v>
      </c>
      <c r="P45" s="9" t="str">
        <f>IFERROR(__xludf.DUMMYFUNCTION("""COMPUTED_VALUE"""),"https://www.imd.org/entity-profile/indonesia-digital/")</f>
        <v>https://www.imd.org/entity-profile/indonesia-digital/</v>
      </c>
      <c r="Q45" s="5"/>
      <c r="R45" s="7"/>
      <c r="S45" s="7"/>
      <c r="T45" s="7"/>
      <c r="U45" s="7"/>
      <c r="V45" s="7"/>
      <c r="W45" s="7"/>
      <c r="X45" s="11" t="str">
        <f>IFERROR(__xludf.DUMMYFUNCTION("""COMPUTED_VALUE"""),"Indeks 56.76
Peringkat 51")</f>
        <v>Indeks 56.76
Peringkat 51</v>
      </c>
      <c r="Y45" s="7"/>
      <c r="Z45" s="24"/>
      <c r="AA45" s="5" t="s">
        <v>27</v>
      </c>
      <c r="AB45" s="12" t="s">
        <v>9</v>
      </c>
      <c r="AC45" s="13" t="s">
        <v>10</v>
      </c>
      <c r="AD45" s="21" t="s">
        <v>11</v>
      </c>
      <c r="AE45" s="22">
        <v>2024.0</v>
      </c>
      <c r="AF45" s="23" t="s">
        <v>12</v>
      </c>
      <c r="AG45" s="21" t="s">
        <v>66</v>
      </c>
      <c r="AH45" s="5" t="s">
        <v>45</v>
      </c>
      <c r="AI45" s="24"/>
      <c r="AJ45" s="24"/>
      <c r="AK45" s="24"/>
      <c r="AL45" s="24"/>
      <c r="AM45" s="24"/>
      <c r="AN45" s="24"/>
    </row>
    <row r="46" ht="27.0" customHeight="1">
      <c r="A46" s="7" t="str">
        <f>IFERROR(__xludf.DUMMYFUNCTION("""COMPUTED_VALUE"""),"IUP")</f>
        <v>IUP</v>
      </c>
      <c r="B46" s="7" t="str">
        <f>IFERROR(__xludf.DUMMYFUNCTION("""COMPUTED_VALUE"""),"Transformasi Digital")</f>
        <v>Transformasi Digital</v>
      </c>
      <c r="C46" s="7" t="str">
        <f>IFERROR(__xludf.DUMMYFUNCTION("""COMPUTED_VALUE"""),"Integrasi Ekonomi Global")</f>
        <v>Integrasi Ekonomi Global</v>
      </c>
      <c r="D46" s="7">
        <f>IFERROR(__xludf.DUMMYFUNCTION("""COMPUTED_VALUE"""),20.0)</f>
        <v>20</v>
      </c>
      <c r="E46" s="7" t="str">
        <f>IFERROR(__xludf.DUMMYFUNCTION("""COMPUTED_VALUE"""),"Biaya Logistik (% PDB)  ")</f>
        <v>Biaya Logistik (% PDB)  </v>
      </c>
      <c r="F46" s="7"/>
      <c r="G46" s="30" t="str">
        <f>IFERROR(__xludf.DUMMYFUNCTION("""COMPUTED_VALUE"""),"Dit. Neraca Pengeluaran")</f>
        <v>Dit. Neraca Pengeluaran</v>
      </c>
      <c r="H46" s="7" t="str">
        <f>IFERROR(__xludf.DUMMYFUNCTION("""COMPUTED_VALUE"""),"Dit. Perdagangan, Investasi dan Kerjasama Ekonomi Internasional")</f>
        <v>Dit. Perdagangan, Investasi dan Kerjasama Ekonomi Internasional</v>
      </c>
      <c r="I46" s="5" t="str">
        <f>IFERROR(__xludf.DUMMYFUNCTION("""COMPUTED_VALUE"""),"Direktorat Industri, Perdagangan, dan Peningkatan Investasi")</f>
        <v>Direktorat Industri, Perdagangan, dan Peningkatan Investasi</v>
      </c>
      <c r="J46" s="7" t="str">
        <f>IFERROR(__xludf.DUMMYFUNCTION("""COMPUTED_VALUE"""),"Kementerian PPN/Bappenas")</f>
        <v>Kementerian PPN/Bappenas</v>
      </c>
      <c r="K46" s="5" t="str">
        <f>IFERROR(__xludf.DUMMYFUNCTION("""COMPUTED_VALUE"""),"Kementerian Koordinator Bidang Perekonomian")</f>
        <v>Kementerian Koordinator Bidang Perekonomian</v>
      </c>
      <c r="L46" s="7" t="str">
        <f>IFERROR(__xludf.DUMMYFUNCTION("""COMPUTED_VALUE"""),"Tidak Tersedia")</f>
        <v>Tidak Tersedia</v>
      </c>
      <c r="M46" s="5" t="str">
        <f>IFERROR(__xludf.DUMMYFUNCTION("""COMPUTED_VALUE"""),"Syifasari Diennabila")</f>
        <v>Syifasari Diennabila</v>
      </c>
      <c r="N46" s="5"/>
      <c r="O46" s="5"/>
      <c r="P46" s="9" t="str">
        <f>IFERROR(__xludf.DUMMYFUNCTION("""COMPUTED_VALUE"""),"https://www.pelindo.co.id/media/download/507/biaya-logistik-di-indonesia-turun-40-persen-dalam-lima-tahun")</f>
        <v>https://www.pelindo.co.id/media/download/507/biaya-logistik-di-indonesia-turun-40-persen-dalam-lima-tahun</v>
      </c>
      <c r="Q46" s="5"/>
      <c r="R46" s="7"/>
      <c r="S46" s="7"/>
      <c r="T46" s="7"/>
      <c r="U46" s="7"/>
      <c r="V46" s="7"/>
      <c r="W46" s="7"/>
      <c r="X46" s="7"/>
      <c r="Y46" s="7"/>
      <c r="Z46" s="24"/>
      <c r="AA46" s="12" t="s">
        <v>8</v>
      </c>
      <c r="AB46" s="12" t="s">
        <v>9</v>
      </c>
      <c r="AC46" s="13" t="s">
        <v>10</v>
      </c>
      <c r="AD46" s="35" t="s">
        <v>11</v>
      </c>
      <c r="AE46" s="36" t="s">
        <v>18</v>
      </c>
      <c r="AF46" s="37" t="s">
        <v>18</v>
      </c>
      <c r="AG46" s="35" t="s">
        <v>67</v>
      </c>
      <c r="AH46" s="5" t="s">
        <v>45</v>
      </c>
      <c r="AI46" s="24"/>
      <c r="AJ46" s="24"/>
      <c r="AK46" s="24"/>
      <c r="AL46" s="24"/>
      <c r="AM46" s="24"/>
      <c r="AN46" s="24"/>
    </row>
    <row r="47" ht="27.0" customHeight="1">
      <c r="A47" s="7" t="str">
        <f>IFERROR(__xludf.DUMMYFUNCTION("""COMPUTED_VALUE"""),"IUP")</f>
        <v>IUP</v>
      </c>
      <c r="B47" s="7" t="str">
        <f>IFERROR(__xludf.DUMMYFUNCTION("""COMPUTED_VALUE"""),"Transformasi Digital")</f>
        <v>Transformasi Digital</v>
      </c>
      <c r="C47" s="7" t="str">
        <f>IFERROR(__xludf.DUMMYFUNCTION("""COMPUTED_VALUE"""),"Integrasi Ekonomi Global")</f>
        <v>Integrasi Ekonomi Global</v>
      </c>
      <c r="D47" s="7">
        <f>IFERROR(__xludf.DUMMYFUNCTION("""COMPUTED_VALUE"""),21.0)</f>
        <v>21</v>
      </c>
      <c r="E47" s="7" t="str">
        <f>IFERROR(__xludf.DUMMYFUNCTION("""COMPUTED_VALUE"""),"Pembentukan Modal Tetap Bruto (% PDB)  ")</f>
        <v>Pembentukan Modal Tetap Bruto (% PDB)  </v>
      </c>
      <c r="F47" s="7"/>
      <c r="G47" s="30" t="str">
        <f>IFERROR(__xludf.DUMMYFUNCTION("""COMPUTED_VALUE"""),"Dit. Neraca Pengeluaran")</f>
        <v>Dit. Neraca Pengeluaran</v>
      </c>
      <c r="H47" s="7" t="str">
        <f>IFERROR(__xludf.DUMMYFUNCTION("""COMPUTED_VALUE"""),"Dit. Perdagangan, Investasi dan Kerjasama Ekonomi Internasional")</f>
        <v>Dit. Perdagangan, Investasi dan Kerjasama Ekonomi Internasional</v>
      </c>
      <c r="I47" s="5" t="str">
        <f>IFERROR(__xludf.DUMMYFUNCTION("""COMPUTED_VALUE"""),"Direktorat Industri, Perdagangan, dan Peningkatan Investasi")</f>
        <v>Direktorat Industri, Perdagangan, dan Peningkatan Investasi</v>
      </c>
      <c r="J47" s="7" t="str">
        <f>IFERROR(__xludf.DUMMYFUNCTION("""COMPUTED_VALUE"""),"BPS")</f>
        <v>BPS</v>
      </c>
      <c r="K47" s="5" t="str">
        <f>IFERROR(__xludf.DUMMYFUNCTION("""COMPUTED_VALUE"""),"Kementerian Koordinator Bidang Perekonomian")</f>
        <v>Kementerian Koordinator Bidang Perekonomian</v>
      </c>
      <c r="L47" s="7" t="str">
        <f>IFERROR(__xludf.DUMMYFUNCTION("""COMPUTED_VALUE"""),"Tersedia s.d Kabupaten/Kota")</f>
        <v>Tersedia s.d Kabupaten/Kota</v>
      </c>
      <c r="M47" s="5" t="str">
        <f>IFERROR(__xludf.DUMMYFUNCTION("""COMPUTED_VALUE"""),"Syifasari Diennabila")</f>
        <v>Syifasari Diennabila</v>
      </c>
      <c r="N47" s="5"/>
      <c r="O47" s="5"/>
      <c r="P47" s="7"/>
      <c r="Q47" s="5"/>
      <c r="R47" s="7"/>
      <c r="S47" s="9" t="str">
        <f>IFERROR(__xludf.DUMMYFUNCTION("""COMPUTED_VALUE"""),"https://www.bps.go.id/id/statistics-table/2/MjUzNyMy/pdrb-triwulanan-atas-dasar-harga-konstan--2010-100--menurut-pengeluaran-di-kabupaten-kota-seluruh-indonesia--milyar-rupiah-.html")</f>
        <v>https://www.bps.go.id/id/statistics-table/2/MjUzNyMy/pdrb-triwulanan-atas-dasar-harga-konstan--2010-100--menurut-pengeluaran-di-kabupaten-kota-seluruh-indonesia--milyar-rupiah-.html</v>
      </c>
      <c r="T47" s="7"/>
      <c r="U47" s="7"/>
      <c r="V47" s="7"/>
      <c r="W47" s="7"/>
      <c r="X47" s="11" t="str">
        <f>IFERROR(__xludf.DUMMYFUNCTION("""COMPUTED_VALUE"""),"ADHB: 28,77%
ADHK: 30,97%")</f>
        <v>ADHB: 28,77%
ADHK: 30,97%</v>
      </c>
      <c r="Y47" s="7"/>
      <c r="Z47" s="24"/>
      <c r="AA47" s="12" t="s">
        <v>8</v>
      </c>
      <c r="AB47" s="12" t="s">
        <v>9</v>
      </c>
      <c r="AC47" s="24" t="s">
        <v>29</v>
      </c>
      <c r="AD47" s="21" t="s">
        <v>68</v>
      </c>
      <c r="AE47" s="22">
        <v>2025.0</v>
      </c>
      <c r="AF47" s="23" t="s">
        <v>12</v>
      </c>
      <c r="AG47" s="27"/>
      <c r="AH47" s="5" t="s">
        <v>33</v>
      </c>
      <c r="AI47" s="24"/>
      <c r="AJ47" s="24"/>
      <c r="AK47" s="24"/>
      <c r="AL47" s="24"/>
      <c r="AM47" s="24"/>
      <c r="AN47" s="24"/>
    </row>
    <row r="48" ht="27.0" customHeight="1">
      <c r="A48" s="7" t="str">
        <f>IFERROR(__xludf.DUMMYFUNCTION("""COMPUTED_VALUE"""),"IUP")</f>
        <v>IUP</v>
      </c>
      <c r="B48" s="7" t="str">
        <f>IFERROR(__xludf.DUMMYFUNCTION("""COMPUTED_VALUE"""),"Transformasi Digital")</f>
        <v>Transformasi Digital</v>
      </c>
      <c r="C48" s="7" t="str">
        <f>IFERROR(__xludf.DUMMYFUNCTION("""COMPUTED_VALUE"""),"Integrasi Ekonomi Global")</f>
        <v>Integrasi Ekonomi Global</v>
      </c>
      <c r="D48" s="7">
        <f>IFERROR(__xludf.DUMMYFUNCTION("""COMPUTED_VALUE"""),22.0)</f>
        <v>22</v>
      </c>
      <c r="E48" s="7" t="str">
        <f>IFERROR(__xludf.DUMMYFUNCTION("""COMPUTED_VALUE"""),"Ekspor Barang dan Jasa (%PDB)  ")</f>
        <v>Ekspor Barang dan Jasa (%PDB)  </v>
      </c>
      <c r="F48" s="7"/>
      <c r="G48" s="30" t="str">
        <f>IFERROR(__xludf.DUMMYFUNCTION("""COMPUTED_VALUE"""),"Dit. Neraca Pengeluaran")</f>
        <v>Dit. Neraca Pengeluaran</v>
      </c>
      <c r="H48" s="7" t="str">
        <f>IFERROR(__xludf.DUMMYFUNCTION("""COMPUTED_VALUE"""),"Dit. Perdagangan, Investasi dan Kerjasama Ekonomi Internasional")</f>
        <v>Dit. Perdagangan, Investasi dan Kerjasama Ekonomi Internasional</v>
      </c>
      <c r="I48" s="5" t="str">
        <f>IFERROR(__xludf.DUMMYFUNCTION("""COMPUTED_VALUE"""),"Direktorat Industri, Perdagangan, dan Peningkatan Investasi")</f>
        <v>Direktorat Industri, Perdagangan, dan Peningkatan Investasi</v>
      </c>
      <c r="J48" s="7" t="str">
        <f>IFERROR(__xludf.DUMMYFUNCTION("""COMPUTED_VALUE"""),"BPS")</f>
        <v>BPS</v>
      </c>
      <c r="K48" s="5" t="str">
        <f>IFERROR(__xludf.DUMMYFUNCTION("""COMPUTED_VALUE"""),"Kementerian Perdagangan")</f>
        <v>Kementerian Perdagangan</v>
      </c>
      <c r="L48" s="7" t="str">
        <f>IFERROR(__xludf.DUMMYFUNCTION("""COMPUTED_VALUE"""),"Tersedia s.d Kabupaten/Kota")</f>
        <v>Tersedia s.d Kabupaten/Kota</v>
      </c>
      <c r="M48" s="5" t="str">
        <f>IFERROR(__xludf.DUMMYFUNCTION("""COMPUTED_VALUE"""),"Syifasari Diennabila")</f>
        <v>Syifasari Diennabila</v>
      </c>
      <c r="N48" s="5" t="str">
        <f>IFERROR(__xludf.DUMMYFUNCTION("""COMPUTED_VALUE"""),"Terdapat Data Ekspor dalam PDRB hingga level Kabupaten/Kota")</f>
        <v>Terdapat Data Ekspor dalam PDRB hingga level Kabupaten/Kota</v>
      </c>
      <c r="O48" s="8" t="str">
        <f>IFERROR(__xludf.DUMMYFUNCTION("""COMPUTED_VALUE"""),"Metadata Nomor 22 https://drive.google.com/drive/folders/1bL0VYlLQayyiyu9GsR1cYf6pBZSRb_IE ")</f>
        <v>Metadata Nomor 22 https://drive.google.com/drive/folders/1bL0VYlLQayyiyu9GsR1cYf6pBZSRb_IE </v>
      </c>
      <c r="P48" s="9" t="str">
        <f>IFERROR(__xludf.DUMMYFUNCTION("""COMPUTED_VALUE"""),"https://www.bps.go.id/id/publication/2025/06/10/ca543e942579ced46afd603b/produk-domestik-regional-bruto-kabupaten-kota-di-indonesia-2020-2024.html")</f>
        <v>https://www.bps.go.id/id/publication/2025/06/10/ca543e942579ced46afd603b/produk-domestik-regional-bruto-kabupaten-kota-di-indonesia-2020-2024.html</v>
      </c>
      <c r="Q48" s="5"/>
      <c r="R48" s="7"/>
      <c r="S48" s="7"/>
      <c r="T48" s="7"/>
      <c r="U48" s="7"/>
      <c r="V48" s="7"/>
      <c r="W48" s="7"/>
      <c r="X48" s="11" t="str">
        <f>IFERROR(__xludf.DUMMYFUNCTION("""COMPUTED_VALUE"""),"ADHB: 22,85%
ADHK: 24,48%")</f>
        <v>ADHB: 22,85%
ADHK: 24,48%</v>
      </c>
      <c r="Y48" s="7"/>
      <c r="Z48" s="24"/>
      <c r="AA48" s="12" t="s">
        <v>8</v>
      </c>
      <c r="AB48" s="12" t="s">
        <v>9</v>
      </c>
      <c r="AC48" s="24" t="s">
        <v>29</v>
      </c>
      <c r="AD48" s="21" t="s">
        <v>69</v>
      </c>
      <c r="AE48" s="22">
        <v>2025.0</v>
      </c>
      <c r="AF48" s="23" t="s">
        <v>12</v>
      </c>
      <c r="AG48" s="21" t="s">
        <v>70</v>
      </c>
      <c r="AH48" s="5" t="s">
        <v>33</v>
      </c>
      <c r="AI48" s="24"/>
      <c r="AJ48" s="24"/>
      <c r="AK48" s="24"/>
      <c r="AL48" s="24"/>
      <c r="AM48" s="24"/>
      <c r="AN48" s="24"/>
    </row>
    <row r="49" ht="27.0" customHeight="1">
      <c r="A49" s="7" t="str">
        <f>IFERROR(__xludf.DUMMYFUNCTION("""COMPUTED_VALUE"""),"IUP")</f>
        <v>IUP</v>
      </c>
      <c r="B49" s="7" t="str">
        <f>IFERROR(__xludf.DUMMYFUNCTION("""COMPUTED_VALUE"""),"Transformasi Digital")</f>
        <v>Transformasi Digital</v>
      </c>
      <c r="C49" s="7" t="str">
        <f>IFERROR(__xludf.DUMMYFUNCTION("""COMPUTED_VALUE"""),"Perkotaan dan Perdesaan sebagai Pusat Pertumbuhan Ekonomi")</f>
        <v>Perkotaan dan Perdesaan sebagai Pusat Pertumbuhan Ekonomi</v>
      </c>
      <c r="D49" s="7" t="str">
        <f>IFERROR(__xludf.DUMMYFUNCTION("""COMPUTED_VALUE"""),"23.a")</f>
        <v>23.a</v>
      </c>
      <c r="E49" s="7" t="str">
        <f>IFERROR(__xludf.DUMMYFUNCTION("""COMPUTED_VALUE"""),"Kota Maju, Inklusif, dan Berkelanjutan: Proporsi kontribusi PDRB wilayah metropolitan terhadap nasional (%) ")</f>
        <v>Kota Maju, Inklusif, dan Berkelanjutan: Proporsi kontribusi PDRB wilayah metropolitan terhadap nasional (%) </v>
      </c>
      <c r="F49" s="7"/>
      <c r="G49" s="30" t="str">
        <f>IFERROR(__xludf.DUMMYFUNCTION("""COMPUTED_VALUE"""),"Dit. Neraca Produksi")</f>
        <v>Dit. Neraca Produksi</v>
      </c>
      <c r="H49" s="7" t="str">
        <f>IFERROR(__xludf.DUMMYFUNCTION("""COMPUTED_VALUE"""),"Dit. Pembangunan Daerah")</f>
        <v>Dit. Pembangunan Daerah</v>
      </c>
      <c r="I49" s="31" t="str">
        <f>IFERROR(__xludf.DUMMYFUNCTION("""COMPUTED_VALUE"""),"- Direktorat Pemerintahan, Keuangan Daerah, dan Transfer ke Daerah
- Direktorat Perdesaan, Daerah Afirmasi, dan Transmigrasi")</f>
        <v>- Direktorat Pemerintahan, Keuangan Daerah, dan Transfer ke Daerah
- Direktorat Perdesaan, Daerah Afirmasi, dan Transmigrasi</v>
      </c>
      <c r="J49" s="7" t="str">
        <f>IFERROR(__xludf.DUMMYFUNCTION("""COMPUTED_VALUE"""),"BPS")</f>
        <v>BPS</v>
      </c>
      <c r="K49" s="5" t="str">
        <f>IFERROR(__xludf.DUMMYFUNCTION("""COMPUTED_VALUE"""),"Kementerian Pekerjaan Umum")</f>
        <v>Kementerian Pekerjaan Umum</v>
      </c>
      <c r="L49" s="7" t="str">
        <f>IFERROR(__xludf.DUMMYFUNCTION("""COMPUTED_VALUE"""),"Tersedia s.d Provinsi")</f>
        <v>Tersedia s.d Provinsi</v>
      </c>
      <c r="M49" s="8" t="str">
        <f>IFERROR(__xludf.DUMMYFUNCTION("""COMPUTED_VALUE"""),"Ety Kurniati, S.ST")</f>
        <v>Ety Kurniati, S.ST</v>
      </c>
      <c r="N49" s="5" t="str">
        <f>IFERROR(__xludf.DUMMYFUNCTION("""COMPUTED_VALUE"""),"Bisa dihitung dari PDRB Kab/Kota yang masuk wilayah metropolitan dalam provinsi terkait. Proksi: ")</f>
        <v>Bisa dihitung dari PDRB Kab/Kota yang masuk wilayah metropolitan dalam provinsi terkait. Proksi: </v>
      </c>
      <c r="O49" s="5"/>
      <c r="P49" s="7"/>
      <c r="Q49" s="5"/>
      <c r="R49" s="7"/>
      <c r="S49" s="7"/>
      <c r="T49" s="7"/>
      <c r="U49" s="7"/>
      <c r="V49" s="7"/>
      <c r="W49" s="7"/>
      <c r="X49" s="7"/>
      <c r="Y49" s="7"/>
      <c r="Z49" s="24"/>
      <c r="AA49" s="12" t="s">
        <v>15</v>
      </c>
      <c r="AB49" s="12" t="s">
        <v>9</v>
      </c>
      <c r="AC49" s="24" t="s">
        <v>29</v>
      </c>
      <c r="AD49" s="21" t="s">
        <v>11</v>
      </c>
      <c r="AE49" s="28" t="s">
        <v>18</v>
      </c>
      <c r="AF49" s="25" t="s">
        <v>18</v>
      </c>
      <c r="AG49" s="21"/>
      <c r="AH49" s="5" t="s">
        <v>71</v>
      </c>
      <c r="AI49" s="24"/>
      <c r="AJ49" s="24"/>
      <c r="AK49" s="24"/>
      <c r="AL49" s="24"/>
      <c r="AM49" s="24"/>
      <c r="AN49" s="24"/>
    </row>
    <row r="50" ht="27.0" customHeight="1">
      <c r="A50" s="7" t="str">
        <f>IFERROR(__xludf.DUMMYFUNCTION("""COMPUTED_VALUE"""),"IUP")</f>
        <v>IUP</v>
      </c>
      <c r="B50" s="7" t="str">
        <f>IFERROR(__xludf.DUMMYFUNCTION("""COMPUTED_VALUE"""),"Transformasi Digital")</f>
        <v>Transformasi Digital</v>
      </c>
      <c r="C50" s="7" t="str">
        <f>IFERROR(__xludf.DUMMYFUNCTION("""COMPUTED_VALUE"""),"Perkotaan dan Perdesaan sebagai Pusat Pertumbuhan Ekonomi")</f>
        <v>Perkotaan dan Perdesaan sebagai Pusat Pertumbuhan Ekonomi</v>
      </c>
      <c r="D50" s="7" t="str">
        <f>IFERROR(__xludf.DUMMYFUNCTION("""COMPUTED_VALUE"""),"23.b")</f>
        <v>23.b</v>
      </c>
      <c r="E50" s="7" t="str">
        <f>IFERROR(__xludf.DUMMYFUNCTION("""COMPUTED_VALUE"""),"Kota Maju, Inklusif, dan Berkelanjutan: Rumah tangga dengan akses hunian layak, terjangkau, dan berkelanjutan (%) ")</f>
        <v>Kota Maju, Inklusif, dan Berkelanjutan: Rumah tangga dengan akses hunian layak, terjangkau, dan berkelanjutan (%) </v>
      </c>
      <c r="F50" s="7"/>
      <c r="G50" s="30" t="str">
        <f>IFERROR(__xludf.DUMMYFUNCTION("""COMPUTED_VALUE"""),"Dit. Statistik Kesejahteraan Rakyat")</f>
        <v>Dit. Statistik Kesejahteraan Rakyat</v>
      </c>
      <c r="H50" s="7" t="str">
        <f>IFERROR(__xludf.DUMMYFUNCTION("""COMPUTED_VALUE"""),"Dit. Perumahan dan Kawasan Permukiman")</f>
        <v>Dit. Perumahan dan Kawasan Permukiman</v>
      </c>
      <c r="I50" s="5" t="str">
        <f>IFERROR(__xludf.DUMMYFUNCTION("""COMPUTED_VALUE"""),"Direktorat Perumahan dan Infrastruktur Kawasan Permukiman")</f>
        <v>Direktorat Perumahan dan Infrastruktur Kawasan Permukiman</v>
      </c>
      <c r="J50" s="7" t="str">
        <f>IFERROR(__xludf.DUMMYFUNCTION("""COMPUTED_VALUE"""),"BPS")</f>
        <v>BPS</v>
      </c>
      <c r="K50" s="5" t="str">
        <f>IFERROR(__xludf.DUMMYFUNCTION("""COMPUTED_VALUE"""),"Kementerian Perumahan dan Kawasan Permukiman")</f>
        <v>Kementerian Perumahan dan Kawasan Permukiman</v>
      </c>
      <c r="L50" s="7" t="str">
        <f>IFERROR(__xludf.DUMMYFUNCTION("""COMPUTED_VALUE"""),"Tersedia s.d Kabupaten/Kota")</f>
        <v>Tersedia s.d Kabupaten/Kota</v>
      </c>
      <c r="M50" s="5" t="str">
        <f>IFERROR(__xludf.DUMMYFUNCTION("""COMPUTED_VALUE"""),"Dhiar Niken Larasati, SST, M.E.")</f>
        <v>Dhiar Niken Larasati, SST, M.E.</v>
      </c>
      <c r="N50" s="5"/>
      <c r="O50" s="8" t="str">
        <f>IFERROR(__xludf.DUMMYFUNCTION("""COMPUTED_VALUE"""),"(2023) https://sirusa.web.bps.go.id/metadata/indikator/48422")</f>
        <v>(2023) https://sirusa.web.bps.go.id/metadata/indikator/48422</v>
      </c>
      <c r="P50" s="7"/>
      <c r="Q50" s="5"/>
      <c r="R50" s="7"/>
      <c r="S50" s="7"/>
      <c r="T50" s="7"/>
      <c r="U50" s="7"/>
      <c r="V50" s="7" t="str">
        <f>IFERROR(__xludf.DUMMYFUNCTION("""COMPUTED_VALUE"""),"11.1.1
Proportion of urban population living in slums, informal settlements or inadequate housing")</f>
        <v>11.1.1
Proportion of urban population living in slums, informal settlements or inadequate housing</v>
      </c>
      <c r="W50" s="7"/>
      <c r="X50" s="11">
        <f>IFERROR(__xludf.DUMMYFUNCTION("""COMPUTED_VALUE"""),68.4)</f>
        <v>68.4</v>
      </c>
      <c r="Y50" s="7"/>
      <c r="Z50" s="24"/>
      <c r="AA50" s="12" t="s">
        <v>30</v>
      </c>
      <c r="AB50" s="12" t="s">
        <v>17</v>
      </c>
      <c r="AC50" s="17" t="s">
        <v>34</v>
      </c>
      <c r="AD50" s="21" t="s">
        <v>11</v>
      </c>
      <c r="AE50" s="22">
        <v>2025.0</v>
      </c>
      <c r="AF50" s="23" t="s">
        <v>12</v>
      </c>
      <c r="AG50" s="21"/>
      <c r="AH50" s="5" t="s">
        <v>33</v>
      </c>
      <c r="AI50" s="24"/>
      <c r="AJ50" s="24"/>
      <c r="AK50" s="24"/>
      <c r="AL50" s="24"/>
      <c r="AM50" s="24"/>
      <c r="AN50" s="24"/>
    </row>
    <row r="51" ht="27.0" customHeight="1">
      <c r="A51" s="7" t="str">
        <f>IFERROR(__xludf.DUMMYFUNCTION("""COMPUTED_VALUE"""),"IUP")</f>
        <v>IUP</v>
      </c>
      <c r="B51" s="7" t="str">
        <f>IFERROR(__xludf.DUMMYFUNCTION("""COMPUTED_VALUE"""),"Transformasi Digital")</f>
        <v>Transformasi Digital</v>
      </c>
      <c r="C51" s="7" t="str">
        <f>IFERROR(__xludf.DUMMYFUNCTION("""COMPUTED_VALUE"""),"Perkotaan dan Perdesaan sebagai Pusat Pertumbuhan Ekonomi")</f>
        <v>Perkotaan dan Perdesaan sebagai Pusat Pertumbuhan Ekonomi</v>
      </c>
      <c r="D51" s="7" t="str">
        <f>IFERROR(__xludf.DUMMYFUNCTION("""COMPUTED_VALUE"""),"23.c")</f>
        <v>23.c</v>
      </c>
      <c r="E51" s="7" t="str">
        <f>IFERROR(__xludf.DUMMYFUNCTION("""COMPUTED_VALUE"""),"Kota Maju, Inklusif, dan Berkelanjutan: Persentase Desa Mandiri (%) ")</f>
        <v>Kota Maju, Inklusif, dan Berkelanjutan: Persentase Desa Mandiri (%) </v>
      </c>
      <c r="F51" s="7"/>
      <c r="G51" s="30" t="str">
        <f>IFERROR(__xludf.DUMMYFUNCTION("""COMPUTED_VALUE"""),"Dit. Statistik Ketahanan Sosial")</f>
        <v>Dit. Statistik Ketahanan Sosial</v>
      </c>
      <c r="H51" s="7" t="str">
        <f>IFERROR(__xludf.DUMMYFUNCTION("""COMPUTED_VALUE"""),"Dit. Pembangunan Daerah")</f>
        <v>Dit. Pembangunan Daerah</v>
      </c>
      <c r="I51" s="5" t="str">
        <f>IFERROR(__xludf.DUMMYFUNCTION("""COMPUTED_VALUE"""),"- Direktorat Perdesaan, Daerah Afirmasi, dan Transmigrasi")</f>
        <v>- Direktorat Perdesaan, Daerah Afirmasi, dan Transmigrasi</v>
      </c>
      <c r="J51" s="7" t="str">
        <f>IFERROR(__xludf.DUMMYFUNCTION("""COMPUTED_VALUE"""),"Kemendesa PDTT")</f>
        <v>Kemendesa PDTT</v>
      </c>
      <c r="K51" s="5" t="str">
        <f>IFERROR(__xludf.DUMMYFUNCTION("""COMPUTED_VALUE"""),"Kemendesa PDTT")</f>
        <v>Kemendesa PDTT</v>
      </c>
      <c r="L51" s="7" t="str">
        <f>IFERROR(__xludf.DUMMYFUNCTION("""COMPUTED_VALUE"""),"Tersedia Nasional")</f>
        <v>Tersedia Nasional</v>
      </c>
      <c r="M51" s="5" t="str">
        <f>IFERROR(__xludf.DUMMYFUNCTION("""COMPUTED_VALUE"""),"Muhammad Rifky Ariyadi, S.Tr.Stat.")</f>
        <v>Muhammad Rifky Ariyadi, S.Tr.Stat.</v>
      </c>
      <c r="N51" s="5"/>
      <c r="O51" s="5"/>
      <c r="P51" s="7"/>
      <c r="Q51" s="5"/>
      <c r="R51" s="7"/>
      <c r="S51" s="7"/>
      <c r="T51" s="7"/>
      <c r="U51" s="7"/>
      <c r="V51" s="7"/>
      <c r="W51" s="7"/>
      <c r="X51" s="11">
        <f>IFERROR(__xludf.DUMMYFUNCTION("""COMPUTED_VALUE"""),0.2711140495867769)</f>
        <v>0.2711140496</v>
      </c>
      <c r="Y51" s="7"/>
      <c r="Z51" s="24"/>
      <c r="AA51" s="12" t="s">
        <v>72</v>
      </c>
      <c r="AB51" s="12" t="s">
        <v>17</v>
      </c>
      <c r="AC51" s="17" t="s">
        <v>34</v>
      </c>
      <c r="AD51" s="21" t="s">
        <v>11</v>
      </c>
      <c r="AE51" s="22">
        <v>2025.0</v>
      </c>
      <c r="AF51" s="23" t="s">
        <v>12</v>
      </c>
      <c r="AG51" s="27"/>
      <c r="AH51" s="5" t="s">
        <v>33</v>
      </c>
      <c r="AI51" s="24"/>
      <c r="AJ51" s="24"/>
      <c r="AK51" s="24"/>
      <c r="AL51" s="24"/>
      <c r="AM51" s="24"/>
      <c r="AN51" s="24"/>
    </row>
    <row r="52" ht="27.0" customHeight="1">
      <c r="A52" s="7" t="str">
        <f>IFERROR(__xludf.DUMMYFUNCTION("""COMPUTED_VALUE"""),"IUP")</f>
        <v>IUP</v>
      </c>
      <c r="B52" s="7" t="str">
        <f>IFERROR(__xludf.DUMMYFUNCTION("""COMPUTED_VALUE"""),"Transformasi Tata Kelola")</f>
        <v>Transformasi Tata Kelola</v>
      </c>
      <c r="C52" s="7" t="str">
        <f>IFERROR(__xludf.DUMMYFUNCTION("""COMPUTED_VALUE"""),"Regulasi dan Tata kelola yang Berintegritas dan Adaptif")</f>
        <v>Regulasi dan Tata kelola yang Berintegritas dan Adaptif</v>
      </c>
      <c r="D52" s="7">
        <f>IFERROR(__xludf.DUMMYFUNCTION("""COMPUTED_VALUE"""),24.0)</f>
        <v>24</v>
      </c>
      <c r="E52" s="7" t="str">
        <f>IFERROR(__xludf.DUMMYFUNCTION("""COMPUTED_VALUE"""),"Indeks Materi Hukum  ")</f>
        <v>Indeks Materi Hukum  </v>
      </c>
      <c r="F52" s="7"/>
      <c r="G52" s="30" t="str">
        <f>IFERROR(__xludf.DUMMYFUNCTION("""COMPUTED_VALUE"""),"Dit. Statistik Ketahanan Sosial")</f>
        <v>Dit. Statistik Ketahanan Sosial</v>
      </c>
      <c r="H52" s="7" t="str">
        <f>IFERROR(__xludf.DUMMYFUNCTION("""COMPUTED_VALUE"""),"Dit. Hukum dan Regulasi")</f>
        <v>Dit. Hukum dan Regulasi</v>
      </c>
      <c r="I52" s="5" t="str">
        <f>IFERROR(__xludf.DUMMYFUNCTION("""COMPUTED_VALUE"""),"Direktorat Pembangunan Hukum, Hak Asasi Manusia, Imigrasi, dan Pemasyarakatan")</f>
        <v>Direktorat Pembangunan Hukum, Hak Asasi Manusia, Imigrasi, dan Pemasyarakatan</v>
      </c>
      <c r="J52" s="7" t="str">
        <f>IFERROR(__xludf.DUMMYFUNCTION("""COMPUTED_VALUE"""),"Kementerian PPN/Bappenas")</f>
        <v>Kementerian PPN/Bappenas</v>
      </c>
      <c r="K52" s="5" t="str">
        <f>IFERROR(__xludf.DUMMYFUNCTION("""COMPUTED_VALUE"""),"Kementerian Hukum")</f>
        <v>Kementerian Hukum</v>
      </c>
      <c r="L52" s="7" t="str">
        <f>IFERROR(__xludf.DUMMYFUNCTION("""COMPUTED_VALUE"""),"Tersedia Nasional")</f>
        <v>Tersedia Nasional</v>
      </c>
      <c r="M52" s="5" t="str">
        <f>IFERROR(__xludf.DUMMYFUNCTION("""COMPUTED_VALUE"""),"Muhammad Rifky Ariyadi, S.Tr.Stat.")</f>
        <v>Muhammad Rifky Ariyadi, S.Tr.Stat.</v>
      </c>
      <c r="N52" s="5"/>
      <c r="O52" s="8" t="str">
        <f>IFERROR(__xludf.DUMMYFUNCTION("""COMPUTED_VALUE"""),"https://share.google/Ie2Bhetzpy3IYSWS8 ")</f>
        <v>https://share.google/Ie2Bhetzpy3IYSWS8 </v>
      </c>
      <c r="P52" s="7"/>
      <c r="Q52" s="5"/>
      <c r="R52" s="7"/>
      <c r="S52" s="33" t="str">
        <f>IFERROR(__xludf.DUMMYFUNCTION("""COMPUTED_VALUE"""),"https://data.go.id/dataset/dataset/indeks-pembangunan-hukum")</f>
        <v>https://data.go.id/dataset/dataset/indeks-pembangunan-hukum</v>
      </c>
      <c r="T52" s="7"/>
      <c r="U52" s="7"/>
      <c r="V52" s="7"/>
      <c r="W52" s="7"/>
      <c r="X52" s="11" t="str">
        <f>IFERROR(__xludf.DUMMYFUNCTION("""COMPUTED_VALUE"""),"2. Rilis terakhir di tahun 2025. Tipe datanya ada t-1. Rilis terakhir dilakukan di akhir tahun 2025. Rilis berikutnya direncanakan akan dilakukan pada akhir 2026 (November/Desember)")</f>
        <v>2. Rilis terakhir di tahun 2025. Tipe datanya ada t-1. Rilis terakhir dilakukan di akhir tahun 2025. Rilis berikutnya direncanakan akan dilakukan pada akhir 2026 (November/Desember)</v>
      </c>
      <c r="Y52" s="7"/>
      <c r="Z52" s="24"/>
      <c r="AA52" s="12" t="s">
        <v>73</v>
      </c>
      <c r="AB52" s="12" t="s">
        <v>17</v>
      </c>
      <c r="AC52" s="17" t="s">
        <v>34</v>
      </c>
      <c r="AD52" s="21" t="s">
        <v>11</v>
      </c>
      <c r="AE52" s="22">
        <v>2025.0</v>
      </c>
      <c r="AF52" s="23" t="s">
        <v>12</v>
      </c>
      <c r="AG52" s="21" t="s">
        <v>74</v>
      </c>
      <c r="AH52" s="5" t="s">
        <v>45</v>
      </c>
      <c r="AI52" s="24"/>
      <c r="AJ52" s="24"/>
      <c r="AK52" s="24"/>
      <c r="AL52" s="24"/>
      <c r="AM52" s="24"/>
      <c r="AN52" s="24"/>
    </row>
    <row r="53" ht="27.0" customHeight="1">
      <c r="A53" s="7" t="str">
        <f>IFERROR(__xludf.DUMMYFUNCTION("""COMPUTED_VALUE"""),"IUP")</f>
        <v>IUP</v>
      </c>
      <c r="B53" s="7" t="str">
        <f>IFERROR(__xludf.DUMMYFUNCTION("""COMPUTED_VALUE"""),"Transformasi Tata Kelola")</f>
        <v>Transformasi Tata Kelola</v>
      </c>
      <c r="C53" s="7" t="str">
        <f>IFERROR(__xludf.DUMMYFUNCTION("""COMPUTED_VALUE"""),"Regulasi dan Tata kelola yang Berintegritas dan Adaptif")</f>
        <v>Regulasi dan Tata kelola yang Berintegritas dan Adaptif</v>
      </c>
      <c r="D53" s="7">
        <f>IFERROR(__xludf.DUMMYFUNCTION("""COMPUTED_VALUE"""),25.0)</f>
        <v>25</v>
      </c>
      <c r="E53" s="7" t="str">
        <f>IFERROR(__xludf.DUMMYFUNCTION("""COMPUTED_VALUE"""),"Indeks Sistem Pemerintahan Berbasis Elektronik  ")</f>
        <v>Indeks Sistem Pemerintahan Berbasis Elektronik  </v>
      </c>
      <c r="F53" s="7"/>
      <c r="G53" s="30" t="str">
        <f>IFERROR(__xludf.DUMMYFUNCTION("""COMPUTED_VALUE"""),"Dit. Statistik Jasa")</f>
        <v>Dit. Statistik Jasa</v>
      </c>
      <c r="H53" s="7" t="str">
        <f>IFERROR(__xludf.DUMMYFUNCTION("""COMPUTED_VALUE"""),"Dit. Aparatur Negara dan Transformasi Birokrasi")</f>
        <v>Dit. Aparatur Negara dan Transformasi Birokrasi</v>
      </c>
      <c r="I53" s="5" t="str">
        <f>IFERROR(__xludf.DUMMYFUNCTION("""COMPUTED_VALUE"""),"Direktorat Transformasi Birokrasi dan Pemerintahan")</f>
        <v>Direktorat Transformasi Birokrasi dan Pemerintahan</v>
      </c>
      <c r="J53" s="7" t="str">
        <f>IFERROR(__xludf.DUMMYFUNCTION("""COMPUTED_VALUE"""),"Kementerian Pendayagunaan Aparatur Negara dan Reformasi Birokrasi")</f>
        <v>Kementerian Pendayagunaan Aparatur Negara dan Reformasi Birokrasi</v>
      </c>
      <c r="K53" s="5" t="str">
        <f>IFERROR(__xludf.DUMMYFUNCTION("""COMPUTED_VALUE"""),"Kementerian Pendayagunaan Aparatur Negara dan Reformasi Birokrasi")</f>
        <v>Kementerian Pendayagunaan Aparatur Negara dan Reformasi Birokrasi</v>
      </c>
      <c r="L53" s="7" t="str">
        <f>IFERROR(__xludf.DUMMYFUNCTION("""COMPUTED_VALUE"""),"Tersedia s.d Kabupaten/Kota")</f>
        <v>Tersedia s.d Kabupaten/Kota</v>
      </c>
      <c r="M53" s="5" t="str">
        <f>IFERROR(__xludf.DUMMYFUNCTION("""COMPUTED_VALUE"""),"Tika Meilaningsih")</f>
        <v>Tika Meilaningsih</v>
      </c>
      <c r="N53" s="5"/>
      <c r="O53" s="5"/>
      <c r="P53" s="7"/>
      <c r="Q53" s="5"/>
      <c r="R53" s="7"/>
      <c r="S53" s="9" t="str">
        <f>IFERROR(__xludf.DUMMYFUNCTION("""COMPUTED_VALUE"""),"https://data.go.id/dataset/dataset/indeks-spbe10")</f>
        <v>https://data.go.id/dataset/dataset/indeks-spbe10</v>
      </c>
      <c r="T53" s="7"/>
      <c r="U53" s="7"/>
      <c r="V53" s="7"/>
      <c r="W53" s="7"/>
      <c r="X53" s="11" t="str">
        <f>IFERROR(__xludf.DUMMYFUNCTION("""COMPUTED_VALUE"""),"2025 tidak dihitung")</f>
        <v>2025 tidak dihitung</v>
      </c>
      <c r="Y53" s="7"/>
      <c r="Z53" s="24"/>
      <c r="AA53" s="5" t="s">
        <v>75</v>
      </c>
      <c r="AB53" s="5" t="s">
        <v>21</v>
      </c>
      <c r="AC53" s="24" t="s">
        <v>39</v>
      </c>
      <c r="AD53" s="21" t="s">
        <v>11</v>
      </c>
      <c r="AE53" s="22">
        <v>2025.0</v>
      </c>
      <c r="AF53" s="23" t="s">
        <v>12</v>
      </c>
      <c r="AG53" s="27"/>
      <c r="AH53" s="5" t="s">
        <v>33</v>
      </c>
      <c r="AI53" s="24"/>
      <c r="AJ53" s="24"/>
      <c r="AK53" s="24"/>
      <c r="AL53" s="24"/>
      <c r="AM53" s="24"/>
      <c r="AN53" s="24"/>
    </row>
    <row r="54" ht="27.0" customHeight="1">
      <c r="A54" s="7" t="str">
        <f>IFERROR(__xludf.DUMMYFUNCTION("""COMPUTED_VALUE"""),"IUP")</f>
        <v>IUP</v>
      </c>
      <c r="B54" s="7" t="str">
        <f>IFERROR(__xludf.DUMMYFUNCTION("""COMPUTED_VALUE"""),"Transformasi Tata Kelola")</f>
        <v>Transformasi Tata Kelola</v>
      </c>
      <c r="C54" s="7" t="str">
        <f>IFERROR(__xludf.DUMMYFUNCTION("""COMPUTED_VALUE"""),"Regulasi dan Tata kelola yang Berintegritas dan Adaptif")</f>
        <v>Regulasi dan Tata kelola yang Berintegritas dan Adaptif</v>
      </c>
      <c r="D54" s="7">
        <f>IFERROR(__xludf.DUMMYFUNCTION("""COMPUTED_VALUE"""),26.0)</f>
        <v>26</v>
      </c>
      <c r="E54" s="7" t="str">
        <f>IFERROR(__xludf.DUMMYFUNCTION("""COMPUTED_VALUE"""),"Indeks Pelayanan Publik  ")</f>
        <v>Indeks Pelayanan Publik  </v>
      </c>
      <c r="F54" s="7"/>
      <c r="G54" s="30" t="str">
        <f>IFERROR(__xludf.DUMMYFUNCTION("""COMPUTED_VALUE"""),"Dit. Analisis Statistik dan Neraca Satelit")</f>
        <v>Dit. Analisis Statistik dan Neraca Satelit</v>
      </c>
      <c r="H54" s="7" t="str">
        <f>IFERROR(__xludf.DUMMYFUNCTION("""COMPUTED_VALUE"""),"Dit. Aparatur Negara dan Transformasi Birokrasi")</f>
        <v>Dit. Aparatur Negara dan Transformasi Birokrasi</v>
      </c>
      <c r="I54" s="5" t="str">
        <f>IFERROR(__xludf.DUMMYFUNCTION("""COMPUTED_VALUE"""),"Direktorat Transformasi Birokrasi dan Pemerintahan")</f>
        <v>Direktorat Transformasi Birokrasi dan Pemerintahan</v>
      </c>
      <c r="J54" s="7" t="str">
        <f>IFERROR(__xludf.DUMMYFUNCTION("""COMPUTED_VALUE"""),"Kementerian Pendayagunaan Aparatur Negara dan Reformasi Birokrasi")</f>
        <v>Kementerian Pendayagunaan Aparatur Negara dan Reformasi Birokrasi</v>
      </c>
      <c r="K54" s="5" t="str">
        <f>IFERROR(__xludf.DUMMYFUNCTION("""COMPUTED_VALUE"""),"Kementerian Pendayagunaan Aparatur Negara dan Reformasi Birokrasi")</f>
        <v>Kementerian Pendayagunaan Aparatur Negara dan Reformasi Birokrasi</v>
      </c>
      <c r="L54" s="7" t="str">
        <f>IFERROR(__xludf.DUMMYFUNCTION("""COMPUTED_VALUE"""),"Tersedia s.d Provinsi")</f>
        <v>Tersedia s.d Provinsi</v>
      </c>
      <c r="M54" s="5" t="str">
        <f>IFERROR(__xludf.DUMMYFUNCTION("""COMPUTED_VALUE"""),"Erna Yulianingsih")</f>
        <v>Erna Yulianingsih</v>
      </c>
      <c r="N54" s="5" t="str">
        <f>IFERROR(__xludf.DUMMYFUNCTION("""COMPUTED_VALUE"""),"Tersedia hanya untuk 91 Kota 382 Kabupaten")</f>
        <v>Tersedia hanya untuk 91 Kota 382 Kabupaten</v>
      </c>
      <c r="O54" s="5"/>
      <c r="P54" s="9" t="str">
        <f>IFERROR(__xludf.DUMMYFUNCTION("""COMPUTED_VALUE"""),"https://www.menpan.go.id/site/download/file/5618-1-indeks-pelayanan-publik")</f>
        <v>https://www.menpan.go.id/site/download/file/5618-1-indeks-pelayanan-publik</v>
      </c>
      <c r="Q54" s="5"/>
      <c r="R54" s="7"/>
      <c r="S54" s="9" t="str">
        <f>IFERROR(__xludf.DUMMYFUNCTION("""COMPUTED_VALUE"""),"https://opendata.jabarprov.go.id/id/dataset/indeks-pelayanan-publik-berdasarkan-provinsi-di-indonesia-53")</f>
        <v>https://opendata.jabarprov.go.id/id/dataset/indeks-pelayanan-publik-berdasarkan-provinsi-di-indonesia-53</v>
      </c>
      <c r="T54" s="7"/>
      <c r="U54" s="7"/>
      <c r="V54" s="7"/>
      <c r="W54" s="7"/>
      <c r="X54" s="11">
        <f>IFERROR(__xludf.DUMMYFUNCTION("""COMPUTED_VALUE"""),4.04)</f>
        <v>4.04</v>
      </c>
      <c r="Y54" s="7"/>
      <c r="Z54" s="24"/>
      <c r="AA54" s="5" t="s">
        <v>76</v>
      </c>
      <c r="AB54" s="12" t="s">
        <v>9</v>
      </c>
      <c r="AC54" s="24" t="s">
        <v>29</v>
      </c>
      <c r="AD54" s="21" t="s">
        <v>11</v>
      </c>
      <c r="AE54" s="22">
        <v>2025.0</v>
      </c>
      <c r="AF54" s="23" t="s">
        <v>12</v>
      </c>
      <c r="AG54" s="27"/>
      <c r="AH54" s="5" t="s">
        <v>33</v>
      </c>
      <c r="AI54" s="24"/>
      <c r="AJ54" s="24"/>
      <c r="AK54" s="24"/>
      <c r="AL54" s="24"/>
      <c r="AM54" s="24"/>
      <c r="AN54" s="24"/>
    </row>
    <row r="55" ht="27.0" customHeight="1">
      <c r="A55" s="7" t="str">
        <f>IFERROR(__xludf.DUMMYFUNCTION("""COMPUTED_VALUE"""),"IUP")</f>
        <v>IUP</v>
      </c>
      <c r="B55" s="7" t="str">
        <f>IFERROR(__xludf.DUMMYFUNCTION("""COMPUTED_VALUE"""),"Transformasi Tata Kelola")</f>
        <v>Transformasi Tata Kelola</v>
      </c>
      <c r="C55" s="7" t="str">
        <f>IFERROR(__xludf.DUMMYFUNCTION("""COMPUTED_VALUE"""),"Regulasi dan Tata kelola yang Berintegritas dan Adaptif")</f>
        <v>Regulasi dan Tata kelola yang Berintegritas dan Adaptif</v>
      </c>
      <c r="D55" s="7" t="str">
        <f>IFERROR(__xludf.DUMMYFUNCTION("""COMPUTED_VALUE"""),"27.a")</f>
        <v>27.a</v>
      </c>
      <c r="E55" s="7" t="str">
        <f>IFERROR(__xludf.DUMMYFUNCTION("""COMPUTED_VALUE"""),"Anti Korupsi: Indeks Integritas Nasional - ")</f>
        <v>Anti Korupsi: Indeks Integritas Nasional - </v>
      </c>
      <c r="F55" s="7"/>
      <c r="G55" s="30" t="str">
        <f>IFERROR(__xludf.DUMMYFUNCTION("""COMPUTED_VALUE"""),"Dit. Statistik Ketahanan Sosial")</f>
        <v>Dit. Statistik Ketahanan Sosial</v>
      </c>
      <c r="H55" s="7" t="str">
        <f>IFERROR(__xludf.DUMMYFUNCTION("""COMPUTED_VALUE"""),"Dit. Hukum dan Regulasi")</f>
        <v>Dit. Hukum dan Regulasi</v>
      </c>
      <c r="I55" s="5" t="str">
        <f>IFERROR(__xludf.DUMMYFUNCTION("""COMPUTED_VALUE"""),"Direktorat Pembangunan Hukum, Hak Asasi Manusia, Imigrasi, dan Pemasyarakatan")</f>
        <v>Direktorat Pembangunan Hukum, Hak Asasi Manusia, Imigrasi, dan Pemasyarakatan</v>
      </c>
      <c r="J55" s="7" t="str">
        <f>IFERROR(__xludf.DUMMYFUNCTION("""COMPUTED_VALUE"""),"KPK (Dit. Monitoring KPK)")</f>
        <v>KPK (Dit. Monitoring KPK)</v>
      </c>
      <c r="K55" s="5" t="str">
        <f>IFERROR(__xludf.DUMMYFUNCTION("""COMPUTED_VALUE"""),"KPK")</f>
        <v>KPK</v>
      </c>
      <c r="L55" s="7" t="str">
        <f>IFERROR(__xludf.DUMMYFUNCTION("""COMPUTED_VALUE"""),"Tersedia s.d Kabupaten/Kota")</f>
        <v>Tersedia s.d Kabupaten/Kota</v>
      </c>
      <c r="M55" s="5" t="str">
        <f>IFERROR(__xludf.DUMMYFUNCTION("""COMPUTED_VALUE"""),"Muhammad Rifky Ariyadi, S.Tr.Stat.")</f>
        <v>Muhammad Rifky Ariyadi, S.Tr.Stat.</v>
      </c>
      <c r="N55" s="5" t="str">
        <f>IFERROR(__xludf.DUMMYFUNCTION("""COMPUTED_VALUE"""),"1) Indeks juga dihitung untuk K/L dan BUMN.  2) Untuk K/L dan BUMN dihitung s/d eselon I dan Kantor Perwakilan di tingkat Provinsi. 3) Dihitung juga untuk Pemerintahan Daerah sampai tk kabupaten/kota")</f>
        <v>1) Indeks juga dihitung untuk K/L dan BUMN.  2) Untuk K/L dan BUMN dihitung s/d eselon I dan Kantor Perwakilan di tingkat Provinsi. 3) Dihitung juga untuk Pemerintahan Daerah sampai tk kabupaten/kota</v>
      </c>
      <c r="O55" s="8" t="str">
        <f>IFERROR(__xludf.DUMMYFUNCTION("""COMPUTED_VALUE"""),"Metadata Nomor 27 https://drive.google.com/drive/folders/1bL0VYlLQayyiyu9GsR1cYf6pBZSRb_IE ")</f>
        <v>Metadata Nomor 27 https://drive.google.com/drive/folders/1bL0VYlLQayyiyu9GsR1cYf6pBZSRb_IE </v>
      </c>
      <c r="P55" s="9" t="str">
        <f>IFERROR(__xludf.DUMMYFUNCTION("""COMPUTED_VALUE"""),"https://spi.kpk.go.id/dashboard/hasil/")</f>
        <v>https://spi.kpk.go.id/dashboard/hasil/</v>
      </c>
      <c r="Q55" s="5"/>
      <c r="R55" s="7"/>
      <c r="S55" s="7"/>
      <c r="T55" s="7"/>
      <c r="U55" s="7"/>
      <c r="V55" s="7"/>
      <c r="W55" s="7"/>
      <c r="X55" s="11">
        <f>IFERROR(__xludf.DUMMYFUNCTION("""COMPUTED_VALUE"""),72.32)</f>
        <v>72.32</v>
      </c>
      <c r="Y55" s="7"/>
      <c r="Z55" s="24"/>
      <c r="AA55" s="12" t="s">
        <v>77</v>
      </c>
      <c r="AB55" s="12" t="s">
        <v>17</v>
      </c>
      <c r="AC55" s="17" t="s">
        <v>34</v>
      </c>
      <c r="AD55" s="21" t="s">
        <v>11</v>
      </c>
      <c r="AE55" s="22">
        <v>2025.0</v>
      </c>
      <c r="AF55" s="23" t="s">
        <v>12</v>
      </c>
      <c r="AG55" s="27"/>
      <c r="AH55" s="5" t="s">
        <v>33</v>
      </c>
      <c r="AI55" s="24"/>
      <c r="AJ55" s="24"/>
      <c r="AK55" s="24"/>
      <c r="AL55" s="24"/>
      <c r="AM55" s="24"/>
      <c r="AN55" s="24"/>
    </row>
    <row r="56" ht="27.0" customHeight="1">
      <c r="A56" s="7" t="str">
        <f>IFERROR(__xludf.DUMMYFUNCTION("""COMPUTED_VALUE"""),"IUP")</f>
        <v>IUP</v>
      </c>
      <c r="B56" s="7" t="str">
        <f>IFERROR(__xludf.DUMMYFUNCTION("""COMPUTED_VALUE"""),"Transformasi Tata Kelola")</f>
        <v>Transformasi Tata Kelola</v>
      </c>
      <c r="C56" s="7" t="str">
        <f>IFERROR(__xludf.DUMMYFUNCTION("""COMPUTED_VALUE"""),"Regulasi dan Tata kelola yang Berintegritas dan Adaptif")</f>
        <v>Regulasi dan Tata kelola yang Berintegritas dan Adaptif</v>
      </c>
      <c r="D56" s="7" t="str">
        <f>IFERROR(__xludf.DUMMYFUNCTION("""COMPUTED_VALUE"""),"27.b")</f>
        <v>27.b</v>
      </c>
      <c r="E56" s="7" t="str">
        <f>IFERROR(__xludf.DUMMYFUNCTION("""COMPUTED_VALUE"""),"Anti Korupsi: Indeks Persepsi Korupsi ")</f>
        <v>Anti Korupsi: Indeks Persepsi Korupsi </v>
      </c>
      <c r="F56" s="7"/>
      <c r="G56" s="30" t="str">
        <f>IFERROR(__xludf.DUMMYFUNCTION("""COMPUTED_VALUE"""),"Dit. Statistik Ketahanan Sosial")</f>
        <v>Dit. Statistik Ketahanan Sosial</v>
      </c>
      <c r="H56" s="7" t="str">
        <f>IFERROR(__xludf.DUMMYFUNCTION("""COMPUTED_VALUE"""),"Dit. Hukum dan Regulasi")</f>
        <v>Dit. Hukum dan Regulasi</v>
      </c>
      <c r="I56" s="31" t="str">
        <f>IFERROR(__xludf.DUMMYFUNCTION("""COMPUTED_VALUE"""),"Direktorat Pembangunan Hukum, Hak Asasi Manusia, Imigrasi, dan Pemasyarakatan")</f>
        <v>Direktorat Pembangunan Hukum, Hak Asasi Manusia, Imigrasi, dan Pemasyarakatan</v>
      </c>
      <c r="J56" s="7" t="str">
        <f>IFERROR(__xludf.DUMMYFUNCTION("""COMPUTED_VALUE"""),"Kementerian PPN/Bappenas")</f>
        <v>Kementerian PPN/Bappenas</v>
      </c>
      <c r="K56" s="5" t="str">
        <f>IFERROR(__xludf.DUMMYFUNCTION("""COMPUTED_VALUE"""),"Pengampu belum tersedia")</f>
        <v>Pengampu belum tersedia</v>
      </c>
      <c r="L56" s="7" t="str">
        <f>IFERROR(__xludf.DUMMYFUNCTION("""COMPUTED_VALUE"""),"Tersedia Nasional")</f>
        <v>Tersedia Nasional</v>
      </c>
      <c r="M56" s="5" t="str">
        <f>IFERROR(__xludf.DUMMYFUNCTION("""COMPUTED_VALUE"""),"Muhammad Rifky Ariyadi, S.Tr.Stat.")</f>
        <v>Muhammad Rifky Ariyadi, S.Tr.Stat.</v>
      </c>
      <c r="N56" s="1" t="str">
        <f>IFERROR(__xludf.DUMMYFUNCTION("""COMPUTED_VALUE"""),"Ada di Amnesty International")</f>
        <v>Ada di Amnesty International</v>
      </c>
      <c r="O56" s="5"/>
      <c r="P56" s="9" t="str">
        <f>IFERROR(__xludf.DUMMYFUNCTION("""COMPUTED_VALUE"""),"[Solok] https://ppid.kemendagri.go.id/storage/dokumen/ySU39fK8LzjMeRSWsT9HdPmHc3FN9RrMr9Y3yN2S.pdf ")</f>
        <v>[Solok] https://ppid.kemendagri.go.id/storage/dokumen/ySU39fK8LzjMeRSWsT9HdPmHc3FN9RrMr9Y3yN2S.pdf </v>
      </c>
      <c r="Q56" s="5"/>
      <c r="R56" s="7"/>
      <c r="S56" s="7"/>
      <c r="T56" s="7"/>
      <c r="U56" s="7"/>
      <c r="V56" s="7"/>
      <c r="W56" s="7"/>
      <c r="X56" s="11">
        <f>IFERROR(__xludf.DUMMYFUNCTION("""COMPUTED_VALUE"""),34.0)</f>
        <v>34</v>
      </c>
      <c r="Y56" s="7"/>
      <c r="Z56" s="24"/>
      <c r="AA56" s="12" t="s">
        <v>77</v>
      </c>
      <c r="AB56" s="12" t="s">
        <v>17</v>
      </c>
      <c r="AC56" s="17" t="s">
        <v>34</v>
      </c>
      <c r="AD56" s="27"/>
      <c r="AE56" s="32"/>
      <c r="AF56" s="32"/>
      <c r="AG56" s="27"/>
      <c r="AH56" s="5" t="s">
        <v>71</v>
      </c>
      <c r="AI56" s="24"/>
      <c r="AJ56" s="24"/>
      <c r="AK56" s="24"/>
      <c r="AL56" s="24"/>
      <c r="AM56" s="24"/>
      <c r="AN56" s="24"/>
    </row>
    <row r="57" ht="27.0" customHeight="1">
      <c r="A57" s="7" t="str">
        <f>IFERROR(__xludf.DUMMYFUNCTION("""COMPUTED_VALUE"""),"IUP")</f>
        <v>IUP</v>
      </c>
      <c r="B57" s="7" t="str">
        <f>IFERROR(__xludf.DUMMYFUNCTION("""COMPUTED_VALUE"""),"Supremasi Hukum, stabilitas, dan Kepemimpinan Indonesia        ")</f>
        <v>Supremasi Hukum, stabilitas, dan Kepemimpinan Indonesia        </v>
      </c>
      <c r="C57" s="7" t="str">
        <f>IFERROR(__xludf.DUMMYFUNCTION("""COMPUTED_VALUE"""),"Hukum Berkeadilan, Keamanan Nasional")</f>
        <v>Hukum Berkeadilan, Keamanan Nasional</v>
      </c>
      <c r="D57" s="7">
        <f>IFERROR(__xludf.DUMMYFUNCTION("""COMPUTED_VALUE"""),28.0)</f>
        <v>28</v>
      </c>
      <c r="E57" s="7" t="str">
        <f>IFERROR(__xludf.DUMMYFUNCTION("""COMPUTED_VALUE"""),"Indeks Pembangunan Hukum  ")</f>
        <v>Indeks Pembangunan Hukum  </v>
      </c>
      <c r="F57" s="7"/>
      <c r="G57" s="30" t="str">
        <f>IFERROR(__xludf.DUMMYFUNCTION("""COMPUTED_VALUE"""),"Dit. Statistik Ketahanan Sosial")</f>
        <v>Dit. Statistik Ketahanan Sosial</v>
      </c>
      <c r="H57" s="7" t="str">
        <f>IFERROR(__xludf.DUMMYFUNCTION("""COMPUTED_VALUE"""),"Dit. Hukum dan Regulasi")</f>
        <v>Dit. Hukum dan Regulasi</v>
      </c>
      <c r="I57" s="5" t="str">
        <f>IFERROR(__xludf.DUMMYFUNCTION("""COMPUTED_VALUE"""),"Direktorat Pembangunan Hukum, Hak Asasi Manusia, Imigrasi, dan Pemasyarakatan")</f>
        <v>Direktorat Pembangunan Hukum, Hak Asasi Manusia, Imigrasi, dan Pemasyarakatan</v>
      </c>
      <c r="J57" s="7" t="str">
        <f>IFERROR(__xludf.DUMMYFUNCTION("""COMPUTED_VALUE"""),"Kementerian PPN/Bappenas")</f>
        <v>Kementerian PPN/Bappenas</v>
      </c>
      <c r="K57" s="5" t="str">
        <f>IFERROR(__xludf.DUMMYFUNCTION("""COMPUTED_VALUE"""),"Kementerian Hukum ")</f>
        <v>Kementerian Hukum </v>
      </c>
      <c r="L57" s="7" t="str">
        <f>IFERROR(__xludf.DUMMYFUNCTION("""COMPUTED_VALUE"""),"Tersedia Nasional")</f>
        <v>Tersedia Nasional</v>
      </c>
      <c r="M57" s="5" t="str">
        <f>IFERROR(__xludf.DUMMYFUNCTION("""COMPUTED_VALUE"""),"Muhammad Rifky Ariyadi, S.Tr.Stat.")</f>
        <v>Muhammad Rifky Ariyadi, S.Tr.Stat.</v>
      </c>
      <c r="N57" s="5"/>
      <c r="O57" s="8" t="str">
        <f>IFERROR(__xludf.DUMMYFUNCTION("""COMPUTED_VALUE"""),"https://share.google/Ie2Bhetzpy3IYSWS8 ")</f>
        <v>https://share.google/Ie2Bhetzpy3IYSWS8 </v>
      </c>
      <c r="P57" s="7"/>
      <c r="Q57" s="5"/>
      <c r="R57" s="7"/>
      <c r="S57" s="33" t="str">
        <f>IFERROR(__xludf.DUMMYFUNCTION("""COMPUTED_VALUE"""),"https://data.go.id/dataset/dataset/indeks-pembangunan-hukum")</f>
        <v>https://data.go.id/dataset/dataset/indeks-pembangunan-hukum</v>
      </c>
      <c r="T57" s="7"/>
      <c r="U57" s="7"/>
      <c r="V57" s="7"/>
      <c r="W57" s="7"/>
      <c r="X57" s="11" t="str">
        <f>IFERROR(__xludf.DUMMYFUNCTION("""COMPUTED_VALUE"""),"2. Rilis terakhir di tahun 2025. Tipe datanya ada t-1. Rilis terakhir dilakukan di akhir tahun 2025. Rilis berikutnya direncanakan akan dilakukan pada akhir 2026 (November/Desember)")</f>
        <v>2. Rilis terakhir di tahun 2025. Tipe datanya ada t-1. Rilis terakhir dilakukan di akhir tahun 2025. Rilis berikutnya direncanakan akan dilakukan pada akhir 2026 (November/Desember)</v>
      </c>
      <c r="Y57" s="7"/>
      <c r="Z57" s="24"/>
      <c r="AA57" s="12" t="s">
        <v>73</v>
      </c>
      <c r="AB57" s="12" t="s">
        <v>17</v>
      </c>
      <c r="AC57" s="17" t="s">
        <v>34</v>
      </c>
      <c r="AD57" s="21" t="s">
        <v>11</v>
      </c>
      <c r="AE57" s="28" t="s">
        <v>18</v>
      </c>
      <c r="AF57" s="25" t="s">
        <v>18</v>
      </c>
      <c r="AG57" s="21" t="s">
        <v>78</v>
      </c>
      <c r="AH57" s="5" t="s">
        <v>45</v>
      </c>
      <c r="AI57" s="24"/>
      <c r="AJ57" s="24"/>
      <c r="AK57" s="24"/>
      <c r="AL57" s="24"/>
      <c r="AM57" s="24"/>
      <c r="AN57" s="24"/>
    </row>
    <row r="58" ht="27.0" customHeight="1">
      <c r="A58" s="7" t="str">
        <f>IFERROR(__xludf.DUMMYFUNCTION("""COMPUTED_VALUE"""),"IUP")</f>
        <v>IUP</v>
      </c>
      <c r="B58" s="7" t="str">
        <f>IFERROR(__xludf.DUMMYFUNCTION("""COMPUTED_VALUE"""),"Supremasi Hukum, stabilitas, dan Kepemimpinan Indonesia        ")</f>
        <v>Supremasi Hukum, stabilitas, dan Kepemimpinan Indonesia        </v>
      </c>
      <c r="C58" s="7" t="str">
        <f>IFERROR(__xludf.DUMMYFUNCTION("""COMPUTED_VALUE"""),"Hukum Berkeadilan, Keamanan Nasional")</f>
        <v>Hukum Berkeadilan, Keamanan Nasional</v>
      </c>
      <c r="D58" s="7">
        <f>IFERROR(__xludf.DUMMYFUNCTION("""COMPUTED_VALUE"""),29.0)</f>
        <v>29</v>
      </c>
      <c r="E58" s="7" t="str">
        <f>IFERROR(__xludf.DUMMYFUNCTION("""COMPUTED_VALUE"""),"Proporsi Penduduk yang Merasa Aman Berjalan Sendirian di Area Tempat
 Tinggalnya (%)  ")</f>
        <v>Proporsi Penduduk yang Merasa Aman Berjalan Sendirian di Area Tempat
 Tinggalnya (%)  </v>
      </c>
      <c r="F58" s="7"/>
      <c r="G58" s="30" t="str">
        <f>IFERROR(__xludf.DUMMYFUNCTION("""COMPUTED_VALUE"""),"Dit. Statistik Ketahanan Sosial")</f>
        <v>Dit. Statistik Ketahanan Sosial</v>
      </c>
      <c r="H58" s="7" t="str">
        <f>IFERROR(__xludf.DUMMYFUNCTION("""COMPUTED_VALUE"""),"Dit. Pertahanan dan Keamanan")</f>
        <v>Dit. Pertahanan dan Keamanan</v>
      </c>
      <c r="I58" s="5" t="str">
        <f>IFERROR(__xludf.DUMMYFUNCTION("""COMPUTED_VALUE"""),"Direktorat  Pertahanan dan Keamanan")</f>
        <v>Direktorat  Pertahanan dan Keamanan</v>
      </c>
      <c r="J58" s="7" t="str">
        <f>IFERROR(__xludf.DUMMYFUNCTION("""COMPUTED_VALUE"""),"BPS")</f>
        <v>BPS</v>
      </c>
      <c r="K58" s="5" t="str">
        <f>IFERROR(__xludf.DUMMYFUNCTION("""COMPUTED_VALUE"""),"Kepolisian Negara Republik Indonesia")</f>
        <v>Kepolisian Negara Republik Indonesia</v>
      </c>
      <c r="L58" s="34" t="str">
        <f>IFERROR(__xludf.DUMMYFUNCTION("""COMPUTED_VALUE"""),"Tersedia s.d Provinsi")</f>
        <v>Tersedia s.d Provinsi</v>
      </c>
      <c r="M58" s="18" t="str">
        <f>IFERROR(__xludf.DUMMYFUNCTION("""COMPUTED_VALUE"""),"Muhammad Rifky Ariyadi, S.Tr.Stat.")</f>
        <v>Muhammad Rifky Ariyadi, S.Tr.Stat.</v>
      </c>
      <c r="N58" s="18"/>
      <c r="O58" s="19" t="str">
        <f>IFERROR(__xludf.DUMMYFUNCTION("""COMPUTED_VALUE"""),"(2023) https://sirusa.web.bps.go.id/metadata/indikator/48302")</f>
        <v>(2023) https://sirusa.web.bps.go.id/metadata/indikator/48302</v>
      </c>
      <c r="P58" s="7"/>
      <c r="Q58" s="5"/>
      <c r="R58" s="7"/>
      <c r="S58" s="33" t="str">
        <f>IFERROR(__xludf.DUMMYFUNCTION("""COMPUTED_VALUE"""),"https://www.bps.go.id/id/statistics-table/2/MTMxMiMy/proporsi-penduduk-yang-merasa-aman-berjalan-sendirian-di-area-tempat-tinggalnya-.html")</f>
        <v>https://www.bps.go.id/id/statistics-table/2/MTMxMiMy/proporsi-penduduk-yang-merasa-aman-berjalan-sendirian-di-area-tempat-tinggalnya-.html</v>
      </c>
      <c r="T58" s="7"/>
      <c r="U58" s="7"/>
      <c r="V58" s="7"/>
      <c r="W58" s="7"/>
      <c r="X58" s="11">
        <f>IFERROR(__xludf.DUMMYFUNCTION("""COMPUTED_VALUE"""),85.47)</f>
        <v>85.47</v>
      </c>
      <c r="Y58" s="7"/>
      <c r="Z58" s="24"/>
      <c r="AA58" s="12" t="s">
        <v>73</v>
      </c>
      <c r="AB58" s="12" t="s">
        <v>17</v>
      </c>
      <c r="AC58" s="17" t="s">
        <v>37</v>
      </c>
      <c r="AD58" s="21" t="s">
        <v>11</v>
      </c>
      <c r="AE58" s="28" t="s">
        <v>18</v>
      </c>
      <c r="AF58" s="25" t="s">
        <v>18</v>
      </c>
      <c r="AG58" s="27"/>
      <c r="AH58" s="5" t="s">
        <v>33</v>
      </c>
      <c r="AI58" s="24"/>
      <c r="AJ58" s="24"/>
      <c r="AK58" s="24"/>
      <c r="AL58" s="24"/>
      <c r="AM58" s="24"/>
      <c r="AN58" s="24"/>
    </row>
    <row r="59" ht="27.0" customHeight="1">
      <c r="A59" s="7" t="str">
        <f>IFERROR(__xludf.DUMMYFUNCTION("""COMPUTED_VALUE"""),"IUP")</f>
        <v>IUP</v>
      </c>
      <c r="B59" s="7" t="str">
        <f>IFERROR(__xludf.DUMMYFUNCTION("""COMPUTED_VALUE"""),"Supremasi Hukum, stabilitas, dan Kepemimpinan Indonesia        ")</f>
        <v>Supremasi Hukum, stabilitas, dan Kepemimpinan Indonesia        </v>
      </c>
      <c r="C59" s="7" t="str">
        <f>IFERROR(__xludf.DUMMYFUNCTION("""COMPUTED_VALUE"""),"Tangguh dan Demokrasi")</f>
        <v>Tangguh dan Demokrasi</v>
      </c>
      <c r="D59" s="7">
        <f>IFERROR(__xludf.DUMMYFUNCTION("""COMPUTED_VALUE"""),30.0)</f>
        <v>30</v>
      </c>
      <c r="E59" s="7" t="str">
        <f>IFERROR(__xludf.DUMMYFUNCTION("""COMPUTED_VALUE"""),"Indeks Demokrasi Indonesia  ")</f>
        <v>Indeks Demokrasi Indonesia  </v>
      </c>
      <c r="F59" s="7"/>
      <c r="G59" s="30" t="str">
        <f>IFERROR(__xludf.DUMMYFUNCTION("""COMPUTED_VALUE"""),"Dit. Statistik Ketahanan Sosial")</f>
        <v>Dit. Statistik Ketahanan Sosial</v>
      </c>
      <c r="H59" s="7" t="str">
        <f>IFERROR(__xludf.DUMMYFUNCTION("""COMPUTED_VALUE"""),"Dit. Politik dan Komunikasi")</f>
        <v>Dit. Politik dan Komunikasi</v>
      </c>
      <c r="I59" s="5" t="str">
        <f>IFERROR(__xludf.DUMMYFUNCTION("""COMPUTED_VALUE"""),"Direktorat Ideologi, Kebangsaan, Politik, dan Demokrasi")</f>
        <v>Direktorat Ideologi, Kebangsaan, Politik, dan Demokrasi</v>
      </c>
      <c r="J59" s="7" t="str">
        <f>IFERROR(__xludf.DUMMYFUNCTION("""COMPUTED_VALUE"""),"BPS")</f>
        <v>BPS</v>
      </c>
      <c r="K59" s="5" t="str">
        <f>IFERROR(__xludf.DUMMYFUNCTION("""COMPUTED_VALUE"""),"Kementerian Koordinator Bidang Politik dan Keamanan")</f>
        <v>Kementerian Koordinator Bidang Politik dan Keamanan</v>
      </c>
      <c r="L59" s="7" t="str">
        <f>IFERROR(__xludf.DUMMYFUNCTION("""COMPUTED_VALUE"""),"Tersedia s.d Provinsi")</f>
        <v>Tersedia s.d Provinsi</v>
      </c>
      <c r="M59" s="5" t="str">
        <f>IFERROR(__xludf.DUMMYFUNCTION("""COMPUTED_VALUE"""),"Muhammad Rifky Ariyadi, S.Tr.Stat.")</f>
        <v>Muhammad Rifky Ariyadi, S.Tr.Stat.</v>
      </c>
      <c r="N59" s="5"/>
      <c r="O59" s="8" t="str">
        <f>IFERROR(__xludf.DUMMYFUNCTION("""COMPUTED_VALUE"""),"(2022) https://sirusa.web.bps.go.id/metadata/indikator/37930")</f>
        <v>(2022) https://sirusa.web.bps.go.id/metadata/indikator/37930</v>
      </c>
      <c r="P59" s="9" t="str">
        <f>IFERROR(__xludf.DUMMYFUNCTION("""COMPUTED_VALUE"""),"https://www.bps.go.id/id/statistics-table/2/MjE2MCMy/-metode-baru--aspek-indeks-demokrasi-indonesia--idi--menurut-provinsi.html")</f>
        <v>https://www.bps.go.id/id/statistics-table/2/MjE2MCMy/-metode-baru--aspek-indeks-demokrasi-indonesia--idi--menurut-provinsi.html</v>
      </c>
      <c r="Q59" s="5"/>
      <c r="R59" s="7"/>
      <c r="S59" s="7" t="str">
        <f>IFERROR(__xludf.DUMMYFUNCTION("""COMPUTED_VALUE"""),"https://www.bps.go.id/id/statistics-table/2/MjE2MCMy/-metode-baru--aspek-indeks-demokrasi-indonesia--idi--menurut-provinsi.html
https://www.bi.go.id/id/statistik/ekonomi-keuangan/seki/Default.aspx#headingOne")</f>
        <v>https://www.bps.go.id/id/statistics-table/2/MjE2MCMy/-metode-baru--aspek-indeks-demokrasi-indonesia--idi--menurut-provinsi.html
https://www.bi.go.id/id/statistik/ekonomi-keuangan/seki/Default.aspx#headingOne</v>
      </c>
      <c r="T59" s="7"/>
      <c r="U59" s="7"/>
      <c r="V59" s="7"/>
      <c r="W59" s="7"/>
      <c r="X59" s="11">
        <f>IFERROR(__xludf.DUMMYFUNCTION("""COMPUTED_VALUE"""),78.19)</f>
        <v>78.19</v>
      </c>
      <c r="Y59" s="7"/>
      <c r="Z59" s="24"/>
      <c r="AA59" s="12" t="s">
        <v>79</v>
      </c>
      <c r="AB59" s="12" t="s">
        <v>17</v>
      </c>
      <c r="AC59" s="17" t="s">
        <v>37</v>
      </c>
      <c r="AD59" s="21" t="s">
        <v>11</v>
      </c>
      <c r="AE59" s="22">
        <v>2025.0</v>
      </c>
      <c r="AF59" s="23" t="s">
        <v>12</v>
      </c>
      <c r="AG59" s="27"/>
      <c r="AH59" s="5" t="s">
        <v>33</v>
      </c>
      <c r="AI59" s="24"/>
      <c r="AJ59" s="24"/>
      <c r="AK59" s="24"/>
      <c r="AL59" s="24"/>
      <c r="AM59" s="24"/>
      <c r="AN59" s="24"/>
    </row>
    <row r="60" ht="27.0" customHeight="1">
      <c r="A60" s="7" t="str">
        <f>IFERROR(__xludf.DUMMYFUNCTION("""COMPUTED_VALUE"""),"IUP")</f>
        <v>IUP</v>
      </c>
      <c r="B60" s="7" t="str">
        <f>IFERROR(__xludf.DUMMYFUNCTION("""COMPUTED_VALUE"""),"Supremasi Hukum, stabilitas, dan Kepemimpinan Indonesia        ")</f>
        <v>Supremasi Hukum, stabilitas, dan Kepemimpinan Indonesia        </v>
      </c>
      <c r="C60" s="7" t="str">
        <f>IFERROR(__xludf.DUMMYFUNCTION("""COMPUTED_VALUE"""),"Stabilitas Ekonomi Makro")</f>
        <v>Stabilitas Ekonomi Makro</v>
      </c>
      <c r="D60" s="7">
        <f>IFERROR(__xludf.DUMMYFUNCTION("""COMPUTED_VALUE"""),31.0)</f>
        <v>31</v>
      </c>
      <c r="E60" s="7" t="str">
        <f>IFERROR(__xludf.DUMMYFUNCTION("""COMPUTED_VALUE"""),"Rasio pajak terhadap PDB  ")</f>
        <v>Rasio pajak terhadap PDB  </v>
      </c>
      <c r="F60" s="7"/>
      <c r="G60" s="30" t="str">
        <f>IFERROR(__xludf.DUMMYFUNCTION("""COMPUTED_VALUE"""),"Dit. Neraca Pengeluaran")</f>
        <v>Dit. Neraca Pengeluaran</v>
      </c>
      <c r="H60" s="7" t="str">
        <f>IFERROR(__xludf.DUMMYFUNCTION("""COMPUTED_VALUE"""),"Dit. Keuangan Negara dan Analisis Moneter")</f>
        <v>Dit. Keuangan Negara dan Analisis Moneter</v>
      </c>
      <c r="I60" s="5" t="str">
        <f>IFERROR(__xludf.DUMMYFUNCTION("""COMPUTED_VALUE"""),"Direktorat Perencanaan Fiskal, Moneter, dan Sektor")</f>
        <v>Direktorat Perencanaan Fiskal, Moneter, dan Sektor</v>
      </c>
      <c r="J60" s="7" t="str">
        <f>IFERROR(__xludf.DUMMYFUNCTION("""COMPUTED_VALUE"""),"Kemenkeu")</f>
        <v>Kemenkeu</v>
      </c>
      <c r="K60" s="5" t="str">
        <f>IFERROR(__xludf.DUMMYFUNCTION("""COMPUTED_VALUE"""),"Kemendagri")</f>
        <v>Kemendagri</v>
      </c>
      <c r="L60" s="7" t="str">
        <f>IFERROR(__xludf.DUMMYFUNCTION("""COMPUTED_VALUE"""),"Tersedia Nasional")</f>
        <v>Tersedia Nasional</v>
      </c>
      <c r="M60" s="5" t="str">
        <f>IFERROR(__xludf.DUMMYFUNCTION("""COMPUTED_VALUE"""),"Syifasari Diennabila")</f>
        <v>Syifasari Diennabila</v>
      </c>
      <c r="N60" s="5" t="str">
        <f>IFERROR(__xludf.DUMMYFUNCTION("""COMPUTED_VALUE"""),"Tersedia di DJPK terkait dengan Pendapatan APBD")</f>
        <v>Tersedia di DJPK terkait dengan Pendapatan APBD</v>
      </c>
      <c r="O60" s="8" t="str">
        <f>IFERROR(__xludf.DUMMYFUNCTION("""COMPUTED_VALUE"""),"Belum ada metadata di link https://drive.google.com/drive/folders/1bL0VYlLQayyiyu9GsR1cYf6pBZSRb_IE ")</f>
        <v>Belum ada metadata di link https://drive.google.com/drive/folders/1bL0VYlLQayyiyu9GsR1cYf6pBZSRb_IE </v>
      </c>
      <c r="P60" s="9" t="str">
        <f>IFERROR(__xludf.DUMMYFUNCTION("""COMPUTED_VALUE"""),"https://data.go.id/dataset/dataset/rasio-pajak-terhadap-pdb")</f>
        <v>https://data.go.id/dataset/dataset/rasio-pajak-terhadap-pdb</v>
      </c>
      <c r="Q60" s="5"/>
      <c r="R60" s="7"/>
      <c r="S60" s="33" t="str">
        <f>IFERROR(__xludf.DUMMYFUNCTION("""COMPUTED_VALUE"""),"https://data.go.id/dataset/dataset/rasio-pajak-terhadap-pdb")</f>
        <v>https://data.go.id/dataset/dataset/rasio-pajak-terhadap-pdb</v>
      </c>
      <c r="T60" s="7"/>
      <c r="U60" s="7"/>
      <c r="V60" s="7"/>
      <c r="W60" s="7"/>
      <c r="X60" s="7"/>
      <c r="Y60" s="7"/>
      <c r="Z60" s="24"/>
      <c r="AA60" s="12" t="s">
        <v>8</v>
      </c>
      <c r="AB60" s="12" t="s">
        <v>9</v>
      </c>
      <c r="AC60" s="24" t="s">
        <v>29</v>
      </c>
      <c r="AD60" s="21" t="s">
        <v>11</v>
      </c>
      <c r="AE60" s="28" t="s">
        <v>18</v>
      </c>
      <c r="AF60" s="25" t="s">
        <v>18</v>
      </c>
      <c r="AG60" s="21" t="s">
        <v>80</v>
      </c>
      <c r="AH60" s="5" t="s">
        <v>33</v>
      </c>
      <c r="AI60" s="24"/>
      <c r="AJ60" s="24"/>
      <c r="AK60" s="24"/>
      <c r="AL60" s="24"/>
      <c r="AM60" s="24"/>
      <c r="AN60" s="24"/>
    </row>
    <row r="61" ht="27.0" customHeight="1">
      <c r="A61" s="7" t="str">
        <f>IFERROR(__xludf.DUMMYFUNCTION("""COMPUTED_VALUE"""),"IUP")</f>
        <v>IUP</v>
      </c>
      <c r="B61" s="7" t="str">
        <f>IFERROR(__xludf.DUMMYFUNCTION("""COMPUTED_VALUE"""),"Supremasi Hukum, stabilitas, dan Kepemimpinan Indonesia        ")</f>
        <v>Supremasi Hukum, stabilitas, dan Kepemimpinan Indonesia        </v>
      </c>
      <c r="C61" s="7" t="str">
        <f>IFERROR(__xludf.DUMMYFUNCTION("""COMPUTED_VALUE"""),"Stabilitas Ekonomi Makro")</f>
        <v>Stabilitas Ekonomi Makro</v>
      </c>
      <c r="D61" s="7">
        <f>IFERROR(__xludf.DUMMYFUNCTION("""COMPUTED_VALUE"""),32.0)</f>
        <v>32</v>
      </c>
      <c r="E61" s="7" t="str">
        <f>IFERROR(__xludf.DUMMYFUNCTION("""COMPUTED_VALUE"""),"Tingkat inflasi  ")</f>
        <v>Tingkat inflasi  </v>
      </c>
      <c r="F61" s="7"/>
      <c r="G61" s="30" t="str">
        <f>IFERROR(__xludf.DUMMYFUNCTION("""COMPUTED_VALUE"""),"Dit. Statistik Harga")</f>
        <v>Dit. Statistik Harga</v>
      </c>
      <c r="H61" s="7" t="str">
        <f>IFERROR(__xludf.DUMMYFUNCTION("""COMPUTED_VALUE"""),"Dit. Keuangan Negara dan Analisis Moneter")</f>
        <v>Dit. Keuangan Negara dan Analisis Moneter</v>
      </c>
      <c r="I61" s="5" t="str">
        <f>IFERROR(__xludf.DUMMYFUNCTION("""COMPUTED_VALUE"""),"Direktorat Perencanaan Fiskal, Moneter, dan Sektor")</f>
        <v>Direktorat Perencanaan Fiskal, Moneter, dan Sektor</v>
      </c>
      <c r="J61" s="7" t="str">
        <f>IFERROR(__xludf.DUMMYFUNCTION("""COMPUTED_VALUE"""),"BPS")</f>
        <v>BPS</v>
      </c>
      <c r="K61" s="5" t="str">
        <f>IFERROR(__xludf.DUMMYFUNCTION("""COMPUTED_VALUE"""),"Kementerian Koordinator Bidang Perekonomian")</f>
        <v>Kementerian Koordinator Bidang Perekonomian</v>
      </c>
      <c r="L61" s="7" t="str">
        <f>IFERROR(__xludf.DUMMYFUNCTION("""COMPUTED_VALUE"""),"Tersedia s.d Kabupaten/Kota")</f>
        <v>Tersedia s.d Kabupaten/Kota</v>
      </c>
      <c r="M61" s="5" t="str">
        <f>IFERROR(__xludf.DUMMYFUNCTION("""COMPUTED_VALUE"""),"Aprilia Ira")</f>
        <v>Aprilia Ira</v>
      </c>
      <c r="N61" s="5" t="str">
        <f>IFERROR(__xludf.DUMMYFUNCTION("""COMPUTED_VALUE"""),"Tersedia sampai level Kab/Kota di 150 Kab/Kota Inflasi. Sisanya diproksi dengan menggunakan IPH")</f>
        <v>Tersedia sampai level Kab/Kota di 150 Kab/Kota Inflasi. Sisanya diproksi dengan menggunakan IPH</v>
      </c>
      <c r="O61" s="8" t="str">
        <f>IFERROR(__xludf.DUMMYFUNCTION("""COMPUTED_VALUE"""),"(2025) https://sirusa.web.bps.go.id/metadata/indikator/82830")</f>
        <v>(2025) https://sirusa.web.bps.go.id/metadata/indikator/82830</v>
      </c>
      <c r="P61" s="9" t="str">
        <f>IFERROR(__xludf.DUMMYFUNCTION("""COMPUTED_VALUE"""),"https://www.bps.go.id/id/pressrelease/2026/01/05/2527/inflasi-year-on-year--y-on-y--pada-desember-2025-sebesar-2-92-persen.html")</f>
        <v>https://www.bps.go.id/id/pressrelease/2026/01/05/2527/inflasi-year-on-year--y-on-y--pada-desember-2025-sebesar-2-92-persen.html</v>
      </c>
      <c r="Q61" s="5"/>
      <c r="R61" s="7"/>
      <c r="S61" s="7"/>
      <c r="T61" s="7"/>
      <c r="U61" s="7"/>
      <c r="V61" s="7"/>
      <c r="W61" s="7"/>
      <c r="X61" s="7">
        <f>IFERROR(__xludf.DUMMYFUNCTION("""COMPUTED_VALUE"""),2.92)</f>
        <v>2.92</v>
      </c>
      <c r="Y61" s="7"/>
      <c r="Z61" s="24"/>
      <c r="AA61" s="12" t="s">
        <v>81</v>
      </c>
      <c r="AB61" s="5" t="s">
        <v>21</v>
      </c>
      <c r="AC61" s="24" t="s">
        <v>39</v>
      </c>
      <c r="AD61" s="21" t="s">
        <v>69</v>
      </c>
      <c r="AE61" s="22">
        <v>2025.0</v>
      </c>
      <c r="AF61" s="23" t="s">
        <v>12</v>
      </c>
      <c r="AG61" s="27"/>
      <c r="AH61" s="5" t="s">
        <v>33</v>
      </c>
      <c r="AI61" s="24"/>
      <c r="AJ61" s="24"/>
      <c r="AK61" s="24"/>
      <c r="AL61" s="24"/>
      <c r="AM61" s="24"/>
      <c r="AN61" s="24"/>
    </row>
    <row r="62" ht="27.0" customHeight="1">
      <c r="A62" s="7" t="str">
        <f>IFERROR(__xludf.DUMMYFUNCTION("""COMPUTED_VALUE"""),"IUP")</f>
        <v>IUP</v>
      </c>
      <c r="B62" s="7" t="str">
        <f>IFERROR(__xludf.DUMMYFUNCTION("""COMPUTED_VALUE"""),"Supremasi Hukum, stabilitas, dan Kepemimpinan Indonesia        ")</f>
        <v>Supremasi Hukum, stabilitas, dan Kepemimpinan Indonesia        </v>
      </c>
      <c r="C62" s="7" t="str">
        <f>IFERROR(__xludf.DUMMYFUNCTION("""COMPUTED_VALUE"""),"Stabilitas Ekonomi Makro")</f>
        <v>Stabilitas Ekonomi Makro</v>
      </c>
      <c r="D62" s="7" t="str">
        <f>IFERROR(__xludf.DUMMYFUNCTION("""COMPUTED_VALUE"""),"33.a")</f>
        <v>33.a</v>
      </c>
      <c r="E62" s="7" t="str">
        <f>IFERROR(__xludf.DUMMYFUNCTION("""COMPUTED_VALUE"""),"Pendalaman/ Intermediasi Sektor Keuangan: Aset Perbankan/PDB (%) ")</f>
        <v>Pendalaman/ Intermediasi Sektor Keuangan: Aset Perbankan/PDB (%) </v>
      </c>
      <c r="F62" s="7"/>
      <c r="G62" s="30" t="str">
        <f>IFERROR(__xludf.DUMMYFUNCTION("""COMPUTED_VALUE"""),"Dit. Neraca Pengeluaran")</f>
        <v>Dit. Neraca Pengeluaran</v>
      </c>
      <c r="H62" s="7" t="str">
        <f>IFERROR(__xludf.DUMMYFUNCTION("""COMPUTED_VALUE"""),"Dit. Jasa Keuangan dan BUMN")</f>
        <v>Dit. Jasa Keuangan dan BUMN</v>
      </c>
      <c r="I62" s="5" t="str">
        <f>IFERROR(__xludf.DUMMYFUNCTION("""COMPUTED_VALUE"""),"Direktorat Ekonomi Syariah dan Badan Usaha Milik Negara")</f>
        <v>Direktorat Ekonomi Syariah dan Badan Usaha Milik Negara</v>
      </c>
      <c r="J62" s="7" t="str">
        <f>IFERROR(__xludf.DUMMYFUNCTION("""COMPUTED_VALUE"""),"Dit. Jasa Keuangan dan BUMN (Bappenas)")</f>
        <v>Dit. Jasa Keuangan dan BUMN (Bappenas)</v>
      </c>
      <c r="K62" s="5" t="str">
        <f>IFERROR(__xludf.DUMMYFUNCTION("""COMPUTED_VALUE"""),"Kementerian PPN/Bappenas")</f>
        <v>Kementerian PPN/Bappenas</v>
      </c>
      <c r="L62" s="7" t="str">
        <f>IFERROR(__xludf.DUMMYFUNCTION("""COMPUTED_VALUE"""),"Tersedia Nasional")</f>
        <v>Tersedia Nasional</v>
      </c>
      <c r="M62" s="5" t="str">
        <f>IFERROR(__xludf.DUMMYFUNCTION("""COMPUTED_VALUE"""),"Syifasari Diennabila")</f>
        <v>Syifasari Diennabila</v>
      </c>
      <c r="N62" s="5" t="str">
        <f>IFERROR(__xludf.DUMMYFUNCTION("""COMPUTED_VALUE"""),"Prov: Proksi --&gt;Total Dana pihak ketiga/ PDRB")</f>
        <v>Prov: Proksi --&gt;Total Dana pihak ketiga/ PDRB</v>
      </c>
      <c r="O62" s="5"/>
      <c r="P62" s="7"/>
      <c r="Q62" s="5"/>
      <c r="R62" s="7"/>
      <c r="S62" s="7"/>
      <c r="T62" s="7"/>
      <c r="U62" s="7"/>
      <c r="V62" s="7"/>
      <c r="W62" s="7"/>
      <c r="X62" s="7"/>
      <c r="Y62" s="7"/>
      <c r="Z62" s="24"/>
      <c r="AA62" s="12" t="s">
        <v>8</v>
      </c>
      <c r="AB62" s="12" t="s">
        <v>9</v>
      </c>
      <c r="AC62" s="24" t="s">
        <v>29</v>
      </c>
      <c r="AD62" s="21" t="s">
        <v>11</v>
      </c>
      <c r="AE62" s="28" t="s">
        <v>18</v>
      </c>
      <c r="AF62" s="25" t="s">
        <v>18</v>
      </c>
      <c r="AG62" s="21" t="s">
        <v>82</v>
      </c>
      <c r="AH62" s="5" t="s">
        <v>33</v>
      </c>
      <c r="AI62" s="24"/>
      <c r="AJ62" s="24"/>
      <c r="AK62" s="24"/>
      <c r="AL62" s="24"/>
      <c r="AM62" s="24"/>
      <c r="AN62" s="24"/>
    </row>
    <row r="63" ht="27.0" customHeight="1">
      <c r="A63" s="7" t="str">
        <f>IFERROR(__xludf.DUMMYFUNCTION("""COMPUTED_VALUE"""),"IUP")</f>
        <v>IUP</v>
      </c>
      <c r="B63" s="7" t="str">
        <f>IFERROR(__xludf.DUMMYFUNCTION("""COMPUTED_VALUE"""),"Supremasi Hukum, stabilitas, dan Kepemimpinan Indonesia        ")</f>
        <v>Supremasi Hukum, stabilitas, dan Kepemimpinan Indonesia        </v>
      </c>
      <c r="C63" s="7" t="str">
        <f>IFERROR(__xludf.DUMMYFUNCTION("""COMPUTED_VALUE"""),"Stabilitas Ekonomi Makro")</f>
        <v>Stabilitas Ekonomi Makro</v>
      </c>
      <c r="D63" s="7" t="str">
        <f>IFERROR(__xludf.DUMMYFUNCTION("""COMPUTED_VALUE"""),"33.b")</f>
        <v>33.b</v>
      </c>
      <c r="E63" s="7" t="str">
        <f>IFERROR(__xludf.DUMMYFUNCTION("""COMPUTED_VALUE"""),"Pendalaman/ Intermediasi Sektor Keuangan: Aset Dana Pensiun /PDB (%) ")</f>
        <v>Pendalaman/ Intermediasi Sektor Keuangan: Aset Dana Pensiun /PDB (%) </v>
      </c>
      <c r="F63" s="7"/>
      <c r="G63" s="30" t="str">
        <f>IFERROR(__xludf.DUMMYFUNCTION("""COMPUTED_VALUE"""),"Dit. Neraca Pengeluaran")</f>
        <v>Dit. Neraca Pengeluaran</v>
      </c>
      <c r="H63" s="7" t="str">
        <f>IFERROR(__xludf.DUMMYFUNCTION("""COMPUTED_VALUE"""),"Dit. Jasa Keuangan dan BUMN")</f>
        <v>Dit. Jasa Keuangan dan BUMN</v>
      </c>
      <c r="I63" s="5" t="str">
        <f>IFERROR(__xludf.DUMMYFUNCTION("""COMPUTED_VALUE"""),"Direktorat Ekonomi Syariah dan Badan Usaha Milik Negara")</f>
        <v>Direktorat Ekonomi Syariah dan Badan Usaha Milik Negara</v>
      </c>
      <c r="J63" s="7" t="str">
        <f>IFERROR(__xludf.DUMMYFUNCTION("""COMPUTED_VALUE"""),"Dit. Jasa Keuangan dan BUMN (Bappenas)")</f>
        <v>Dit. Jasa Keuangan dan BUMN (Bappenas)</v>
      </c>
      <c r="K63" s="5" t="str">
        <f>IFERROR(__xludf.DUMMYFUNCTION("""COMPUTED_VALUE"""),"Kementerian PPN/Bappenas")</f>
        <v>Kementerian PPN/Bappenas</v>
      </c>
      <c r="L63" s="7" t="str">
        <f>IFERROR(__xludf.DUMMYFUNCTION("""COMPUTED_VALUE"""),"Tersedia s.d Provinsi")</f>
        <v>Tersedia s.d Provinsi</v>
      </c>
      <c r="M63" s="5" t="str">
        <f>IFERROR(__xludf.DUMMYFUNCTION("""COMPUTED_VALUE"""),"Syifasari Diennabila")</f>
        <v>Syifasari Diennabila</v>
      </c>
      <c r="N63" s="5"/>
      <c r="O63" s="5"/>
      <c r="P63" s="7"/>
      <c r="Q63" s="5"/>
      <c r="R63" s="7"/>
      <c r="S63" s="9" t="str">
        <f>IFERROR(__xludf.DUMMYFUNCTION("""COMPUTED_VALUE"""),"[Juli 2025] https://ojk.go.id/id/kanal/iknb/data-dan-statistik/dana-pensiun/Pages/Statistik-Bulanan-Dana-Pensiun-Juli-2025.aspx ")</f>
        <v>[Juli 2025] https://ojk.go.id/id/kanal/iknb/data-dan-statistik/dana-pensiun/Pages/Statistik-Bulanan-Dana-Pensiun-Juli-2025.aspx </v>
      </c>
      <c r="T63" s="7"/>
      <c r="U63" s="7"/>
      <c r="V63" s="7"/>
      <c r="W63" s="7"/>
      <c r="X63" s="7"/>
      <c r="Y63" s="7"/>
      <c r="Z63" s="24"/>
      <c r="AA63" s="12" t="s">
        <v>8</v>
      </c>
      <c r="AB63" s="12" t="s">
        <v>9</v>
      </c>
      <c r="AC63" s="24" t="s">
        <v>29</v>
      </c>
      <c r="AD63" s="35" t="s">
        <v>11</v>
      </c>
      <c r="AE63" s="36" t="s">
        <v>18</v>
      </c>
      <c r="AF63" s="37" t="s">
        <v>18</v>
      </c>
      <c r="AG63" s="38"/>
      <c r="AH63" s="5" t="s">
        <v>33</v>
      </c>
      <c r="AI63" s="24"/>
      <c r="AJ63" s="24"/>
      <c r="AK63" s="24"/>
      <c r="AL63" s="24"/>
      <c r="AM63" s="24"/>
      <c r="AN63" s="24"/>
    </row>
    <row r="64" ht="27.0" customHeight="1">
      <c r="A64" s="7" t="str">
        <f>IFERROR(__xludf.DUMMYFUNCTION("""COMPUTED_VALUE"""),"IUP")</f>
        <v>IUP</v>
      </c>
      <c r="B64" s="7" t="str">
        <f>IFERROR(__xludf.DUMMYFUNCTION("""COMPUTED_VALUE"""),"Supremasi Hukum, stabilitas, dan Kepemimpinan Indonesia        ")</f>
        <v>Supremasi Hukum, stabilitas, dan Kepemimpinan Indonesia        </v>
      </c>
      <c r="C64" s="7" t="str">
        <f>IFERROR(__xludf.DUMMYFUNCTION("""COMPUTED_VALUE"""),"Stabilitas Ekonomi Makro")</f>
        <v>Stabilitas Ekonomi Makro</v>
      </c>
      <c r="D64" s="7" t="str">
        <f>IFERROR(__xludf.DUMMYFUNCTION("""COMPUTED_VALUE"""),"33.c")</f>
        <v>33.c</v>
      </c>
      <c r="E64" s="7" t="str">
        <f>IFERROR(__xludf.DUMMYFUNCTION("""COMPUTED_VALUE"""),"Pendalaman/ Intermediasi Sektor Keuangan: Aset Asuransi/PDB (%) ")</f>
        <v>Pendalaman/ Intermediasi Sektor Keuangan: Aset Asuransi/PDB (%) </v>
      </c>
      <c r="F64" s="7"/>
      <c r="G64" s="30" t="str">
        <f>IFERROR(__xludf.DUMMYFUNCTION("""COMPUTED_VALUE"""),"Dit. Neraca Pengeluaran")</f>
        <v>Dit. Neraca Pengeluaran</v>
      </c>
      <c r="H64" s="7" t="str">
        <f>IFERROR(__xludf.DUMMYFUNCTION("""COMPUTED_VALUE"""),"Dit. Jasa Keuangan dan BUMN")</f>
        <v>Dit. Jasa Keuangan dan BUMN</v>
      </c>
      <c r="I64" s="31" t="str">
        <f>IFERROR(__xludf.DUMMYFUNCTION("""COMPUTED_VALUE"""),"Direktorat Ekonomi Syariah dan Badan Usaha Milik Negara")</f>
        <v>Direktorat Ekonomi Syariah dan Badan Usaha Milik Negara</v>
      </c>
      <c r="J64" s="7" t="str">
        <f>IFERROR(__xludf.DUMMYFUNCTION("""COMPUTED_VALUE"""),"Dit. Jasa Keuangan dan BUMN (Bappenas)
OJK")</f>
        <v>Dit. Jasa Keuangan dan BUMN (Bappenas)
OJK</v>
      </c>
      <c r="K64" s="5" t="str">
        <f>IFERROR(__xludf.DUMMYFUNCTION("""COMPUTED_VALUE"""),"Kementerian PPN/Bappenas")</f>
        <v>Kementerian PPN/Bappenas</v>
      </c>
      <c r="L64" s="7" t="str">
        <f>IFERROR(__xludf.DUMMYFUNCTION("""COMPUTED_VALUE"""),"Tersedia Nasional")</f>
        <v>Tersedia Nasional</v>
      </c>
      <c r="M64" s="5" t="str">
        <f>IFERROR(__xludf.DUMMYFUNCTION("""COMPUTED_VALUE"""),"Syifasari Diennabila")</f>
        <v>Syifasari Diennabila</v>
      </c>
      <c r="N64" s="5"/>
      <c r="O64" s="5"/>
      <c r="P64" s="9" t="str">
        <f>IFERROR(__xludf.DUMMYFUNCTION("""COMPUTED_VALUE"""),"https://ojk.go.id/id/kanal/iknb/data-dan-statistik/asuransi/Documents/Pages/Statistik-Perasuransian-2022/Statistik%20Perasuransian%202022.pdf ")</f>
        <v>https://ojk.go.id/id/kanal/iknb/data-dan-statistik/asuransi/Documents/Pages/Statistik-Perasuransian-2022/Statistik%20Perasuransian%202022.pdf </v>
      </c>
      <c r="Q64" s="5"/>
      <c r="R64" s="7"/>
      <c r="S64" s="9" t="str">
        <f>IFERROR(__xludf.DUMMYFUNCTION("""COMPUTED_VALUE"""),"
https://ojk.go.id/id/kanal/iknb/data-dan-statistik/asuransi/default.aspx")</f>
        <v>
https://ojk.go.id/id/kanal/iknb/data-dan-statistik/asuransi/default.aspx</v>
      </c>
      <c r="T64" s="7"/>
      <c r="U64" s="7"/>
      <c r="V64" s="7"/>
      <c r="W64" s="7"/>
      <c r="X64" s="7"/>
      <c r="Y64" s="7"/>
      <c r="Z64" s="24"/>
      <c r="AA64" s="12" t="s">
        <v>8</v>
      </c>
      <c r="AB64" s="12" t="s">
        <v>9</v>
      </c>
      <c r="AC64" s="24" t="s">
        <v>29</v>
      </c>
      <c r="AD64" s="27"/>
      <c r="AE64" s="32"/>
      <c r="AF64" s="32"/>
      <c r="AG64" s="27"/>
      <c r="AH64" s="5" t="s">
        <v>71</v>
      </c>
      <c r="AI64" s="24"/>
      <c r="AJ64" s="24"/>
      <c r="AK64" s="24"/>
      <c r="AL64" s="24"/>
      <c r="AM64" s="24"/>
      <c r="AN64" s="24"/>
    </row>
    <row r="65" ht="27.0" customHeight="1">
      <c r="A65" s="7" t="str">
        <f>IFERROR(__xludf.DUMMYFUNCTION("""COMPUTED_VALUE"""),"IUP")</f>
        <v>IUP</v>
      </c>
      <c r="B65" s="7" t="str">
        <f>IFERROR(__xludf.DUMMYFUNCTION("""COMPUTED_VALUE"""),"Supremasi Hukum, stabilitas, dan Kepemimpinan Indonesia        ")</f>
        <v>Supremasi Hukum, stabilitas, dan Kepemimpinan Indonesia        </v>
      </c>
      <c r="C65" s="7" t="str">
        <f>IFERROR(__xludf.DUMMYFUNCTION("""COMPUTED_VALUE"""),"Stabilitas Ekonomi Makro")</f>
        <v>Stabilitas Ekonomi Makro</v>
      </c>
      <c r="D65" s="7" t="str">
        <f>IFERROR(__xludf.DUMMYFUNCTION("""COMPUTED_VALUE"""),"33.d")</f>
        <v>33.d</v>
      </c>
      <c r="E65" s="7" t="str">
        <f>IFERROR(__xludf.DUMMYFUNCTION("""COMPUTED_VALUE"""),"Pendalaman/ Intermediasi Sektor Keuangan: Kapitalisasi Pasar Modal/PDB (%) ")</f>
        <v>Pendalaman/ Intermediasi Sektor Keuangan: Kapitalisasi Pasar Modal/PDB (%) </v>
      </c>
      <c r="F65" s="7"/>
      <c r="G65" s="30" t="str">
        <f>IFERROR(__xludf.DUMMYFUNCTION("""COMPUTED_VALUE"""),"Dit. Neraca Pengeluaran")</f>
        <v>Dit. Neraca Pengeluaran</v>
      </c>
      <c r="H65" s="7" t="str">
        <f>IFERROR(__xludf.DUMMYFUNCTION("""COMPUTED_VALUE"""),"Dit. Jasa Keuangan dan BUMN")</f>
        <v>Dit. Jasa Keuangan dan BUMN</v>
      </c>
      <c r="I65" s="5" t="str">
        <f>IFERROR(__xludf.DUMMYFUNCTION("""COMPUTED_VALUE"""),"Direktorat Ekonomi Syariah dan Badan Usaha Milik Negara")</f>
        <v>Direktorat Ekonomi Syariah dan Badan Usaha Milik Negara</v>
      </c>
      <c r="J65" s="7" t="str">
        <f>IFERROR(__xludf.DUMMYFUNCTION("""COMPUTED_VALUE"""),"Dit. Jasa Keuangan dan BUMN (Bappenas)")</f>
        <v>Dit. Jasa Keuangan dan BUMN (Bappenas)</v>
      </c>
      <c r="K65" s="5" t="str">
        <f>IFERROR(__xludf.DUMMYFUNCTION("""COMPUTED_VALUE"""),"Kementerian PPN/Bappenas")</f>
        <v>Kementerian PPN/Bappenas</v>
      </c>
      <c r="L65" s="7" t="str">
        <f>IFERROR(__xludf.DUMMYFUNCTION("""COMPUTED_VALUE"""),"Tersedia Nasional")</f>
        <v>Tersedia Nasional</v>
      </c>
      <c r="M65" s="5" t="str">
        <f>IFERROR(__xludf.DUMMYFUNCTION("""COMPUTED_VALUE"""),"Syifasari Diennabila")</f>
        <v>Syifasari Diennabila</v>
      </c>
      <c r="N65" s="5"/>
      <c r="O65" s="5"/>
      <c r="P65" s="9" t="str">
        <f>IFERROR(__xludf.DUMMYFUNCTION("""COMPUTED_VALUE"""),"https://ojk.go.id/id/Statistik/Pasar-Modal/Laporan-Tahunan/Documents/Fact%20Book%20Pasar%20Modal,%20Keuangan%20Derivatif,%20dan%20Bursa%20Karbon%20(PMDK)%202024.pdf")</f>
        <v>https://ojk.go.id/id/Statistik/Pasar-Modal/Laporan-Tahunan/Documents/Fact%20Book%20Pasar%20Modal,%20Keuangan%20Derivatif,%20dan%20Bursa%20Karbon%20(PMDK)%202024.pdf</v>
      </c>
      <c r="Q65" s="5"/>
      <c r="R65" s="7"/>
      <c r="S65" s="7"/>
      <c r="T65" s="7"/>
      <c r="U65" s="7"/>
      <c r="V65" s="7"/>
      <c r="W65" s="7"/>
      <c r="X65" s="7"/>
      <c r="Y65" s="7"/>
      <c r="Z65" s="24"/>
      <c r="AA65" s="12" t="s">
        <v>8</v>
      </c>
      <c r="AB65" s="12" t="s">
        <v>9</v>
      </c>
      <c r="AC65" s="24" t="s">
        <v>29</v>
      </c>
      <c r="AD65" s="35" t="s">
        <v>11</v>
      </c>
      <c r="AE65" s="36" t="s">
        <v>18</v>
      </c>
      <c r="AF65" s="37" t="s">
        <v>18</v>
      </c>
      <c r="AG65" s="35" t="s">
        <v>83</v>
      </c>
      <c r="AH65" s="5" t="s">
        <v>45</v>
      </c>
      <c r="AI65" s="24"/>
      <c r="AJ65" s="24"/>
      <c r="AK65" s="24"/>
      <c r="AL65" s="24"/>
      <c r="AM65" s="24"/>
      <c r="AN65" s="24"/>
    </row>
    <row r="66" ht="27.0" customHeight="1">
      <c r="A66" s="7" t="str">
        <f>IFERROR(__xludf.DUMMYFUNCTION("""COMPUTED_VALUE"""),"IUP")</f>
        <v>IUP</v>
      </c>
      <c r="B66" s="7" t="str">
        <f>IFERROR(__xludf.DUMMYFUNCTION("""COMPUTED_VALUE"""),"Supremasi Hukum, stabilitas, dan Kepemimpinan Indonesia        ")</f>
        <v>Supremasi Hukum, stabilitas, dan Kepemimpinan Indonesia        </v>
      </c>
      <c r="C66" s="7" t="str">
        <f>IFERROR(__xludf.DUMMYFUNCTION("""COMPUTED_VALUE"""),"Stabilitas Ekonomi Makro")</f>
        <v>Stabilitas Ekonomi Makro</v>
      </c>
      <c r="D66" s="7" t="str">
        <f>IFERROR(__xludf.DUMMYFUNCTION("""COMPUTED_VALUE"""),"33.e")</f>
        <v>33.e</v>
      </c>
      <c r="E66" s="7" t="str">
        <f>IFERROR(__xludf.DUMMYFUNCTION("""COMPUTED_VALUE"""),"Pendalaman/ Intermediasi Sektor Keuangan: Total Kredit/PDB (%) ")</f>
        <v>Pendalaman/ Intermediasi Sektor Keuangan: Total Kredit/PDB (%) </v>
      </c>
      <c r="F66" s="7"/>
      <c r="G66" s="30" t="str">
        <f>IFERROR(__xludf.DUMMYFUNCTION("""COMPUTED_VALUE"""),"Dit. Neraca Pengeluaran")</f>
        <v>Dit. Neraca Pengeluaran</v>
      </c>
      <c r="H66" s="7" t="str">
        <f>IFERROR(__xludf.DUMMYFUNCTION("""COMPUTED_VALUE"""),"Dit. Jasa Keuangan dan BUMN")</f>
        <v>Dit. Jasa Keuangan dan BUMN</v>
      </c>
      <c r="I66" s="5" t="str">
        <f>IFERROR(__xludf.DUMMYFUNCTION("""COMPUTED_VALUE"""),"Direktorat Ekonomi Syariah dan Badan Usaha Milik Negara")</f>
        <v>Direktorat Ekonomi Syariah dan Badan Usaha Milik Negara</v>
      </c>
      <c r="J66" s="7" t="str">
        <f>IFERROR(__xludf.DUMMYFUNCTION("""COMPUTED_VALUE"""),"Dit. Jasa Keuangan dan BUMN (Bappenas)")</f>
        <v>Dit. Jasa Keuangan dan BUMN (Bappenas)</v>
      </c>
      <c r="K66" s="5" t="str">
        <f>IFERROR(__xludf.DUMMYFUNCTION("""COMPUTED_VALUE"""),"Kementerian PPN/Bappenas")</f>
        <v>Kementerian PPN/Bappenas</v>
      </c>
      <c r="L66" s="7" t="str">
        <f>IFERROR(__xludf.DUMMYFUNCTION("""COMPUTED_VALUE"""),"Tersedia s.d Provinsi")</f>
        <v>Tersedia s.d Provinsi</v>
      </c>
      <c r="M66" s="5" t="str">
        <f>IFERROR(__xludf.DUMMYFUNCTION("""COMPUTED_VALUE"""),"Syifasari Diennabila")</f>
        <v>Syifasari Diennabila</v>
      </c>
      <c r="N66" s="5"/>
      <c r="O66" s="5"/>
      <c r="P66" s="7"/>
      <c r="Q66" s="5"/>
      <c r="R66" s="7"/>
      <c r="S66" s="7"/>
      <c r="T66" s="7"/>
      <c r="U66" s="7"/>
      <c r="V66" s="7"/>
      <c r="W66" s="7"/>
      <c r="X66" s="7"/>
      <c r="Y66" s="7"/>
      <c r="Z66" s="24"/>
      <c r="AA66" s="12" t="s">
        <v>8</v>
      </c>
      <c r="AB66" s="12" t="s">
        <v>9</v>
      </c>
      <c r="AC66" s="24" t="s">
        <v>29</v>
      </c>
      <c r="AD66" s="21" t="s">
        <v>68</v>
      </c>
      <c r="AE66" s="28" t="s">
        <v>18</v>
      </c>
      <c r="AF66" s="25" t="s">
        <v>18</v>
      </c>
      <c r="AG66" s="27"/>
      <c r="AH66" s="5" t="s">
        <v>33</v>
      </c>
      <c r="AI66" s="24"/>
      <c r="AJ66" s="24"/>
      <c r="AK66" s="24"/>
      <c r="AL66" s="24"/>
      <c r="AM66" s="24"/>
      <c r="AN66" s="24"/>
    </row>
    <row r="67" ht="27.0" customHeight="1">
      <c r="A67" s="7" t="str">
        <f>IFERROR(__xludf.DUMMYFUNCTION("""COMPUTED_VALUE"""),"IUP")</f>
        <v>IUP</v>
      </c>
      <c r="B67" s="7" t="str">
        <f>IFERROR(__xludf.DUMMYFUNCTION("""COMPUTED_VALUE"""),"Supremasi Hukum, stabilitas, dan Kepemimpinan Indonesia        ")</f>
        <v>Supremasi Hukum, stabilitas, dan Kepemimpinan Indonesia        </v>
      </c>
      <c r="C67" s="7" t="str">
        <f>IFERROR(__xludf.DUMMYFUNCTION("""COMPUTED_VALUE"""),"Stabilitas Ekonomi Makro")</f>
        <v>Stabilitas Ekonomi Makro</v>
      </c>
      <c r="D67" s="7">
        <f>IFERROR(__xludf.DUMMYFUNCTION("""COMPUTED_VALUE"""),34.0)</f>
        <v>34</v>
      </c>
      <c r="E67" s="7" t="str">
        <f>IFERROR(__xludf.DUMMYFUNCTION("""COMPUTED_VALUE"""),"Inklusi Keuangan (%)  ")</f>
        <v>Inklusi Keuangan (%)  </v>
      </c>
      <c r="F67" s="7"/>
      <c r="G67" s="30" t="str">
        <f>IFERROR(__xludf.DUMMYFUNCTION("""COMPUTED_VALUE"""),"Dit. Statistik Kesejahteraan Rakyat")</f>
        <v>Dit. Statistik Kesejahteraan Rakyat</v>
      </c>
      <c r="H67" s="7" t="str">
        <f>IFERROR(__xludf.DUMMYFUNCTION("""COMPUTED_VALUE"""),"Dit. Jasa Keuangan dan BUMN")</f>
        <v>Dit. Jasa Keuangan dan BUMN</v>
      </c>
      <c r="I67" s="5" t="str">
        <f>IFERROR(__xludf.DUMMYFUNCTION("""COMPUTED_VALUE"""),"Direktorat Ekonomi Syariah dan Badan Usaha Milik Negara")</f>
        <v>Direktorat Ekonomi Syariah dan Badan Usaha Milik Negara</v>
      </c>
      <c r="J67" s="7" t="str">
        <f>IFERROR(__xludf.DUMMYFUNCTION("""COMPUTED_VALUE"""),"OJK")</f>
        <v>OJK</v>
      </c>
      <c r="K67" s="5" t="str">
        <f>IFERROR(__xludf.DUMMYFUNCTION("""COMPUTED_VALUE"""),"Kementerian Koordinator Bidang Perekonomian")</f>
        <v>Kementerian Koordinator Bidang Perekonomian</v>
      </c>
      <c r="L67" s="7" t="str">
        <f>IFERROR(__xludf.DUMMYFUNCTION("""COMPUTED_VALUE"""),"Tersedia Nasional")</f>
        <v>Tersedia Nasional</v>
      </c>
      <c r="M67" s="5" t="str">
        <f>IFERROR(__xludf.DUMMYFUNCTION("""COMPUTED_VALUE"""),"Dhiar Niken Larasati, SST, M.E.")</f>
        <v>Dhiar Niken Larasati, SST, M.E.</v>
      </c>
      <c r="N67" s="5"/>
      <c r="O67" s="5" t="str">
        <f>IFERROR(__xludf.DUMMYFUNCTION("""COMPUTED_VALUE"""),"Inklusi Keuangan (%) adalah tingkat penggunaan produk
dan layanan jasa keuangan oleh masyarakat Indonesia
pada suatu kurun waktu tertentu.")</f>
        <v>Inklusi Keuangan (%) adalah tingkat penggunaan produk
dan layanan jasa keuangan oleh masyarakat Indonesia
pada suatu kurun waktu tertentu.</v>
      </c>
      <c r="P67" s="9" t="str">
        <f>IFERROR(__xludf.DUMMYFUNCTION("""COMPUTED_VALUE"""),"https://ojk.go.id/id/berita-dan-kegiatan/siaran-pers/Documents/Pages/OJK-dan-BPS-Umumkan-Hasil-Survei-Nasional-Literasi-Dan-Inklusi-Keuangan-SNLIK-Tahun-2025/SP%2069%20Indeks%20Literasi%20dan%20Inklusi%20Keuangan%20Masyarakat%20Meningkat,%20OJK%20dan%20BP"&amp;"S%20Umumkan%20Hasil%20Survei%20Nasional%20Literasi%20Dan%20Inklusi%20Keuangan%20(SNLIK)%20Tahun%202025.pdf ")</f>
        <v>https://ojk.go.id/id/berita-dan-kegiatan/siaran-pers/Documents/Pages/OJK-dan-BPS-Umumkan-Hasil-Survei-Nasional-Literasi-Dan-Inklusi-Keuangan-SNLIK-Tahun-2025/SP%2069%20Indeks%20Literasi%20dan%20Inklusi%20Keuangan%20Masyarakat%20Meningkat,%20OJK%20dan%20BPS%20Umumkan%20Hasil%20Survei%20Nasional%20Literasi%20Dan%20Inklusi%20Keuangan%20(SNLIK)%20Tahun%202025.pdf </v>
      </c>
      <c r="Q67" s="5"/>
      <c r="R67" s="7" t="str">
        <f>IFERROR(__xludf.DUMMYFUNCTION("""COMPUTED_VALUE"""),"Indeks Inklusi Keuangan")</f>
        <v>Indeks Inklusi Keuangan</v>
      </c>
      <c r="S67" s="7"/>
      <c r="T67" s="7"/>
      <c r="U67" s="7"/>
      <c r="V67" s="7"/>
      <c r="W67" s="7"/>
      <c r="X67" s="11">
        <f>IFERROR(__xludf.DUMMYFUNCTION("""COMPUTED_VALUE"""),92.74)</f>
        <v>92.74</v>
      </c>
      <c r="Y67" s="7"/>
      <c r="Z67" s="24"/>
      <c r="AA67" s="12" t="s">
        <v>30</v>
      </c>
      <c r="AB67" s="12" t="s">
        <v>17</v>
      </c>
      <c r="AC67" s="17" t="s">
        <v>37</v>
      </c>
      <c r="AD67" s="35" t="s">
        <v>11</v>
      </c>
      <c r="AE67" s="36" t="s">
        <v>18</v>
      </c>
      <c r="AF67" s="37" t="s">
        <v>18</v>
      </c>
      <c r="AG67" s="38"/>
      <c r="AH67" s="5" t="s">
        <v>33</v>
      </c>
      <c r="AI67" s="24"/>
      <c r="AJ67" s="24"/>
      <c r="AK67" s="24"/>
      <c r="AL67" s="24"/>
      <c r="AM67" s="24"/>
      <c r="AN67" s="24"/>
    </row>
    <row r="68" ht="27.0" customHeight="1">
      <c r="A68" s="7" t="str">
        <f>IFERROR(__xludf.DUMMYFUNCTION("""COMPUTED_VALUE"""),"IUP")</f>
        <v>IUP</v>
      </c>
      <c r="B68" s="7" t="str">
        <f>IFERROR(__xludf.DUMMYFUNCTION("""COMPUTED_VALUE"""),"Supremasi Hukum, stabilitas, dan Kepemimpinan Indonesia        ")</f>
        <v>Supremasi Hukum, stabilitas, dan Kepemimpinan Indonesia        </v>
      </c>
      <c r="C68" s="7" t="str">
        <f>IFERROR(__xludf.DUMMYFUNCTION("""COMPUTED_VALUE"""),"Ketangguhan Diplomasi dan Pertahanan Berdaya Gentar Kawasan")</f>
        <v>Ketangguhan Diplomasi dan Pertahanan Berdaya Gentar Kawasan</v>
      </c>
      <c r="D68" s="7">
        <f>IFERROR(__xludf.DUMMYFUNCTION("""COMPUTED_VALUE"""),35.0)</f>
        <v>35</v>
      </c>
      <c r="E68" s="7" t="str">
        <f>IFERROR(__xludf.DUMMYFUNCTION("""COMPUTED_VALUE"""),"Asia Power Index (Diplomatic Influence)  ")</f>
        <v>Asia Power Index (Diplomatic Influence)  </v>
      </c>
      <c r="F68" s="7"/>
      <c r="G68" s="30" t="str">
        <f>IFERROR(__xludf.DUMMYFUNCTION("""COMPUTED_VALUE"""),"Dit. Analisis Statistik dan Neraca Satelit")</f>
        <v>Dit. Analisis Statistik dan Neraca Satelit</v>
      </c>
      <c r="H68" s="7" t="str">
        <f>IFERROR(__xludf.DUMMYFUNCTION("""COMPUTED_VALUE"""),"Dit. Politik Luar Negeri dan Kerjasama Pembangunan Internasional")</f>
        <v>Dit. Politik Luar Negeri dan Kerjasama Pembangunan Internasional</v>
      </c>
      <c r="I68" s="5" t="str">
        <f>IFERROR(__xludf.DUMMYFUNCTION("""COMPUTED_VALUE"""),"Direktorat Hubungan Luar Negeri")</f>
        <v>Direktorat Hubungan Luar Negeri</v>
      </c>
      <c r="J68" s="7" t="str">
        <f>IFERROR(__xludf.DUMMYFUNCTION("""COMPUTED_VALUE"""),"Lowy Institute")</f>
        <v>Lowy Institute</v>
      </c>
      <c r="K68" s="5" t="str">
        <f>IFERROR(__xludf.DUMMYFUNCTION("""COMPUTED_VALUE"""),"Kementerian Luar Negeri")</f>
        <v>Kementerian Luar Negeri</v>
      </c>
      <c r="L68" s="7" t="str">
        <f>IFERROR(__xludf.DUMMYFUNCTION("""COMPUTED_VALUE"""),"Tersedia Nasional")</f>
        <v>Tersedia Nasional</v>
      </c>
      <c r="M68" s="5" t="str">
        <f>IFERROR(__xludf.DUMMYFUNCTION("""COMPUTED_VALUE"""),"Erna Yulianingsih")</f>
        <v>Erna Yulianingsih</v>
      </c>
      <c r="N68" s="8" t="str">
        <f>IFERROR(__xludf.DUMMYFUNCTION("""COMPUTED_VALUE"""),"https://power.lowyinstitute.org/data/diplomatic-influence/")</f>
        <v>https://power.lowyinstitute.org/data/diplomatic-influence/</v>
      </c>
      <c r="O68" s="5" t="str">
        <f>IFERROR(__xludf.DUMMYFUNCTION("""COMPUTED_VALUE"""),"35. Asia Power Index (Diplomatic Influence)")</f>
        <v>35. Asia Power Index (Diplomatic Influence)</v>
      </c>
      <c r="P68" s="9" t="str">
        <f>IFERROR(__xludf.DUMMYFUNCTION("""COMPUTED_VALUE"""),"https://power.lowyinstitute.org/downloads/lowy-institute-2025-asia-power-index-key-findings-report.pdf")</f>
        <v>https://power.lowyinstitute.org/downloads/lowy-institute-2025-asia-power-index-key-findings-report.pdf</v>
      </c>
      <c r="Q68" s="5"/>
      <c r="R68" s="7"/>
      <c r="S68" s="7"/>
      <c r="T68" s="7"/>
      <c r="U68" s="7"/>
      <c r="V68" s="7"/>
      <c r="W68" s="7"/>
      <c r="X68" s="11">
        <f>IFERROR(__xludf.DUMMYFUNCTION("""COMPUTED_VALUE"""),67.2)</f>
        <v>67.2</v>
      </c>
      <c r="Y68" s="7"/>
      <c r="Z68" s="24"/>
      <c r="AA68" s="5" t="s">
        <v>76</v>
      </c>
      <c r="AB68" s="12" t="s">
        <v>9</v>
      </c>
      <c r="AC68" s="24" t="s">
        <v>29</v>
      </c>
      <c r="AD68" s="21" t="s">
        <v>11</v>
      </c>
      <c r="AE68" s="22">
        <v>2025.0</v>
      </c>
      <c r="AF68" s="23" t="s">
        <v>12</v>
      </c>
      <c r="AG68" s="21" t="s">
        <v>84</v>
      </c>
      <c r="AH68" s="5" t="s">
        <v>45</v>
      </c>
      <c r="AI68" s="24"/>
      <c r="AJ68" s="24"/>
      <c r="AK68" s="24"/>
      <c r="AL68" s="24"/>
      <c r="AM68" s="24"/>
      <c r="AN68" s="24"/>
    </row>
    <row r="69" ht="27.0" customHeight="1">
      <c r="A69" s="7" t="str">
        <f>IFERROR(__xludf.DUMMYFUNCTION("""COMPUTED_VALUE"""),"IUP")</f>
        <v>IUP</v>
      </c>
      <c r="B69" s="7" t="str">
        <f>IFERROR(__xludf.DUMMYFUNCTION("""COMPUTED_VALUE"""),"Supremasi Hukum, stabilitas, dan Kepemimpinan Indonesia        ")</f>
        <v>Supremasi Hukum, stabilitas, dan Kepemimpinan Indonesia        </v>
      </c>
      <c r="C69" s="7" t="str">
        <f>IFERROR(__xludf.DUMMYFUNCTION("""COMPUTED_VALUE"""),"Ketangguhan Diplomasi dan Pertahanan Berdaya Gentar Kawasan")</f>
        <v>Ketangguhan Diplomasi dan Pertahanan Berdaya Gentar Kawasan</v>
      </c>
      <c r="D69" s="7">
        <f>IFERROR(__xludf.DUMMYFUNCTION("""COMPUTED_VALUE"""),36.0)</f>
        <v>36</v>
      </c>
      <c r="E69" s="7" t="str">
        <f>IFERROR(__xludf.DUMMYFUNCTION("""COMPUTED_VALUE"""),"Asia Power Index (Military Capability)  ")</f>
        <v>Asia Power Index (Military Capability)  </v>
      </c>
      <c r="F69" s="7"/>
      <c r="G69" s="30" t="str">
        <f>IFERROR(__xludf.DUMMYFUNCTION("""COMPUTED_VALUE"""),"Dit. Analisis Statistik dan Neraca Satelit")</f>
        <v>Dit. Analisis Statistik dan Neraca Satelit</v>
      </c>
      <c r="H69" s="7" t="str">
        <f>IFERROR(__xludf.DUMMYFUNCTION("""COMPUTED_VALUE"""),"Dit. Pertahanan dan Keamanan")</f>
        <v>Dit. Pertahanan dan Keamanan</v>
      </c>
      <c r="I69" s="5" t="str">
        <f>IFERROR(__xludf.DUMMYFUNCTION("""COMPUTED_VALUE"""),"Direktorat  Pertahanan dan Keamanan")</f>
        <v>Direktorat  Pertahanan dan Keamanan</v>
      </c>
      <c r="J69" s="7" t="str">
        <f>IFERROR(__xludf.DUMMYFUNCTION("""COMPUTED_VALUE"""),"Lowy Institute")</f>
        <v>Lowy Institute</v>
      </c>
      <c r="K69" s="5" t="str">
        <f>IFERROR(__xludf.DUMMYFUNCTION("""COMPUTED_VALUE"""),"Kementerian Pertahanan")</f>
        <v>Kementerian Pertahanan</v>
      </c>
      <c r="L69" s="7" t="str">
        <f>IFERROR(__xludf.DUMMYFUNCTION("""COMPUTED_VALUE"""),"Tersedia Nasional")</f>
        <v>Tersedia Nasional</v>
      </c>
      <c r="M69" s="5" t="str">
        <f>IFERROR(__xludf.DUMMYFUNCTION("""COMPUTED_VALUE"""),"Erna Yulianingsih")</f>
        <v>Erna Yulianingsih</v>
      </c>
      <c r="N69" s="8" t="str">
        <f>IFERROR(__xludf.DUMMYFUNCTION("""COMPUTED_VALUE"""),"Military capability data - Lowy Institute Asia Power Index")</f>
        <v>Military capability data - Lowy Institute Asia Power Index</v>
      </c>
      <c r="O69" s="5" t="str">
        <f>IFERROR(__xludf.DUMMYFUNCTION("""COMPUTED_VALUE"""),"36. Asia Power Index (Military Capability)")</f>
        <v>36. Asia Power Index (Military Capability)</v>
      </c>
      <c r="P69" s="7"/>
      <c r="Q69" s="5"/>
      <c r="R69" s="7"/>
      <c r="S69" s="7"/>
      <c r="T69" s="7"/>
      <c r="U69" s="7"/>
      <c r="V69" s="7"/>
      <c r="W69" s="7"/>
      <c r="X69" s="11">
        <f>IFERROR(__xludf.DUMMYFUNCTION("""COMPUTED_VALUE"""),15.9)</f>
        <v>15.9</v>
      </c>
      <c r="Y69" s="7"/>
      <c r="Z69" s="24"/>
      <c r="AA69" s="5" t="s">
        <v>76</v>
      </c>
      <c r="AB69" s="12" t="s">
        <v>9</v>
      </c>
      <c r="AC69" s="24" t="s">
        <v>29</v>
      </c>
      <c r="AD69" s="21" t="s">
        <v>11</v>
      </c>
      <c r="AE69" s="22">
        <v>2025.0</v>
      </c>
      <c r="AF69" s="23" t="s">
        <v>12</v>
      </c>
      <c r="AG69" s="21" t="s">
        <v>85</v>
      </c>
      <c r="AH69" s="5" t="s">
        <v>45</v>
      </c>
      <c r="AI69" s="24"/>
      <c r="AJ69" s="24"/>
      <c r="AK69" s="24"/>
      <c r="AL69" s="24"/>
      <c r="AM69" s="24"/>
      <c r="AN69" s="24"/>
    </row>
    <row r="70" ht="27.0" customHeight="1">
      <c r="A70" s="7" t="str">
        <f>IFERROR(__xludf.DUMMYFUNCTION("""COMPUTED_VALUE"""),"IUP")</f>
        <v>IUP</v>
      </c>
      <c r="B70" s="7" t="str">
        <f>IFERROR(__xludf.DUMMYFUNCTION("""COMPUTED_VALUE"""),"Ketahanan Sosial Budaya dan Ekologi        ")</f>
        <v>Ketahanan Sosial Budaya dan Ekologi        </v>
      </c>
      <c r="C70" s="7" t="str">
        <f>IFERROR(__xludf.DUMMYFUNCTION("""COMPUTED_VALUE"""),"Beragama Maslahat  dan Berkebudayaan Maju")</f>
        <v>Beragama Maslahat  dan Berkebudayaan Maju</v>
      </c>
      <c r="D70" s="7">
        <f>IFERROR(__xludf.DUMMYFUNCTION("""COMPUTED_VALUE"""),37.0)</f>
        <v>37</v>
      </c>
      <c r="E70" s="7" t="str">
        <f>IFERROR(__xludf.DUMMYFUNCTION("""COMPUTED_VALUE"""),"Indeks Pembangunan Kebudayaan  ")</f>
        <v>Indeks Pembangunan Kebudayaan  </v>
      </c>
      <c r="F70" s="7"/>
      <c r="G70" s="30" t="str">
        <f>IFERROR(__xludf.DUMMYFUNCTION("""COMPUTED_VALUE"""),"Dit. Statistik Kesejahteraan Rakyat")</f>
        <v>Dit. Statistik Kesejahteraan Rakyat</v>
      </c>
      <c r="H70" s="7" t="str">
        <f>IFERROR(__xludf.DUMMYFUNCTION("""COMPUTED_VALUE"""),"Dit. Agama, Pendidikan, dan Kebudayaan")</f>
        <v>Dit. Agama, Pendidikan, dan Kebudayaan</v>
      </c>
      <c r="I70" s="5" t="str">
        <f>IFERROR(__xludf.DUMMYFUNCTION("""COMPUTED_VALUE"""),"- Direktorat Agama, Kebudayaan, Pemuda dan Olahraga
- Direktorat Pendidikan Dasar dan Menengah")</f>
        <v>- Direktorat Agama, Kebudayaan, Pemuda dan Olahraga
- Direktorat Pendidikan Dasar dan Menengah</v>
      </c>
      <c r="J70" s="7" t="str">
        <f>IFERROR(__xludf.DUMMYFUNCTION("""COMPUTED_VALUE"""),"Kementerian Kebudayaan")</f>
        <v>Kementerian Kebudayaan</v>
      </c>
      <c r="K70" s="5" t="str">
        <f>IFERROR(__xludf.DUMMYFUNCTION("""COMPUTED_VALUE"""),"Kementerian Kebudayaan")</f>
        <v>Kementerian Kebudayaan</v>
      </c>
      <c r="L70" s="7" t="str">
        <f>IFERROR(__xludf.DUMMYFUNCTION("""COMPUTED_VALUE"""),"Tersedia s.d Provinsi")</f>
        <v>Tersedia s.d Provinsi</v>
      </c>
      <c r="M70" s="5" t="str">
        <f>IFERROR(__xludf.DUMMYFUNCTION("""COMPUTED_VALUE"""),"Dhiar Niken Larasati, SST, M.E.")</f>
        <v>Dhiar Niken Larasati, SST, M.E.</v>
      </c>
      <c r="N70" s="5"/>
      <c r="O70" s="8" t="str">
        <f>IFERROR(__xludf.DUMMYFUNCTION("""COMPUTED_VALUE"""),"https://opendata.jabarprov.go.id/id/dataset/indeks-pembangunan-kebudayaan-berdasarkan-provinsi-di-indonesia")</f>
        <v>https://opendata.jabarprov.go.id/id/dataset/indeks-pembangunan-kebudayaan-berdasarkan-provinsi-di-indonesia</v>
      </c>
      <c r="P70" s="9" t="str">
        <f>IFERROR(__xludf.DUMMYFUNCTION("""COMPUTED_VALUE"""),"https://dapobud.kemendikbudristek.com/ipk-sub/ (ga bisa dibuka)")</f>
        <v>https://dapobud.kemendikbudristek.com/ipk-sub/ (ga bisa dibuka)</v>
      </c>
      <c r="Q70" s="5"/>
      <c r="R70" s="7"/>
      <c r="S70" s="7" t="str">
        <f>IFERROR(__xludf.DUMMYFUNCTION("""COMPUTED_VALUE"""),"https://opendata.jabarprov.go.id/id/dataset/indeks-pembangunan-kebudayaan-berdasarkan-provinsi-di-indonesia 
https://data.go.id/dataset/dataset/indeks-pembangunan-kebudayaan-ipk-2024 ")</f>
        <v>https://opendata.jabarprov.go.id/id/dataset/indeks-pembangunan-kebudayaan-berdasarkan-provinsi-di-indonesia 
https://data.go.id/dataset/dataset/indeks-pembangunan-kebudayaan-ipk-2024 </v>
      </c>
      <c r="T70" s="7"/>
      <c r="U70" s="7"/>
      <c r="V70" s="7"/>
      <c r="W70" s="7"/>
      <c r="X70" s="11" t="str">
        <f>IFERROR(__xludf.DUMMYFUNCTION("""COMPUTED_VALUE"""),"Rencana Rilis Oktober 2026")</f>
        <v>Rencana Rilis Oktober 2026</v>
      </c>
      <c r="Y70" s="7"/>
      <c r="Z70" s="24"/>
      <c r="AA70" s="12" t="s">
        <v>30</v>
      </c>
      <c r="AB70" s="12" t="s">
        <v>17</v>
      </c>
      <c r="AC70" s="17" t="s">
        <v>37</v>
      </c>
      <c r="AD70" s="21" t="s">
        <v>11</v>
      </c>
      <c r="AE70" s="22">
        <v>2025.0</v>
      </c>
      <c r="AF70" s="23" t="s">
        <v>12</v>
      </c>
      <c r="AG70" s="27"/>
      <c r="AH70" s="5" t="s">
        <v>33</v>
      </c>
      <c r="AI70" s="24"/>
      <c r="AJ70" s="24"/>
      <c r="AK70" s="24"/>
      <c r="AL70" s="24"/>
      <c r="AM70" s="24"/>
      <c r="AN70" s="24"/>
    </row>
    <row r="71" ht="27.0" customHeight="1">
      <c r="A71" s="7" t="str">
        <f>IFERROR(__xludf.DUMMYFUNCTION("""COMPUTED_VALUE"""),"IUP")</f>
        <v>IUP</v>
      </c>
      <c r="B71" s="7" t="str">
        <f>IFERROR(__xludf.DUMMYFUNCTION("""COMPUTED_VALUE"""),"Ketahanan Sosial Budaya dan Ekologi        ")</f>
        <v>Ketahanan Sosial Budaya dan Ekologi        </v>
      </c>
      <c r="C71" s="7" t="str">
        <f>IFERROR(__xludf.DUMMYFUNCTION("""COMPUTED_VALUE"""),"Beragama Maslahat  dan Berkebudayaan Maju")</f>
        <v>Beragama Maslahat  dan Berkebudayaan Maju</v>
      </c>
      <c r="D71" s="7">
        <f>IFERROR(__xludf.DUMMYFUNCTION("""COMPUTED_VALUE"""),38.0)</f>
        <v>38</v>
      </c>
      <c r="E71" s="7" t="str">
        <f>IFERROR(__xludf.DUMMYFUNCTION("""COMPUTED_VALUE"""),"Indeks Kerukunan Umat Beragama:  ")</f>
        <v>Indeks Kerukunan Umat Beragama:  </v>
      </c>
      <c r="F71" s="7"/>
      <c r="G71" s="30" t="str">
        <f>IFERROR(__xludf.DUMMYFUNCTION("""COMPUTED_VALUE"""),"Dit. Statistik Ketahanan Sosial")</f>
        <v>Dit. Statistik Ketahanan Sosial</v>
      </c>
      <c r="H71" s="7" t="str">
        <f>IFERROR(__xludf.DUMMYFUNCTION("""COMPUTED_VALUE"""),"Dit. Agama, Pendidikan, dan Kebudayaan")</f>
        <v>Dit. Agama, Pendidikan, dan Kebudayaan</v>
      </c>
      <c r="I71" s="5" t="str">
        <f>IFERROR(__xludf.DUMMYFUNCTION("""COMPUTED_VALUE"""),"- Direktorat Agama, Kebudayaan, Pemuda dan Olahraga
- Direktorat Pendidikan Dasar dan Menengah")</f>
        <v>- Direktorat Agama, Kebudayaan, Pemuda dan Olahraga
- Direktorat Pendidikan Dasar dan Menengah</v>
      </c>
      <c r="J71" s="7" t="str">
        <f>IFERROR(__xludf.DUMMYFUNCTION("""COMPUTED_VALUE"""),"Kemenag")</f>
        <v>Kemenag</v>
      </c>
      <c r="K71" s="5" t="str">
        <f>IFERROR(__xludf.DUMMYFUNCTION("""COMPUTED_VALUE"""),"Kementerian Agama")</f>
        <v>Kementerian Agama</v>
      </c>
      <c r="L71" s="7" t="str">
        <f>IFERROR(__xludf.DUMMYFUNCTION("""COMPUTED_VALUE"""),"Tersedia s.d Provinsi")</f>
        <v>Tersedia s.d Provinsi</v>
      </c>
      <c r="M71" s="5" t="str">
        <f>IFERROR(__xludf.DUMMYFUNCTION("""COMPUTED_VALUE"""),"Muhammad Rifky Ariyadi, S.Tr.Stat.")</f>
        <v>Muhammad Rifky Ariyadi, S.Tr.Stat.</v>
      </c>
      <c r="N71" s="5"/>
      <c r="O71" s="5"/>
      <c r="P71" s="7" t="str">
        <f>IFERROR(__xludf.DUMMYFUNCTION("""COMPUTED_VALUE"""),"tidak ada publikasinya")</f>
        <v>tidak ada publikasinya</v>
      </c>
      <c r="Q71" s="5"/>
      <c r="R71" s="7"/>
      <c r="S71" s="9" t="str">
        <f>IFERROR(__xludf.DUMMYFUNCTION("""COMPUTED_VALUE"""),"https://data.go.id/dataset/dataset/indek-kerukunan-umat-beragama")</f>
        <v>https://data.go.id/dataset/dataset/indek-kerukunan-umat-beragama</v>
      </c>
      <c r="T71" s="7"/>
      <c r="U71" s="7"/>
      <c r="V71" s="7"/>
      <c r="W71" s="7"/>
      <c r="X71" s="11">
        <f>IFERROR(__xludf.DUMMYFUNCTION("""COMPUTED_VALUE"""),77.89)</f>
        <v>77.89</v>
      </c>
      <c r="Y71" s="7"/>
      <c r="Z71" s="24"/>
      <c r="AA71" s="12" t="s">
        <v>79</v>
      </c>
      <c r="AB71" s="12" t="s">
        <v>17</v>
      </c>
      <c r="AC71" s="17" t="s">
        <v>37</v>
      </c>
      <c r="AD71" s="21" t="s">
        <v>11</v>
      </c>
      <c r="AE71" s="22">
        <v>2025.0</v>
      </c>
      <c r="AF71" s="23" t="s">
        <v>12</v>
      </c>
      <c r="AG71" s="27"/>
      <c r="AH71" s="5" t="s">
        <v>33</v>
      </c>
      <c r="AI71" s="24"/>
      <c r="AJ71" s="24"/>
      <c r="AK71" s="24"/>
      <c r="AL71" s="24"/>
      <c r="AM71" s="24"/>
      <c r="AN71" s="24"/>
    </row>
    <row r="72" ht="27.0" customHeight="1">
      <c r="A72" s="7" t="str">
        <f>IFERROR(__xludf.DUMMYFUNCTION("""COMPUTED_VALUE"""),"IUP")</f>
        <v>IUP</v>
      </c>
      <c r="B72" s="7" t="str">
        <f>IFERROR(__xludf.DUMMYFUNCTION("""COMPUTED_VALUE"""),"Ketahanan Sosial Budaya dan Ekologi        ")</f>
        <v>Ketahanan Sosial Budaya dan Ekologi        </v>
      </c>
      <c r="C72" s="7" t="str">
        <f>IFERROR(__xludf.DUMMYFUNCTION("""COMPUTED_VALUE"""),"Keluarga Berkualitas, Kesetaraan Gender, dan Masyarakat Inklusif")</f>
        <v>Keluarga Berkualitas, Kesetaraan Gender, dan Masyarakat Inklusif</v>
      </c>
      <c r="D72" s="7">
        <f>IFERROR(__xludf.DUMMYFUNCTION("""COMPUTED_VALUE"""),39.0)</f>
        <v>39</v>
      </c>
      <c r="E72" s="7" t="str">
        <f>IFERROR(__xludf.DUMMYFUNCTION("""COMPUTED_VALUE"""),"Indeks Pembangunan Kualitas Keluarga  ")</f>
        <v>Indeks Pembangunan Kualitas Keluarga  </v>
      </c>
      <c r="F72" s="7"/>
      <c r="G72" s="30" t="str">
        <f>IFERROR(__xludf.DUMMYFUNCTION("""COMPUTED_VALUE"""),"Dit. Analisis Statistik dan Neraca Satelit")</f>
        <v>Dit. Analisis Statistik dan Neraca Satelit</v>
      </c>
      <c r="H72" s="7" t="str">
        <f>IFERROR(__xludf.DUMMYFUNCTION("""COMPUTED_VALUE"""),"Dit. Keluarga, Perempuan, Anak, Pemuda, &amp; Olahraga")</f>
        <v>Dit. Keluarga, Perempuan, Anak, Pemuda, &amp; Olahraga</v>
      </c>
      <c r="I72" s="5" t="str">
        <f>IFERROR(__xludf.DUMMYFUNCTION("""COMPUTED_VALUE"""),"- Direktorat Keluarga, Pengasuhan, Perempuan, dan Anak
- Direktorat Agama, Kebudayaan, Pemuda, dan Olahraga")</f>
        <v>- Direktorat Keluarga, Pengasuhan, Perempuan, dan Anak
- Direktorat Agama, Kebudayaan, Pemuda, dan Olahraga</v>
      </c>
      <c r="J72" s="7" t="str">
        <f>IFERROR(__xludf.DUMMYFUNCTION("""COMPUTED_VALUE"""),"Bappenas")</f>
        <v>Bappenas</v>
      </c>
      <c r="K72" s="5" t="str">
        <f>IFERROR(__xludf.DUMMYFUNCTION("""COMPUTED_VALUE"""),"Kementerian Pemberdayaan Perempuan dan Perlindungan Anak")</f>
        <v>Kementerian Pemberdayaan Perempuan dan Perlindungan Anak</v>
      </c>
      <c r="L72" s="7" t="str">
        <f>IFERROR(__xludf.DUMMYFUNCTION("""COMPUTED_VALUE"""),"Tersedia s.d Provinsi")</f>
        <v>Tersedia s.d Provinsi</v>
      </c>
      <c r="M72" s="5" t="str">
        <f>IFERROR(__xludf.DUMMYFUNCTION("""COMPUTED_VALUE"""),"Erna Yulianingsih")</f>
        <v>Erna Yulianingsih</v>
      </c>
      <c r="N72" s="5"/>
      <c r="O72" s="5" t="str">
        <f>IFERROR(__xludf.DUMMYFUNCTION("""COMPUTED_VALUE"""),"2024 39. Indeks Pembangunan Kualitas Keluarga")</f>
        <v>2024 39. Indeks Pembangunan Kualitas Keluarga</v>
      </c>
      <c r="P72" s="7"/>
      <c r="Q72" s="5"/>
      <c r="R72" s="7"/>
      <c r="S72" s="7"/>
      <c r="T72" s="7"/>
      <c r="U72" s="7"/>
      <c r="V72" s="7"/>
      <c r="W72" s="7"/>
      <c r="X72" s="11">
        <f>IFERROR(__xludf.DUMMYFUNCTION("""COMPUTED_VALUE"""),72.47)</f>
        <v>72.47</v>
      </c>
      <c r="Y72" s="7"/>
      <c r="Z72" s="24"/>
      <c r="AA72" s="5" t="s">
        <v>86</v>
      </c>
      <c r="AB72" s="12" t="s">
        <v>9</v>
      </c>
      <c r="AC72" s="24" t="s">
        <v>29</v>
      </c>
      <c r="AD72" s="21" t="s">
        <v>11</v>
      </c>
      <c r="AE72" s="22">
        <v>2025.0</v>
      </c>
      <c r="AF72" s="23" t="s">
        <v>12</v>
      </c>
      <c r="AG72" s="27"/>
      <c r="AH72" s="5" t="s">
        <v>33</v>
      </c>
      <c r="AI72" s="24"/>
      <c r="AJ72" s="24"/>
      <c r="AK72" s="24"/>
      <c r="AL72" s="24"/>
      <c r="AM72" s="24"/>
      <c r="AN72" s="24"/>
    </row>
    <row r="73" ht="27.0" customHeight="1">
      <c r="A73" s="7" t="str">
        <f>IFERROR(__xludf.DUMMYFUNCTION("""COMPUTED_VALUE"""),"IUP")</f>
        <v>IUP</v>
      </c>
      <c r="B73" s="7" t="str">
        <f>IFERROR(__xludf.DUMMYFUNCTION("""COMPUTED_VALUE"""),"Ketahanan Sosial Budaya dan Ekologi        ")</f>
        <v>Ketahanan Sosial Budaya dan Ekologi        </v>
      </c>
      <c r="C73" s="7" t="str">
        <f>IFERROR(__xludf.DUMMYFUNCTION("""COMPUTED_VALUE"""),"Keluarga Berkualitas, Kesetaraan Gender, dan Masyarakat Inklusif")</f>
        <v>Keluarga Berkualitas, Kesetaraan Gender, dan Masyarakat Inklusif</v>
      </c>
      <c r="D73" s="7">
        <f>IFERROR(__xludf.DUMMYFUNCTION("""COMPUTED_VALUE"""),40.0)</f>
        <v>40</v>
      </c>
      <c r="E73" s="7" t="str">
        <f>IFERROR(__xludf.DUMMYFUNCTION("""COMPUTED_VALUE"""),"Indeks Ketimpangan Gender (IKG)  ")</f>
        <v>Indeks Ketimpangan Gender (IKG)  </v>
      </c>
      <c r="F73" s="7"/>
      <c r="G73" s="30" t="str">
        <f>IFERROR(__xludf.DUMMYFUNCTION("""COMPUTED_VALUE"""),"Dit. Analisis Statistik dan Neraca Satelit")</f>
        <v>Dit. Analisis Statistik dan Neraca Satelit</v>
      </c>
      <c r="H73" s="7" t="str">
        <f>IFERROR(__xludf.DUMMYFUNCTION("""COMPUTED_VALUE"""),"Dit. Keluarga, Perempuan, Anak, Pemuda, &amp; Olahraga")</f>
        <v>Dit. Keluarga, Perempuan, Anak, Pemuda, &amp; Olahraga</v>
      </c>
      <c r="I73" s="5" t="str">
        <f>IFERROR(__xludf.DUMMYFUNCTION("""COMPUTED_VALUE"""),"- Direktorat Keluarga, Pengasuhan, Perempuan, dan Anak
- Direktorat Agama, Kebudayaan, Pemuda, dan Olahraga")</f>
        <v>- Direktorat Keluarga, Pengasuhan, Perempuan, dan Anak
- Direktorat Agama, Kebudayaan, Pemuda, dan Olahraga</v>
      </c>
      <c r="J73" s="7" t="str">
        <f>IFERROR(__xludf.DUMMYFUNCTION("""COMPUTED_VALUE"""),"BPS")</f>
        <v>BPS</v>
      </c>
      <c r="K73" s="5" t="str">
        <f>IFERROR(__xludf.DUMMYFUNCTION("""COMPUTED_VALUE"""),"Kementerian Pemberdayaan Perempuan dan Perlindungan Anak")</f>
        <v>Kementerian Pemberdayaan Perempuan dan Perlindungan Anak</v>
      </c>
      <c r="L73" s="7" t="str">
        <f>IFERROR(__xludf.DUMMYFUNCTION("""COMPUTED_VALUE"""),"Tersedia s.d Kabupaten/Kota")</f>
        <v>Tersedia s.d Kabupaten/Kota</v>
      </c>
      <c r="M73" s="5" t="str">
        <f>IFERROR(__xludf.DUMMYFUNCTION("""COMPUTED_VALUE"""),"Erna Yulianingsih")</f>
        <v>Erna Yulianingsih</v>
      </c>
      <c r="N73" s="5" t="str">
        <f>IFERROR(__xludf.DUMMYFUNCTION("""COMPUTED_VALUE"""),"Rencana Rilis Mei 2025 
ada sampai kabupaten kota ")</f>
        <v>Rencana Rilis Mei 2025 
ada sampai kabupaten kota </v>
      </c>
      <c r="O73" s="8" t="str">
        <f>IFERROR(__xludf.DUMMYFUNCTION("""COMPUTED_VALUE"""),"DKI Jakarta (2013) https://sirusa.web.bps.go.id/metadata/indikator/1610")</f>
        <v>DKI Jakarta (2013) https://sirusa.web.bps.go.id/metadata/indikator/1610</v>
      </c>
      <c r="P73" s="9" t="str">
        <f>IFERROR(__xludf.DUMMYFUNCTION("""COMPUTED_VALUE"""),"https://www.bps.go.id/id/publication/2025/07/31/83ae68c36720895d3895ec58/indeks-ketimpangan-gender-2024.html")</f>
        <v>https://www.bps.go.id/id/publication/2025/07/31/83ae68c36720895d3895ec58/indeks-ketimpangan-gender-2024.html</v>
      </c>
      <c r="Q73" s="5"/>
      <c r="R73" s="7"/>
      <c r="S73" s="33" t="str">
        <f>IFERROR(__xludf.DUMMYFUNCTION("""COMPUTED_VALUE"""),"https://www.bps.go.id/id/statistics-table/2/MjE5NiMy/indeks-ketimpangan-gerder--ikg-.html")</f>
        <v>https://www.bps.go.id/id/statistics-table/2/MjE5NiMy/indeks-ketimpangan-gerder--ikg-.html</v>
      </c>
      <c r="T73" s="7"/>
      <c r="U73" s="7"/>
      <c r="V73" s="7"/>
      <c r="W73" s="7"/>
      <c r="X73" s="11">
        <f>IFERROR(__xludf.DUMMYFUNCTION("""COMPUTED_VALUE"""),0.402)</f>
        <v>0.402</v>
      </c>
      <c r="Y73" s="7"/>
      <c r="Z73" s="24"/>
      <c r="AA73" s="5" t="s">
        <v>86</v>
      </c>
      <c r="AB73" s="12" t="s">
        <v>9</v>
      </c>
      <c r="AC73" s="24" t="s">
        <v>29</v>
      </c>
      <c r="AD73" s="21" t="s">
        <v>11</v>
      </c>
      <c r="AE73" s="22">
        <v>2025.0</v>
      </c>
      <c r="AF73" s="23" t="s">
        <v>12</v>
      </c>
      <c r="AG73" s="27"/>
      <c r="AH73" s="5" t="s">
        <v>33</v>
      </c>
      <c r="AI73" s="24"/>
      <c r="AJ73" s="24"/>
      <c r="AK73" s="24"/>
      <c r="AL73" s="24"/>
      <c r="AM73" s="24"/>
      <c r="AN73" s="24"/>
    </row>
    <row r="74" ht="27.0" customHeight="1">
      <c r="A74" s="7" t="str">
        <f>IFERROR(__xludf.DUMMYFUNCTION("""COMPUTED_VALUE"""),"IUP")</f>
        <v>IUP</v>
      </c>
      <c r="B74" s="7" t="str">
        <f>IFERROR(__xludf.DUMMYFUNCTION("""COMPUTED_VALUE"""),"Ketahanan Sosial Budaya dan Ekologi        ")</f>
        <v>Ketahanan Sosial Budaya dan Ekologi        </v>
      </c>
      <c r="C74" s="7" t="str">
        <f>IFERROR(__xludf.DUMMYFUNCTION("""COMPUTED_VALUE"""),"Lingkungan Hidup Berkualitas")</f>
        <v>Lingkungan Hidup Berkualitas</v>
      </c>
      <c r="D74" s="7">
        <f>IFERROR(__xludf.DUMMYFUNCTION("""COMPUTED_VALUE"""),41.0)</f>
        <v>41</v>
      </c>
      <c r="E74" s="7" t="str">
        <f>IFERROR(__xludf.DUMMYFUNCTION("""COMPUTED_VALUE"""),"Indeks Pengelolaan Keanekaragaman Hayati  ")</f>
        <v>Indeks Pengelolaan Keanekaragaman Hayati  </v>
      </c>
      <c r="F74" s="7"/>
      <c r="G74" s="30" t="str">
        <f>IFERROR(__xludf.DUMMYFUNCTION("""COMPUTED_VALUE"""),"Dit. Statistik Ketahanan Sosial")</f>
        <v>Dit. Statistik Ketahanan Sosial</v>
      </c>
      <c r="H74" s="7" t="str">
        <f>IFERROR(__xludf.DUMMYFUNCTION("""COMPUTED_VALUE"""),"Dit. Lingkungan Hidup")</f>
        <v>Dit. Lingkungan Hidup</v>
      </c>
      <c r="I74" s="5" t="str">
        <f>IFERROR(__xludf.DUMMYFUNCTION("""COMPUTED_VALUE"""),"Direktorat Lingkungan Hidup")</f>
        <v>Direktorat Lingkungan Hidup</v>
      </c>
      <c r="J74" s="7" t="str">
        <f>IFERROR(__xludf.DUMMYFUNCTION("""COMPUTED_VALUE"""),"Kementerian PPN/Bappenas")</f>
        <v>Kementerian PPN/Bappenas</v>
      </c>
      <c r="K74" s="5" t="str">
        <f>IFERROR(__xludf.DUMMYFUNCTION("""COMPUTED_VALUE"""),"Kementerian PPN/Bappenas")</f>
        <v>Kementerian PPN/Bappenas</v>
      </c>
      <c r="L74" s="7" t="str">
        <f>IFERROR(__xludf.DUMMYFUNCTION("""COMPUTED_VALUE"""),"Tidak Tersedia")</f>
        <v>Tidak Tersedia</v>
      </c>
      <c r="M74" s="5" t="str">
        <f>IFERROR(__xludf.DUMMYFUNCTION("""COMPUTED_VALUE"""),"Muhammad Rifky Ariyadi, S.Tr.Stat.")</f>
        <v>Muhammad Rifky Ariyadi, S.Tr.Stat.</v>
      </c>
      <c r="N74" s="5" t="str">
        <f>IFERROR(__xludf.DUMMYFUNCTION("""COMPUTED_VALUE"""),"Hanya tersedia di Prov Banten")</f>
        <v>Hanya tersedia di Prov Banten</v>
      </c>
      <c r="O74" s="5"/>
      <c r="P74" s="7"/>
      <c r="Q74" s="5"/>
      <c r="R74" s="7"/>
      <c r="S74" s="7"/>
      <c r="T74" s="7"/>
      <c r="U74" s="7"/>
      <c r="V74" s="7"/>
      <c r="W74" s="7"/>
      <c r="X74" s="11" t="str">
        <f>IFERROR(__xludf.DUMMYFUNCTION("""COMPUTED_VALUE"""),"Data masih dalam tahap pengembangan")</f>
        <v>Data masih dalam tahap pengembangan</v>
      </c>
      <c r="Y74" s="7"/>
      <c r="Z74" s="24"/>
      <c r="AA74" s="12" t="s">
        <v>87</v>
      </c>
      <c r="AB74" s="12" t="s">
        <v>17</v>
      </c>
      <c r="AC74" s="17" t="s">
        <v>37</v>
      </c>
      <c r="AD74" s="21" t="s">
        <v>11</v>
      </c>
      <c r="AE74" s="28" t="s">
        <v>18</v>
      </c>
      <c r="AF74" s="23" t="s">
        <v>12</v>
      </c>
      <c r="AG74" s="27"/>
      <c r="AH74" s="5" t="s">
        <v>33</v>
      </c>
      <c r="AI74" s="24"/>
      <c r="AJ74" s="24"/>
      <c r="AK74" s="24"/>
      <c r="AL74" s="24"/>
      <c r="AM74" s="24"/>
      <c r="AN74" s="24"/>
    </row>
    <row r="75" ht="27.0" customHeight="1">
      <c r="A75" s="7" t="str">
        <f>IFERROR(__xludf.DUMMYFUNCTION("""COMPUTED_VALUE"""),"IUP")</f>
        <v>IUP</v>
      </c>
      <c r="B75" s="7" t="str">
        <f>IFERROR(__xludf.DUMMYFUNCTION("""COMPUTED_VALUE"""),"Ketahanan Sosial Budaya dan Ekologi        ")</f>
        <v>Ketahanan Sosial Budaya dan Ekologi        </v>
      </c>
      <c r="C75" s="7" t="str">
        <f>IFERROR(__xludf.DUMMYFUNCTION("""COMPUTED_VALUE"""),"Lingkungan Hidup Berkualitas")</f>
        <v>Lingkungan Hidup Berkualitas</v>
      </c>
      <c r="D75" s="7" t="str">
        <f>IFERROR(__xludf.DUMMYFUNCTION("""COMPUTED_VALUE"""),"42.a.1")</f>
        <v>42.a.1</v>
      </c>
      <c r="E75" s="7" t="str">
        <f>IFERROR(__xludf.DUMMYFUNCTION("""COMPUTED_VALUE"""),"Kualitas Lingkungan Hidup: Indeks Kualitas Lingkungan Hidup - Indeks Kualitas Udara (IKU)")</f>
        <v>Kualitas Lingkungan Hidup: Indeks Kualitas Lingkungan Hidup - Indeks Kualitas Udara (IKU)</v>
      </c>
      <c r="F75" s="7"/>
      <c r="G75" s="30" t="str">
        <f>IFERROR(__xludf.DUMMYFUNCTION("""COMPUTED_VALUE"""),"Dit. Statistik Ketahanan Sosial")</f>
        <v>Dit. Statistik Ketahanan Sosial</v>
      </c>
      <c r="H75" s="7" t="str">
        <f>IFERROR(__xludf.DUMMYFUNCTION("""COMPUTED_VALUE"""),"Dit. Lingkungan Hidup")</f>
        <v>Dit. Lingkungan Hidup</v>
      </c>
      <c r="I75" s="5" t="str">
        <f>IFERROR(__xludf.DUMMYFUNCTION("""COMPUTED_VALUE"""),"Direktorat Lingkungan Hidup")</f>
        <v>Direktorat Lingkungan Hidup</v>
      </c>
      <c r="J75" s="7" t="str">
        <f>IFERROR(__xludf.DUMMYFUNCTION("""COMPUTED_VALUE"""),"Kementerian Lingkungan Hidup")</f>
        <v>Kementerian Lingkungan Hidup</v>
      </c>
      <c r="K75" s="5" t="str">
        <f>IFERROR(__xludf.DUMMYFUNCTION("""COMPUTED_VALUE"""),"Kementerian Lingkungan Hidup")</f>
        <v>Kementerian Lingkungan Hidup</v>
      </c>
      <c r="L75" s="7" t="str">
        <f>IFERROR(__xludf.DUMMYFUNCTION("""COMPUTED_VALUE"""),"Tersedia s.d Kabupaten/Kota")</f>
        <v>Tersedia s.d Kabupaten/Kota</v>
      </c>
      <c r="M75" s="5" t="str">
        <f>IFERROR(__xludf.DUMMYFUNCTION("""COMPUTED_VALUE"""),"Mohammad Ammar Alwandi, S.Tr.Stat.")</f>
        <v>Mohammad Ammar Alwandi, S.Tr.Stat.</v>
      </c>
      <c r="N75" s="8" t="str">
        <f>IFERROR(__xludf.DUMMYFUNCTION("""COMPUTED_VALUE"""),"https://gaw-bariri.bmkg.go.id/index.php/karya-tulis-dan-artikel/gawsarium/324-kualitas-udara")</f>
        <v>https://gaw-bariri.bmkg.go.id/index.php/karya-tulis-dan-artikel/gawsarium/324-kualitas-udara</v>
      </c>
      <c r="O75" s="8" t="str">
        <f>IFERROR(__xludf.DUMMYFUNCTION("""COMPUTED_VALUE"""),"https://sirusa.web.bps.go.id/metadata/indikator/63178")</f>
        <v>https://sirusa.web.bps.go.id/metadata/indikator/63178</v>
      </c>
      <c r="P75" s="7"/>
      <c r="Q75" s="5"/>
      <c r="R75" s="7" t="str">
        <f>IFERROR(__xludf.DUMMYFUNCTION("""COMPUTED_VALUE"""),"Indeks Kualitas Udara")</f>
        <v>Indeks Kualitas Udara</v>
      </c>
      <c r="S75" s="7" t="str">
        <f>IFERROR(__xludf.DUMMYFUNCTION("""COMPUTED_VALUE"""),"https://www.bps.go.id/id/statistics-table/2/MjUzMSMy/indeks-kualitas-lingkungan-hidup-menurut-provinsi.html
https://iklim.bmkg.go.id/id/kualitas-udara-indonesia/ ")</f>
        <v>https://www.bps.go.id/id/statistics-table/2/MjUzMSMy/indeks-kualitas-lingkungan-hidup-menurut-provinsi.html
https://iklim.bmkg.go.id/id/kualitas-udara-indonesia/ </v>
      </c>
      <c r="T75" s="7"/>
      <c r="U75" s="7"/>
      <c r="V75" s="7" t="str">
        <f>IFERROR(__xludf.DUMMYFUNCTION("""COMPUTED_VALUE"""),"11.6.2 (b)")</f>
        <v>11.6.2 (b)</v>
      </c>
      <c r="W75" s="7"/>
      <c r="X75" s="7" t="str">
        <f>IFERROR(__xludf.DUMMYFUNCTION("""COMPUTED_VALUE"""),"Diperkirakan BPS terima data tanggal 31 Agustus 2026")</f>
        <v>Diperkirakan BPS terima data tanggal 31 Agustus 2026</v>
      </c>
      <c r="Y75" s="7"/>
      <c r="Z75" s="24"/>
      <c r="AA75" s="12" t="s">
        <v>35</v>
      </c>
      <c r="AB75" s="12" t="s">
        <v>17</v>
      </c>
      <c r="AC75" s="17" t="s">
        <v>37</v>
      </c>
      <c r="AD75" s="21" t="s">
        <v>11</v>
      </c>
      <c r="AE75" s="22">
        <v>2025.0</v>
      </c>
      <c r="AF75" s="23" t="s">
        <v>12</v>
      </c>
      <c r="AG75" s="27"/>
      <c r="AH75" s="5" t="s">
        <v>88</v>
      </c>
      <c r="AI75" s="24"/>
      <c r="AJ75" s="24"/>
      <c r="AK75" s="24"/>
      <c r="AL75" s="24"/>
      <c r="AM75" s="24"/>
      <c r="AN75" s="24"/>
    </row>
    <row r="76" ht="27.0" customHeight="1">
      <c r="A76" s="7" t="str">
        <f>IFERROR(__xludf.DUMMYFUNCTION("""COMPUTED_VALUE"""),"IUP")</f>
        <v>IUP</v>
      </c>
      <c r="B76" s="7" t="str">
        <f>IFERROR(__xludf.DUMMYFUNCTION("""COMPUTED_VALUE"""),"Ketahanan Sosial Budaya dan Ekologi        ")</f>
        <v>Ketahanan Sosial Budaya dan Ekologi        </v>
      </c>
      <c r="C76" s="7" t="str">
        <f>IFERROR(__xludf.DUMMYFUNCTION("""COMPUTED_VALUE"""),"Lingkungan Hidup Berkualitas")</f>
        <v>Lingkungan Hidup Berkualitas</v>
      </c>
      <c r="D76" s="7" t="str">
        <f>IFERROR(__xludf.DUMMYFUNCTION("""COMPUTED_VALUE"""),"42.a.2")</f>
        <v>42.a.2</v>
      </c>
      <c r="E76" s="7" t="str">
        <f>IFERROR(__xludf.DUMMYFUNCTION("""COMPUTED_VALUE"""),"Kualitas Lingkungan Hidup: Indeks Kualitas Lingkungan Hidup - Indeks Kualitas Air (IKA)")</f>
        <v>Kualitas Lingkungan Hidup: Indeks Kualitas Lingkungan Hidup - Indeks Kualitas Air (IKA)</v>
      </c>
      <c r="F76" s="7"/>
      <c r="G76" s="30" t="str">
        <f>IFERROR(__xludf.DUMMYFUNCTION("""COMPUTED_VALUE"""),"Dit. Statistik Ketahanan Sosial")</f>
        <v>Dit. Statistik Ketahanan Sosial</v>
      </c>
      <c r="H76" s="7" t="str">
        <f>IFERROR(__xludf.DUMMYFUNCTION("""COMPUTED_VALUE"""),"Dit. Lingkungan Hidup")</f>
        <v>Dit. Lingkungan Hidup</v>
      </c>
      <c r="I76" s="5" t="str">
        <f>IFERROR(__xludf.DUMMYFUNCTION("""COMPUTED_VALUE"""),"Direktorat Lingkungan Hidup")</f>
        <v>Direktorat Lingkungan Hidup</v>
      </c>
      <c r="J76" s="7" t="str">
        <f>IFERROR(__xludf.DUMMYFUNCTION("""COMPUTED_VALUE"""),"Kementerian Lingkungan Hidup")</f>
        <v>Kementerian Lingkungan Hidup</v>
      </c>
      <c r="K76" s="5" t="str">
        <f>IFERROR(__xludf.DUMMYFUNCTION("""COMPUTED_VALUE"""),"Kementerian Lingkungan Hidup")</f>
        <v>Kementerian Lingkungan Hidup</v>
      </c>
      <c r="L76" s="7" t="str">
        <f>IFERROR(__xludf.DUMMYFUNCTION("""COMPUTED_VALUE"""),"Tersedia Nasional")</f>
        <v>Tersedia Nasional</v>
      </c>
      <c r="M76" s="5" t="str">
        <f>IFERROR(__xludf.DUMMYFUNCTION("""COMPUTED_VALUE"""),"Mohammad Ammar Alwandi, S.Tr.Stat.")</f>
        <v>Mohammad Ammar Alwandi, S.Tr.Stat.</v>
      </c>
      <c r="N76" s="5"/>
      <c r="O76" s="5" t="str">
        <f>IFERROR(__xludf.DUMMYFUNCTION("""COMPUTED_VALUE"""),"Jawa Tengah 2023 
https://sirusa.web.bps.go.id/metadata/indikator/50556  ")</f>
        <v>Jawa Tengah 2023 
https://sirusa.web.bps.go.id/metadata/indikator/50556  </v>
      </c>
      <c r="P76" s="9" t="str">
        <f>IFERROR(__xludf.DUMMYFUNCTION("""COMPUTED_VALUE"""),"https://web-api.bps.go.id/download.php?f=OvjcO0MhAxndIOd7Oglj/0NFODVBTWlneUtjY05mZHVsdGNUQmsxVEFxOWUrKzZ1YmtPUmlEYzlwSXJ0YVdEWGZTbW85QldZY0RNYk5EN0lOdVJTTEljM0d2Q0M5UERsdHZvTlVRSjJRM0dZYWkycE5xOUk2Y0k4emFEN2RhdE9rOUw2OFRoVUVqSSs3WDRCWXJONFcybW1aSVZUWjhYdi"&amp;"tmWmVWYzh3MEVyeC9zdnRtSU5oNTlnUllDUFlOZ29NMEdkbjJlLzhGOXI5c3NEM1ZzZFZGTUM0TTEvZC9pZWMxOGZZc3dRak5IcVVGeTBEaEhDb1MzN1oxeU9HRkFieGFJb2ZCZXBYTTgxYlMxeGQwYWxzemY0U1hIK2N4bXZza3FrWW5nPT0=&amp;_gl=1*1yrakoe*_ga*MzczNTkwNDAyLjE3NTg1NDQ5MTQ.*_ga_XXTTVXWHDB*czE3NzA2OT"&amp;"M1OTAkbzcwJGcxJHQxNzcwNjkzODc1JGo1NyRsMCRoMA.")</f>
        <v>https://web-api.bps.go.id/download.php?f=OvjcO0MhAxndIOd7Oglj/0NFODVBTWlneUtjY05mZHVsdGNUQmsxVEFxOWUrKzZ1YmtPUmlEYzlwSXJ0YVdEWGZTbW85QldZY0RNYk5EN0lOdVJTTEljM0d2Q0M5UERsdHZvTlVRSjJRM0dZYWkycE5xOUk2Y0k4emFEN2RhdE9rOUw2OFRoVUVqSSs3WDRCWXJONFcybW1aSVZUWjhYditmWmVWYzh3MEVyeC9zdnRtSU5oNTlnUllDUFlOZ29NMEdkbjJlLzhGOXI5c3NEM1ZzZFZGTUM0TTEvZC9pZWMxOGZZc3dRak5IcVVGeTBEaEhDb1MzN1oxeU9HRkFieGFJb2ZCZXBYTTgxYlMxeGQwYWxzemY0U1hIK2N4bXZza3FrWW5nPT0=&amp;_gl=1*1yrakoe*_ga*MzczNTkwNDAyLjE3NTg1NDQ5MTQ.*_ga_XXTTVXWHDB*czE3NzA2OTM1OTAkbzcwJGcxJHQxNzcwNjkzODc1JGo1NyRsMCRoMA.</v>
      </c>
      <c r="Q76" s="5"/>
      <c r="R76" s="7"/>
      <c r="S76" s="9" t="str">
        <f>IFERROR(__xludf.DUMMYFUNCTION("""COMPUTED_VALUE"""),"https://data.go.id/dataset/dataset/indeks-kualitas-air7")</f>
        <v>https://data.go.id/dataset/dataset/indeks-kualitas-air7</v>
      </c>
      <c r="T76" s="7"/>
      <c r="U76" s="7"/>
      <c r="V76" s="7" t="str">
        <f>IFERROR(__xludf.DUMMYFUNCTION("""COMPUTED_VALUE"""),"Indikator 6.3.2(a) Indeks Kualitas Air (IKA)")</f>
        <v>Indikator 6.3.2(a) Indeks Kualitas Air (IKA)</v>
      </c>
      <c r="W76" s="7"/>
      <c r="X76" s="7" t="str">
        <f>IFERROR(__xludf.DUMMYFUNCTION("""COMPUTED_VALUE"""),"Diperkirakan BPS terima data tanggal 31 Agustus 2026")</f>
        <v>Diperkirakan BPS terima data tanggal 31 Agustus 2026</v>
      </c>
      <c r="Y76" s="7"/>
      <c r="Z76" s="24"/>
      <c r="AA76" s="12" t="s">
        <v>35</v>
      </c>
      <c r="AB76" s="12" t="s">
        <v>17</v>
      </c>
      <c r="AC76" s="17" t="s">
        <v>37</v>
      </c>
      <c r="AD76" s="21" t="s">
        <v>11</v>
      </c>
      <c r="AE76" s="22">
        <v>2025.0</v>
      </c>
      <c r="AF76" s="23" t="s">
        <v>12</v>
      </c>
      <c r="AG76" s="27"/>
      <c r="AH76" s="5" t="s">
        <v>88</v>
      </c>
      <c r="AI76" s="24"/>
      <c r="AJ76" s="24"/>
      <c r="AK76" s="24"/>
      <c r="AL76" s="24"/>
      <c r="AM76" s="24"/>
      <c r="AN76" s="24"/>
    </row>
    <row r="77" ht="27.0" customHeight="1">
      <c r="A77" s="7" t="str">
        <f>IFERROR(__xludf.DUMMYFUNCTION("""COMPUTED_VALUE"""),"IUP")</f>
        <v>IUP</v>
      </c>
      <c r="B77" s="7" t="str">
        <f>IFERROR(__xludf.DUMMYFUNCTION("""COMPUTED_VALUE"""),"Ketahanan Sosial Budaya dan Ekologi        ")</f>
        <v>Ketahanan Sosial Budaya dan Ekologi        </v>
      </c>
      <c r="C77" s="7" t="str">
        <f>IFERROR(__xludf.DUMMYFUNCTION("""COMPUTED_VALUE"""),"Lingkungan Hidup Berkualitas")</f>
        <v>Lingkungan Hidup Berkualitas</v>
      </c>
      <c r="D77" s="7" t="str">
        <f>IFERROR(__xludf.DUMMYFUNCTION("""COMPUTED_VALUE"""),"42.a.3")</f>
        <v>42.a.3</v>
      </c>
      <c r="E77" s="7" t="str">
        <f>IFERROR(__xludf.DUMMYFUNCTION("""COMPUTED_VALUE"""),"Kualitas Lingkungan Hidup: Indeks Kualitas Lingkungan Hidup - Indeks Kualitas Lahan (IKL)")</f>
        <v>Kualitas Lingkungan Hidup: Indeks Kualitas Lingkungan Hidup - Indeks Kualitas Lahan (IKL)</v>
      </c>
      <c r="F77" s="7"/>
      <c r="G77" s="30" t="str">
        <f>IFERROR(__xludf.DUMMYFUNCTION("""COMPUTED_VALUE"""),"Dit. Statistik Ketahanan Sosial")</f>
        <v>Dit. Statistik Ketahanan Sosial</v>
      </c>
      <c r="H77" s="7" t="str">
        <f>IFERROR(__xludf.DUMMYFUNCTION("""COMPUTED_VALUE"""),"Dit. Lingkungan Hidup")</f>
        <v>Dit. Lingkungan Hidup</v>
      </c>
      <c r="I77" s="5" t="str">
        <f>IFERROR(__xludf.DUMMYFUNCTION("""COMPUTED_VALUE"""),"Direktorat Lingkungan Hidup")</f>
        <v>Direktorat Lingkungan Hidup</v>
      </c>
      <c r="J77" s="7" t="str">
        <f>IFERROR(__xludf.DUMMYFUNCTION("""COMPUTED_VALUE"""),"Kementerian Lingkungan Hidup")</f>
        <v>Kementerian Lingkungan Hidup</v>
      </c>
      <c r="K77" s="5" t="str">
        <f>IFERROR(__xludf.DUMMYFUNCTION("""COMPUTED_VALUE"""),"Kementerian Lingkungan Hidup")</f>
        <v>Kementerian Lingkungan Hidup</v>
      </c>
      <c r="L77" s="7" t="str">
        <f>IFERROR(__xludf.DUMMYFUNCTION("""COMPUTED_VALUE"""),"Tersedia s.d Provinsi")</f>
        <v>Tersedia s.d Provinsi</v>
      </c>
      <c r="M77" s="5" t="str">
        <f>IFERROR(__xludf.DUMMYFUNCTION("""COMPUTED_VALUE"""),"Mohammad Ammar Alwandi, S.Tr.Stat.")</f>
        <v>Mohammad Ammar Alwandi, S.Tr.Stat.</v>
      </c>
      <c r="N77" s="5"/>
      <c r="O77" s="5" t="str">
        <f>IFERROR(__xludf.DUMMYFUNCTION("""COMPUTED_VALUE"""),"Bangka Tengah 2025
https://sirusa.web.bps.go.id/metadata/indikator/93371
Cianjur 2025
https://sirusa.web.bps.go.id/metadata/indikator/74157 ")</f>
        <v>Bangka Tengah 2025
https://sirusa.web.bps.go.id/metadata/indikator/93371
Cianjur 2025
https://sirusa.web.bps.go.id/metadata/indikator/74157 </v>
      </c>
      <c r="P77" s="7"/>
      <c r="Q77" s="5"/>
      <c r="R77" s="7"/>
      <c r="S77" s="9" t="str">
        <f>IFERROR(__xludf.DUMMYFUNCTION("""COMPUTED_VALUE"""),"https://www.bps.go.id/id/statistics-table/2/MjUzMiMy/komponen-penyusun-indeks-kualitas-lingkungan-hidup-menurut-provinsi.html")</f>
        <v>https://www.bps.go.id/id/statistics-table/2/MjUzMiMy/komponen-penyusun-indeks-kualitas-lingkungan-hidup-menurut-provinsi.html</v>
      </c>
      <c r="T77" s="7"/>
      <c r="U77" s="7"/>
      <c r="V77" s="7"/>
      <c r="W77" s="7"/>
      <c r="X77" s="7" t="str">
        <f>IFERROR(__xludf.DUMMYFUNCTION("""COMPUTED_VALUE"""),"Diperkirakan BPS terima data tanggal 31 Agustus 2026")</f>
        <v>Diperkirakan BPS terima data tanggal 31 Agustus 2026</v>
      </c>
      <c r="Y77" s="7"/>
      <c r="Z77" s="24"/>
      <c r="AA77" s="12" t="s">
        <v>35</v>
      </c>
      <c r="AB77" s="12" t="s">
        <v>17</v>
      </c>
      <c r="AC77" s="17" t="s">
        <v>37</v>
      </c>
      <c r="AD77" s="21" t="s">
        <v>11</v>
      </c>
      <c r="AE77" s="22">
        <v>2025.0</v>
      </c>
      <c r="AF77" s="23" t="s">
        <v>12</v>
      </c>
      <c r="AG77" s="27"/>
      <c r="AH77" s="5" t="s">
        <v>88</v>
      </c>
      <c r="AI77" s="24"/>
      <c r="AJ77" s="24"/>
      <c r="AK77" s="24"/>
      <c r="AL77" s="24"/>
      <c r="AM77" s="24"/>
      <c r="AN77" s="24"/>
    </row>
    <row r="78" ht="27.0" customHeight="1">
      <c r="A78" s="7" t="str">
        <f>IFERROR(__xludf.DUMMYFUNCTION("""COMPUTED_VALUE"""),"IUP")</f>
        <v>IUP</v>
      </c>
      <c r="B78" s="7" t="str">
        <f>IFERROR(__xludf.DUMMYFUNCTION("""COMPUTED_VALUE"""),"Ketahanan Sosial Budaya dan Ekologi        ")</f>
        <v>Ketahanan Sosial Budaya dan Ekologi        </v>
      </c>
      <c r="C78" s="7" t="str">
        <f>IFERROR(__xludf.DUMMYFUNCTION("""COMPUTED_VALUE"""),"Lingkungan Hidup Berkualitas")</f>
        <v>Lingkungan Hidup Berkualitas</v>
      </c>
      <c r="D78" s="7" t="str">
        <f>IFERROR(__xludf.DUMMYFUNCTION("""COMPUTED_VALUE"""),"42.a.4")</f>
        <v>42.a.4</v>
      </c>
      <c r="E78" s="7" t="str">
        <f>IFERROR(__xludf.DUMMYFUNCTION("""COMPUTED_VALUE"""),"Kualitas Lingkungan Hidup: Indeks Kualitas Lingkungan Hidup - Indeks Kualitas Air Laut (IKAL)")</f>
        <v>Kualitas Lingkungan Hidup: Indeks Kualitas Lingkungan Hidup - Indeks Kualitas Air Laut (IKAL)</v>
      </c>
      <c r="F78" s="7"/>
      <c r="G78" s="30" t="str">
        <f>IFERROR(__xludf.DUMMYFUNCTION("""COMPUTED_VALUE"""),"Dit. Statistik Ketahanan Sosial")</f>
        <v>Dit. Statistik Ketahanan Sosial</v>
      </c>
      <c r="H78" s="7" t="str">
        <f>IFERROR(__xludf.DUMMYFUNCTION("""COMPUTED_VALUE"""),"Dit. Lingkungan Hidup")</f>
        <v>Dit. Lingkungan Hidup</v>
      </c>
      <c r="I78" s="5" t="str">
        <f>IFERROR(__xludf.DUMMYFUNCTION("""COMPUTED_VALUE"""),"Direktorat Lingkungan Hidup")</f>
        <v>Direktorat Lingkungan Hidup</v>
      </c>
      <c r="J78" s="7" t="str">
        <f>IFERROR(__xludf.DUMMYFUNCTION("""COMPUTED_VALUE"""),"Kementerian Lingkungan Hidup")</f>
        <v>Kementerian Lingkungan Hidup</v>
      </c>
      <c r="K78" s="5" t="str">
        <f>IFERROR(__xludf.DUMMYFUNCTION("""COMPUTED_VALUE"""),"Kementerian Lingkungan Hidup")</f>
        <v>Kementerian Lingkungan Hidup</v>
      </c>
      <c r="L78" s="7" t="str">
        <f>IFERROR(__xludf.DUMMYFUNCTION("""COMPUTED_VALUE"""),"Tersedia s.d Provinsi")</f>
        <v>Tersedia s.d Provinsi</v>
      </c>
      <c r="M78" s="5" t="str">
        <f>IFERROR(__xludf.DUMMYFUNCTION("""COMPUTED_VALUE"""),"Mohammad Ammar Alwandi, S.Tr.Stat.")</f>
        <v>Mohammad Ammar Alwandi, S.Tr.Stat.</v>
      </c>
      <c r="N78" s="5" t="str">
        <f>IFERROR(__xludf.DUMMYFUNCTION("""COMPUTED_VALUE"""),"Survei nya dilakukan oleh masing-masing Pemprov")</f>
        <v>Survei nya dilakukan oleh masing-masing Pemprov</v>
      </c>
      <c r="O78" s="5" t="str">
        <f>IFERROR(__xludf.DUMMYFUNCTION("""COMPUTED_VALUE"""),"2022 https://sirusa.web.bps.go.id/metadata/indikator/6548 
https://sirusa.web.bps.go.id/metadata/indikator/49603#:~:text=Indeks%20Kualitas%20Air%20Laut&amp;text=Suatu%20nilai%20yang%20menggambarkan%20kondisi%20kualitas%20air,laut%20dalam%20suatu%20wilayah%20"&amp;"pada%20waktu%20tertentu.")</f>
        <v>2022 https://sirusa.web.bps.go.id/metadata/indikator/6548 
https://sirusa.web.bps.go.id/metadata/indikator/49603#:~:text=Indeks%20Kualitas%20Air%20Laut&amp;text=Suatu%20nilai%20yang%20menggambarkan%20kondisi%20kualitas%20air,laut%20dalam%20suatu%20wilayah%20pada%20waktu%20tertentu.</v>
      </c>
      <c r="P78" s="9" t="str">
        <f>IFERROR(__xludf.DUMMYFUNCTION("""COMPUTED_VALUE"""),"https://dlh.jatimprov.go.id/page/indeks-kualitas-air-laut-689d6a5509aaa")</f>
        <v>https://dlh.jatimprov.go.id/page/indeks-kualitas-air-laut-689d6a5509aaa</v>
      </c>
      <c r="Q78" s="5"/>
      <c r="R78" s="7"/>
      <c r="S78" s="7"/>
      <c r="T78" s="7"/>
      <c r="U78" s="7"/>
      <c r="V78" s="7"/>
      <c r="W78" s="7"/>
      <c r="X78" s="7" t="str">
        <f>IFERROR(__xludf.DUMMYFUNCTION("""COMPUTED_VALUE"""),"Diperkirakan BPS terima data tanggal 31 Agustus 2026")</f>
        <v>Diperkirakan BPS terima data tanggal 31 Agustus 2026</v>
      </c>
      <c r="Y78" s="7"/>
      <c r="Z78" s="24"/>
      <c r="AA78" s="12" t="s">
        <v>35</v>
      </c>
      <c r="AB78" s="12" t="s">
        <v>17</v>
      </c>
      <c r="AC78" s="17" t="s">
        <v>37</v>
      </c>
      <c r="AD78" s="21" t="s">
        <v>11</v>
      </c>
      <c r="AE78" s="22">
        <v>2025.0</v>
      </c>
      <c r="AF78" s="23" t="s">
        <v>12</v>
      </c>
      <c r="AG78" s="27"/>
      <c r="AH78" s="5" t="s">
        <v>88</v>
      </c>
      <c r="AI78" s="24"/>
      <c r="AJ78" s="24"/>
      <c r="AK78" s="24"/>
      <c r="AL78" s="24"/>
      <c r="AM78" s="24"/>
      <c r="AN78" s="24"/>
    </row>
    <row r="79" ht="27.0" customHeight="1">
      <c r="A79" s="7" t="str">
        <f>IFERROR(__xludf.DUMMYFUNCTION("""COMPUTED_VALUE"""),"IUP")</f>
        <v>IUP</v>
      </c>
      <c r="B79" s="7" t="str">
        <f>IFERROR(__xludf.DUMMYFUNCTION("""COMPUTED_VALUE"""),"Ketahanan Sosial Budaya dan Ekologi        ")</f>
        <v>Ketahanan Sosial Budaya dan Ekologi        </v>
      </c>
      <c r="C79" s="7" t="str">
        <f>IFERROR(__xludf.DUMMYFUNCTION("""COMPUTED_VALUE"""),"Lingkungan Hidup Berkualitas")</f>
        <v>Lingkungan Hidup Berkualitas</v>
      </c>
      <c r="D79" s="7" t="str">
        <f>IFERROR(__xludf.DUMMYFUNCTION("""COMPUTED_VALUE"""),"42.b")</f>
        <v>42.b</v>
      </c>
      <c r="E79" s="7" t="str">
        <f>IFERROR(__xludf.DUMMYFUNCTION("""COMPUTED_VALUE"""),"Kualitas Lingkungan Hidup: Rumah Tangga dengan Akses Sanitasi Aman (%) ")</f>
        <v>Kualitas Lingkungan Hidup: Rumah Tangga dengan Akses Sanitasi Aman (%) </v>
      </c>
      <c r="F79" s="7"/>
      <c r="G79" s="30" t="str">
        <f>IFERROR(__xludf.DUMMYFUNCTION("""COMPUTED_VALUE"""),"Dit. Statistik Kesejahteraan Rakyat")</f>
        <v>Dit. Statistik Kesejahteraan Rakyat</v>
      </c>
      <c r="H79" s="7"/>
      <c r="I79" s="5" t="str">
        <f>IFERROR(__xludf.DUMMYFUNCTION("""COMPUTED_VALUE"""),"Direktorat Perumahan dan Infrastruktur Kawasan Permukiman")</f>
        <v>Direktorat Perumahan dan Infrastruktur Kawasan Permukiman</v>
      </c>
      <c r="J79" s="7" t="str">
        <f>IFERROR(__xludf.DUMMYFUNCTION("""COMPUTED_VALUE"""),"BPS")</f>
        <v>BPS</v>
      </c>
      <c r="K79" s="5" t="str">
        <f>IFERROR(__xludf.DUMMYFUNCTION("""COMPUTED_VALUE"""),"Direktorat Perumahan dan Kawasan Pemukiman")</f>
        <v>Direktorat Perumahan dan Kawasan Pemukiman</v>
      </c>
      <c r="L79" s="7" t="str">
        <f>IFERROR(__xludf.DUMMYFUNCTION("""COMPUTED_VALUE"""),"Tersedia s.d Provinsi")</f>
        <v>Tersedia s.d Provinsi</v>
      </c>
      <c r="M79" s="5" t="str">
        <f>IFERROR(__xludf.DUMMYFUNCTION("""COMPUTED_VALUE"""),"Dhiar Niken Larasati, SST, M.E.")</f>
        <v>Dhiar Niken Larasati, SST, M.E.</v>
      </c>
      <c r="N79" s="5"/>
      <c r="O79" s="8" t="str">
        <f>IFERROR(__xludf.DUMMYFUNCTION("""COMPUTED_VALUE"""),"Ciamis (2024) https://sirusa.web.bps.go.id/metadata/indikator/92110")</f>
        <v>Ciamis (2024) https://sirusa.web.bps.go.id/metadata/indikator/92110</v>
      </c>
      <c r="P79" s="9" t="str">
        <f>IFERROR(__xludf.DUMMYFUNCTION("""COMPUTED_VALUE"""),"https://www.bps.go.id/id/publication/2025/12/12/e73efd3b09f4c257ef30cbef/indikator-perumahan-dan-kesehatan-lingkungan-2025.html ")</f>
        <v>https://www.bps.go.id/id/publication/2025/12/12/e73efd3b09f4c257ef30cbef/indikator-perumahan-dan-kesehatan-lingkungan-2025.html </v>
      </c>
      <c r="Q79" s="5"/>
      <c r="R79" s="7"/>
      <c r="S79" s="7"/>
      <c r="T79" s="7"/>
      <c r="U79" s="7"/>
      <c r="V79" s="7"/>
      <c r="W79" s="7"/>
      <c r="X79" s="11">
        <f>IFERROR(__xludf.DUMMYFUNCTION("""COMPUTED_VALUE"""),10.3)</f>
        <v>10.3</v>
      </c>
      <c r="Y79" s="7"/>
      <c r="Z79" s="24"/>
      <c r="AA79" s="12" t="s">
        <v>30</v>
      </c>
      <c r="AB79" s="12" t="s">
        <v>17</v>
      </c>
      <c r="AC79" s="17" t="s">
        <v>37</v>
      </c>
      <c r="AD79" s="21" t="s">
        <v>11</v>
      </c>
      <c r="AE79" s="28" t="s">
        <v>18</v>
      </c>
      <c r="AF79" s="25" t="s">
        <v>18</v>
      </c>
      <c r="AG79" s="27"/>
      <c r="AH79" s="5" t="s">
        <v>33</v>
      </c>
      <c r="AI79" s="24"/>
      <c r="AJ79" s="24"/>
      <c r="AK79" s="24"/>
      <c r="AL79" s="24"/>
      <c r="AM79" s="24"/>
      <c r="AN79" s="24"/>
    </row>
    <row r="80" ht="27.0" customHeight="1">
      <c r="A80" s="7" t="str">
        <f>IFERROR(__xludf.DUMMYFUNCTION("""COMPUTED_VALUE"""),"IUP")</f>
        <v>IUP</v>
      </c>
      <c r="B80" s="7" t="str">
        <f>IFERROR(__xludf.DUMMYFUNCTION("""COMPUTED_VALUE"""),"Ketahanan Sosial Budaya dan Ekologi        ")</f>
        <v>Ketahanan Sosial Budaya dan Ekologi        </v>
      </c>
      <c r="C80" s="7" t="str">
        <f>IFERROR(__xludf.DUMMYFUNCTION("""COMPUTED_VALUE"""),"Lingkungan Hidup Berkualitas")</f>
        <v>Lingkungan Hidup Berkualitas</v>
      </c>
      <c r="D80" s="7" t="str">
        <f>IFERROR(__xludf.DUMMYFUNCTION("""COMPUTED_VALUE"""),"42.c")</f>
        <v>42.c</v>
      </c>
      <c r="E80" s="7" t="str">
        <f>IFERROR(__xludf.DUMMYFUNCTION("""COMPUTED_VALUE"""),"Kualitas Lingkungan Hidup: Timbulan Sampah Terolah di Fasilitas Pengolahan Sampah (%) ")</f>
        <v>Kualitas Lingkungan Hidup: Timbulan Sampah Terolah di Fasilitas Pengolahan Sampah (%) </v>
      </c>
      <c r="F80" s="7"/>
      <c r="G80" s="30" t="str">
        <f>IFERROR(__xludf.DUMMYFUNCTION("""COMPUTED_VALUE"""),"Dit. Statistik Ketahanan Sosial")</f>
        <v>Dit. Statistik Ketahanan Sosial</v>
      </c>
      <c r="H80" s="7" t="str">
        <f>IFERROR(__xludf.DUMMYFUNCTION("""COMPUTED_VALUE"""),"Dit. Perumahan dan Kawasan Permukiman")</f>
        <v>Dit. Perumahan dan Kawasan Permukiman</v>
      </c>
      <c r="I80" s="5" t="str">
        <f>IFERROR(__xludf.DUMMYFUNCTION("""COMPUTED_VALUE"""),"Direktorat Perumahan dan Infrastruktur Kawasan Permukiman")</f>
        <v>Direktorat Perumahan dan Infrastruktur Kawasan Permukiman</v>
      </c>
      <c r="J80" s="7" t="str">
        <f>IFERROR(__xludf.DUMMYFUNCTION("""COMPUTED_VALUE"""),"KLHK")</f>
        <v>KLHK</v>
      </c>
      <c r="K80" s="5" t="str">
        <f>IFERROR(__xludf.DUMMYFUNCTION("""COMPUTED_VALUE"""),"Kementerian Perumahan dan Kawasan Permukiman; KLH")</f>
        <v>Kementerian Perumahan dan Kawasan Permukiman; KLH</v>
      </c>
      <c r="L80" s="7" t="str">
        <f>IFERROR(__xludf.DUMMYFUNCTION("""COMPUTED_VALUE"""),"Tersedia Nasional")</f>
        <v>Tersedia Nasional</v>
      </c>
      <c r="M80" s="5" t="str">
        <f>IFERROR(__xludf.DUMMYFUNCTION("""COMPUTED_VALUE"""),"Mohammad Ammar Alwandi, S.Tr.Stat.")</f>
        <v>Mohammad Ammar Alwandi, S.Tr.Stat.</v>
      </c>
      <c r="N80" s="5" t="str">
        <f>IFERROR(__xludf.DUMMYFUNCTION("""COMPUTED_VALUE"""),"Provinsi: 
i. Timbulan Sampah Terolah di Fasilitas Pengolahan Sampah (%)
ii. Proporsi RT dengan Layanan Penuh Pengumpulan Sampah (%RT)
Data diturunkan hingga kab/kota")</f>
        <v>Provinsi: 
i. Timbulan Sampah Terolah di Fasilitas Pengolahan Sampah (%)
ii. Proporsi RT dengan Layanan Penuh Pengumpulan Sampah (%RT)
Data diturunkan hingga kab/kota</v>
      </c>
      <c r="O80" s="5"/>
      <c r="P80" s="7"/>
      <c r="Q80" s="5"/>
      <c r="R80" s="7"/>
      <c r="S80" s="7"/>
      <c r="T80" s="7"/>
      <c r="U80" s="7"/>
      <c r="V80" s="7" t="str">
        <f>IFERROR(__xludf.DUMMYFUNCTION("""COMPUTED_VALUE"""),"11.6.1
Proportion of municipal solid waste collected and managed in controlled facilities out of total municipal waste generated, by cities")</f>
        <v>11.6.1
Proportion of municipal solid waste collected and managed in controlled facilities out of total municipal waste generated, by cities</v>
      </c>
      <c r="W80" s="7"/>
      <c r="X80" s="7" t="str">
        <f>IFERROR(__xludf.DUMMYFUNCTION("""COMPUTED_VALUE"""),"perkiraan ada datanya 30 November 2026")</f>
        <v>perkiraan ada datanya 30 November 2026</v>
      </c>
      <c r="Y80" s="7"/>
      <c r="Z80" s="24"/>
      <c r="AA80" s="12" t="s">
        <v>32</v>
      </c>
      <c r="AB80" s="12" t="s">
        <v>17</v>
      </c>
      <c r="AC80" s="17" t="s">
        <v>37</v>
      </c>
      <c r="AD80" s="21" t="s">
        <v>11</v>
      </c>
      <c r="AE80" s="28" t="s">
        <v>18</v>
      </c>
      <c r="AF80" s="23" t="s">
        <v>12</v>
      </c>
      <c r="AG80" s="27"/>
      <c r="AH80" s="5" t="s">
        <v>33</v>
      </c>
      <c r="AI80" s="24"/>
      <c r="AJ80" s="24"/>
      <c r="AK80" s="24"/>
      <c r="AL80" s="24"/>
      <c r="AM80" s="24"/>
      <c r="AN80" s="24"/>
    </row>
    <row r="81" ht="27.0" customHeight="1">
      <c r="A81" s="7" t="str">
        <f>IFERROR(__xludf.DUMMYFUNCTION("""COMPUTED_VALUE"""),"IUP")</f>
        <v>IUP</v>
      </c>
      <c r="B81" s="7" t="str">
        <f>IFERROR(__xludf.DUMMYFUNCTION("""COMPUTED_VALUE"""),"Ketahanan Sosial Budaya dan Ekologi        ")</f>
        <v>Ketahanan Sosial Budaya dan Ekologi        </v>
      </c>
      <c r="C81" s="7" t="str">
        <f>IFERROR(__xludf.DUMMYFUNCTION("""COMPUTED_VALUE"""),"Berketahanan Energi, Air, dan Kemandirian Pangan")</f>
        <v>Berketahanan Energi, Air, dan Kemandirian Pangan</v>
      </c>
      <c r="D81" s="7" t="str">
        <f>IFERROR(__xludf.DUMMYFUNCTION("""COMPUTED_VALUE"""),"43.a")</f>
        <v>43.a</v>
      </c>
      <c r="E81" s="7" t="str">
        <f>IFERROR(__xludf.DUMMYFUNCTION("""COMPUTED_VALUE"""),"Ketahanan Energi, Air, dan Pangan: Indeks Ketahanan Energi ")</f>
        <v>Ketahanan Energi, Air, dan Pangan: Indeks Ketahanan Energi </v>
      </c>
      <c r="F81" s="7"/>
      <c r="G81" s="30" t="str">
        <f>IFERROR(__xludf.DUMMYFUNCTION("""COMPUTED_VALUE"""),"Dit. Statistik Sumber Daya Mineral dan Konstruksi")</f>
        <v>Dit. Statistik Sumber Daya Mineral dan Konstruksi</v>
      </c>
      <c r="H81" s="7" t="str">
        <f>IFERROR(__xludf.DUMMYFUNCTION("""COMPUTED_VALUE"""),"Dit. Sumber Daya Energi, Mineral dan Pertambangan")</f>
        <v>Dit. Sumber Daya Energi, Mineral dan Pertambangan</v>
      </c>
      <c r="I81" s="5" t="str">
        <f>IFERROR(__xludf.DUMMYFUNCTION("""COMPUTED_VALUE"""),"Direktorat Sumber Daya Energi, Mineral, dan Pertambangan")</f>
        <v>Direktorat Sumber Daya Energi, Mineral, dan Pertambangan</v>
      </c>
      <c r="J81" s="7" t="str">
        <f>IFERROR(__xludf.DUMMYFUNCTION("""COMPUTED_VALUE"""),"Kementerian Energi dan Sumber Daya Mineral")</f>
        <v>Kementerian Energi dan Sumber Daya Mineral</v>
      </c>
      <c r="K81" s="5" t="str">
        <f>IFERROR(__xludf.DUMMYFUNCTION("""COMPUTED_VALUE"""),"Kementerian Energi dan Sumber Daya Mineral")</f>
        <v>Kementerian Energi dan Sumber Daya Mineral</v>
      </c>
      <c r="L81" s="7" t="str">
        <f>IFERROR(__xludf.DUMMYFUNCTION("""COMPUTED_VALUE"""),"Tersedia Nasional")</f>
        <v>Tersedia Nasional</v>
      </c>
      <c r="M81" s="5" t="str">
        <f>IFERROR(__xludf.DUMMYFUNCTION("""COMPUTED_VALUE"""),"Dhiar Niken Larasati, SST, M.E.")</f>
        <v>Dhiar Niken Larasati, SST, M.E.</v>
      </c>
      <c r="N81" s="5"/>
      <c r="O81" s="5"/>
      <c r="P81" s="7"/>
      <c r="Q81" s="5"/>
      <c r="R81" s="7"/>
      <c r="S81" s="7"/>
      <c r="T81" s="7"/>
      <c r="U81" s="7"/>
      <c r="V81" s="7"/>
      <c r="W81" s="7"/>
      <c r="X81" s="11" t="str">
        <f>IFERROR(__xludf.DUMMYFUNCTION("""COMPUTED_VALUE"""),"rencana rilis triwulan 2 Tahun 2026.")</f>
        <v>rencana rilis triwulan 2 Tahun 2026.</v>
      </c>
      <c r="Y81" s="7"/>
      <c r="Z81" s="24"/>
      <c r="AA81" s="5" t="s">
        <v>65</v>
      </c>
      <c r="AB81" s="5" t="s">
        <v>25</v>
      </c>
      <c r="AC81" s="24" t="s">
        <v>42</v>
      </c>
      <c r="AD81" s="21" t="s">
        <v>11</v>
      </c>
      <c r="AE81" s="22">
        <v>2024.0</v>
      </c>
      <c r="AF81" s="23" t="s">
        <v>12</v>
      </c>
      <c r="AG81" s="21" t="s">
        <v>89</v>
      </c>
      <c r="AH81" s="5" t="s">
        <v>45</v>
      </c>
      <c r="AI81" s="24"/>
      <c r="AJ81" s="24"/>
      <c r="AK81" s="24"/>
      <c r="AL81" s="24"/>
      <c r="AM81" s="24"/>
      <c r="AN81" s="24"/>
    </row>
    <row r="82" ht="27.0" customHeight="1">
      <c r="A82" s="7" t="str">
        <f>IFERROR(__xludf.DUMMYFUNCTION("""COMPUTED_VALUE"""),"IUP")</f>
        <v>IUP</v>
      </c>
      <c r="B82" s="7" t="str">
        <f>IFERROR(__xludf.DUMMYFUNCTION("""COMPUTED_VALUE"""),"Ketahanan Sosial Budaya dan Ekologi        ")</f>
        <v>Ketahanan Sosial Budaya dan Ekologi        </v>
      </c>
      <c r="C82" s="7" t="str">
        <f>IFERROR(__xludf.DUMMYFUNCTION("""COMPUTED_VALUE"""),"Berketahanan Energi, Air, dan Kemandirian Pangan")</f>
        <v>Berketahanan Energi, Air, dan Kemandirian Pangan</v>
      </c>
      <c r="D82" s="7" t="str">
        <f>IFERROR(__xludf.DUMMYFUNCTION("""COMPUTED_VALUE"""),"43.b")</f>
        <v>43.b</v>
      </c>
      <c r="E82" s="7" t="str">
        <f>IFERROR(__xludf.DUMMYFUNCTION("""COMPUTED_VALUE"""),"Ketahanan Energi, Air, dan Pangan: Prevalensi ketidakcukupan konsumsi pangan (%) ")</f>
        <v>Ketahanan Energi, Air, dan Pangan: Prevalensi ketidakcukupan konsumsi pangan (%) </v>
      </c>
      <c r="F82" s="7"/>
      <c r="G82" s="30" t="str">
        <f>IFERROR(__xludf.DUMMYFUNCTION("""COMPUTED_VALUE"""),"Dit. Statistik Kesejahteraan Rakyat")</f>
        <v>Dit. Statistik Kesejahteraan Rakyat</v>
      </c>
      <c r="H82" s="7" t="str">
        <f>IFERROR(__xludf.DUMMYFUNCTION("""COMPUTED_VALUE"""),"Dit. Pangan dan Pertanian")</f>
        <v>Dit. Pangan dan Pertanian</v>
      </c>
      <c r="I82" s="5" t="str">
        <f>IFERROR(__xludf.DUMMYFUNCTION("""COMPUTED_VALUE"""),"Direktorat Pangan dan Pertanian")</f>
        <v>Direktorat Pangan dan Pertanian</v>
      </c>
      <c r="J82" s="7" t="str">
        <f>IFERROR(__xludf.DUMMYFUNCTION("""COMPUTED_VALUE"""),"BPS")</f>
        <v>BPS</v>
      </c>
      <c r="K82" s="5" t="str">
        <f>IFERROR(__xludf.DUMMYFUNCTION("""COMPUTED_VALUE"""),"Kemenko Pangan")</f>
        <v>Kemenko Pangan</v>
      </c>
      <c r="L82" s="7" t="str">
        <f>IFERROR(__xludf.DUMMYFUNCTION("""COMPUTED_VALUE"""),"Tersedia s.d Kabupaten/Kota")</f>
        <v>Tersedia s.d Kabupaten/Kota</v>
      </c>
      <c r="M82" s="5" t="str">
        <f>IFERROR(__xludf.DUMMYFUNCTION("""COMPUTED_VALUE"""),"Dhiar Niken Larasati, SST, M.E.")</f>
        <v>Dhiar Niken Larasati, SST, M.E.</v>
      </c>
      <c r="N82" s="5"/>
      <c r="O82" s="5" t="str">
        <f>IFERROR(__xludf.DUMMYFUNCTION("""COMPUTED_VALUE"""),"1. (2023) https://sirusa.web.bps.go.id/metadata/indikator/46111
2. (2023) https://sirusa.web.bps.go.id/metadata/indikator/46105
https://sirusa.web.bps.go.id/metadata/variabel/254074")</f>
        <v>1. (2023) https://sirusa.web.bps.go.id/metadata/indikator/46111
2. (2023) https://sirusa.web.bps.go.id/metadata/indikator/46105
https://sirusa.web.bps.go.id/metadata/variabel/254074</v>
      </c>
      <c r="P82" s="7"/>
      <c r="Q82" s="5"/>
      <c r="R82" s="7"/>
      <c r="S82" s="7" t="str">
        <f>IFERROR(__xludf.DUMMYFUNCTION("""COMPUTED_VALUE"""),"https://www.bps.go.id/id/statistics-table/2/MTQ3MyMy/prevalensi-ketidakcukupan-konsumsi-pangan.html
https://www.bps.go.id/id/statistics-table/2/MjI2OSMy/prevalensi-ketidakcukupan-konsumsi-pangan-persen-per-kabupaten-kota.html ")</f>
        <v>https://www.bps.go.id/id/statistics-table/2/MTQ3MyMy/prevalensi-ketidakcukupan-konsumsi-pangan.html
https://www.bps.go.id/id/statistics-table/2/MjI2OSMy/prevalensi-ketidakcukupan-konsumsi-pangan-persen-per-kabupaten-kota.html </v>
      </c>
      <c r="T82" s="7"/>
      <c r="U82" s="7"/>
      <c r="V82" s="7" t="str">
        <f>IFERROR(__xludf.DUMMYFUNCTION("""COMPUTED_VALUE"""),"2.1.1")</f>
        <v>2.1.1</v>
      </c>
      <c r="W82" s="7"/>
      <c r="X82" s="11">
        <f>IFERROR(__xludf.DUMMYFUNCTION("""COMPUTED_VALUE"""),7.89)</f>
        <v>7.89</v>
      </c>
      <c r="Y82" s="7"/>
      <c r="Z82" s="24"/>
      <c r="AA82" s="12" t="s">
        <v>30</v>
      </c>
      <c r="AB82" s="12" t="s">
        <v>17</v>
      </c>
      <c r="AC82" s="17" t="s">
        <v>37</v>
      </c>
      <c r="AD82" s="21" t="s">
        <v>11</v>
      </c>
      <c r="AE82" s="22">
        <v>2024.0</v>
      </c>
      <c r="AF82" s="23" t="s">
        <v>12</v>
      </c>
      <c r="AG82" s="27"/>
      <c r="AH82" s="5" t="s">
        <v>33</v>
      </c>
      <c r="AI82" s="24"/>
      <c r="AJ82" s="24"/>
      <c r="AK82" s="24"/>
      <c r="AL82" s="24"/>
      <c r="AM82" s="24"/>
      <c r="AN82" s="24"/>
    </row>
    <row r="83" ht="27.0" customHeight="1">
      <c r="A83" s="7" t="str">
        <f>IFERROR(__xludf.DUMMYFUNCTION("""COMPUTED_VALUE"""),"IUP")</f>
        <v>IUP</v>
      </c>
      <c r="B83" s="7" t="str">
        <f>IFERROR(__xludf.DUMMYFUNCTION("""COMPUTED_VALUE"""),"Ketahanan Sosial Budaya dan Ekologi        ")</f>
        <v>Ketahanan Sosial Budaya dan Ekologi        </v>
      </c>
      <c r="C83" s="7" t="str">
        <f>IFERROR(__xludf.DUMMYFUNCTION("""COMPUTED_VALUE"""),"Berketahanan Energi, Air, dan Kemandirian Pangan")</f>
        <v>Berketahanan Energi, Air, dan Kemandirian Pangan</v>
      </c>
      <c r="D83" s="7" t="str">
        <f>IFERROR(__xludf.DUMMYFUNCTION("""COMPUTED_VALUE"""),"43.c.1")</f>
        <v>43.c.1</v>
      </c>
      <c r="E83" s="7" t="str">
        <f>IFERROR(__xludf.DUMMYFUNCTION("""COMPUTED_VALUE"""),"Ketahanan Energi, Air, dan Pangan: Ketahanan Air - Kapasitas Tampungan Air (m3/kapita)")</f>
        <v>Ketahanan Energi, Air, dan Pangan: Ketahanan Air - Kapasitas Tampungan Air (m3/kapita)</v>
      </c>
      <c r="F83" s="7"/>
      <c r="G83" s="30" t="str">
        <f>IFERROR(__xludf.DUMMYFUNCTION("""COMPUTED_VALUE"""),"Dit. Statistik Sumber Daya Mineral dan Konstruksi")</f>
        <v>Dit. Statistik Sumber Daya Mineral dan Konstruksi</v>
      </c>
      <c r="H83" s="7" t="str">
        <f>IFERROR(__xludf.DUMMYFUNCTION("""COMPUTED_VALUE"""),"Dit. Sumber Daya Air")</f>
        <v>Dit. Sumber Daya Air</v>
      </c>
      <c r="I83" s="5" t="str">
        <f>IFERROR(__xludf.DUMMYFUNCTION("""COMPUTED_VALUE"""),"Direktorat Sumber Daya Air")</f>
        <v>Direktorat Sumber Daya Air</v>
      </c>
      <c r="J83" s="7" t="str">
        <f>IFERROR(__xludf.DUMMYFUNCTION("""COMPUTED_VALUE"""),"Kementerian Pekerjaan Umum")</f>
        <v>Kementerian Pekerjaan Umum</v>
      </c>
      <c r="K83" s="5" t="str">
        <f>IFERROR(__xludf.DUMMYFUNCTION("""COMPUTED_VALUE"""),"Kementerian Pekerjaan Umum")</f>
        <v>Kementerian Pekerjaan Umum</v>
      </c>
      <c r="L83" s="7" t="str">
        <f>IFERROR(__xludf.DUMMYFUNCTION("""COMPUTED_VALUE"""),"Tersedia Nasional")</f>
        <v>Tersedia Nasional</v>
      </c>
      <c r="M83" s="5" t="str">
        <f>IFERROR(__xludf.DUMMYFUNCTION("""COMPUTED_VALUE"""),"Dhiar Niken Larasati, SST, M.E.")</f>
        <v>Dhiar Niken Larasati, SST, M.E.</v>
      </c>
      <c r="N83" s="5"/>
      <c r="O83" s="5"/>
      <c r="P83" s="9" t="str">
        <f>IFERROR(__xludf.DUMMYFUNCTION("""COMPUTED_VALUE"""),"https://documents1.worldbank.org/curated/en/099955012072141213/pdf/P1707570f6196802e0aa0502e431b42d79f.pdf")</f>
        <v>https://documents1.worldbank.org/curated/en/099955012072141213/pdf/P1707570f6196802e0aa0502e431b42d79f.pdf</v>
      </c>
      <c r="Q83" s="5"/>
      <c r="R83" s="7"/>
      <c r="S83" s="7"/>
      <c r="T83" s="7"/>
      <c r="U83" s="7"/>
      <c r="V83" s="7"/>
      <c r="W83" s="7"/>
      <c r="X83" s="7" t="str">
        <f>IFERROR(__xludf.DUMMYFUNCTION("""COMPUTED_VALUE"""),"rencana rilis triwulan 4 2026")</f>
        <v>rencana rilis triwulan 4 2026</v>
      </c>
      <c r="Y83" s="7"/>
      <c r="Z83" s="24"/>
      <c r="AA83" s="26" t="s">
        <v>90</v>
      </c>
      <c r="AB83" s="5" t="s">
        <v>25</v>
      </c>
      <c r="AC83" s="24" t="s">
        <v>42</v>
      </c>
      <c r="AD83" s="21" t="s">
        <v>11</v>
      </c>
      <c r="AE83" s="28" t="s">
        <v>18</v>
      </c>
      <c r="AF83" s="25" t="s">
        <v>18</v>
      </c>
      <c r="AG83" s="21" t="s">
        <v>91</v>
      </c>
      <c r="AH83" s="5" t="s">
        <v>45</v>
      </c>
      <c r="AI83" s="24"/>
      <c r="AJ83" s="24"/>
      <c r="AK83" s="24"/>
      <c r="AL83" s="24"/>
      <c r="AM83" s="24"/>
      <c r="AN83" s="24"/>
    </row>
    <row r="84" ht="27.0" customHeight="1">
      <c r="A84" s="7" t="str">
        <f>IFERROR(__xludf.DUMMYFUNCTION("""COMPUTED_VALUE"""),"IUP")</f>
        <v>IUP</v>
      </c>
      <c r="B84" s="7" t="str">
        <f>IFERROR(__xludf.DUMMYFUNCTION("""COMPUTED_VALUE"""),"Ketahanan Sosial Budaya dan Ekologi        ")</f>
        <v>Ketahanan Sosial Budaya dan Ekologi        </v>
      </c>
      <c r="C84" s="7" t="str">
        <f>IFERROR(__xludf.DUMMYFUNCTION("""COMPUTED_VALUE"""),"Berketahanan Energi, Air, dan Kemandirian Pangan")</f>
        <v>Berketahanan Energi, Air, dan Kemandirian Pangan</v>
      </c>
      <c r="D84" s="7" t="str">
        <f>IFERROR(__xludf.DUMMYFUNCTION("""COMPUTED_VALUE"""),"43.c.2")</f>
        <v>43.c.2</v>
      </c>
      <c r="E84" s="7" t="str">
        <f>IFERROR(__xludf.DUMMYFUNCTION("""COMPUTED_VALUE"""),"Ketahanan Energi, Air, dan Pangan: Ketahanan Air - Akses Rumah Tangga Perkotaan terhadap Air Siap Minum Perpipaan (%)")</f>
        <v>Ketahanan Energi, Air, dan Pangan: Ketahanan Air - Akses Rumah Tangga Perkotaan terhadap Air Siap Minum Perpipaan (%)</v>
      </c>
      <c r="F84" s="7"/>
      <c r="G84" s="30" t="str">
        <f>IFERROR(__xludf.DUMMYFUNCTION("""COMPUTED_VALUE"""),"Dit. Statistik Kesejahteraan Rakyat")</f>
        <v>Dit. Statistik Kesejahteraan Rakyat</v>
      </c>
      <c r="H84" s="7" t="str">
        <f>IFERROR(__xludf.DUMMYFUNCTION("""COMPUTED_VALUE"""),"Dit. Perumahan dan Kawasan Permukiman")</f>
        <v>Dit. Perumahan dan Kawasan Permukiman</v>
      </c>
      <c r="I84" s="5" t="str">
        <f>IFERROR(__xludf.DUMMYFUNCTION("""COMPUTED_VALUE"""),"Direktorat Perumahan dan Infrastruktur Kawasan Permukiman")</f>
        <v>Direktorat Perumahan dan Infrastruktur Kawasan Permukiman</v>
      </c>
      <c r="J84" s="7" t="str">
        <f>IFERROR(__xludf.DUMMYFUNCTION("""COMPUTED_VALUE"""),"Kementerian Kesehatan")</f>
        <v>Kementerian Kesehatan</v>
      </c>
      <c r="K84" s="5" t="str">
        <f>IFERROR(__xludf.DUMMYFUNCTION("""COMPUTED_VALUE"""),"Kementerian Pekerjaan Umum Kemenkes (TBC)")</f>
        <v>Kementerian Pekerjaan Umum Kemenkes (TBC)</v>
      </c>
      <c r="L84" s="7" t="str">
        <f>IFERROR(__xludf.DUMMYFUNCTION("""COMPUTED_VALUE"""),"Tidak Tersedia")</f>
        <v>Tidak Tersedia</v>
      </c>
      <c r="M84" s="5" t="str">
        <f>IFERROR(__xludf.DUMMYFUNCTION("""COMPUTED_VALUE"""),"Dhiar Niken Larasati, SST, M.E.")</f>
        <v>Dhiar Niken Larasati, SST, M.E.</v>
      </c>
      <c r="N84" s="5"/>
      <c r="O84" s="5"/>
      <c r="P84" s="7"/>
      <c r="Q84" s="5"/>
      <c r="R84" s="7" t="str">
        <f>IFERROR(__xludf.DUMMYFUNCTION("""COMPUTED_VALUE"""),"Persentase Rumah Tangga yang Memiliki Akses terhadap Sumber Air Minum Layak")</f>
        <v>Persentase Rumah Tangga yang Memiliki Akses terhadap Sumber Air Minum Layak</v>
      </c>
      <c r="S84" s="9" t="str">
        <f>IFERROR(__xludf.DUMMYFUNCTION("""COMPUTED_VALUE"""),"https://data.blitarkab.go.id/data/akses-rumah-tangga-perkotaan-terhadap-air-siap-minum-perpipaan-30268oz7")</f>
        <v>https://data.blitarkab.go.id/data/akses-rumah-tangga-perkotaan-terhadap-air-siap-minum-perpipaan-30268oz7</v>
      </c>
      <c r="T84" s="7"/>
      <c r="U84" s="7"/>
      <c r="V84" s="7"/>
      <c r="W84" s="7"/>
      <c r="X84" s="11">
        <f>IFERROR(__xludf.DUMMYFUNCTION("""COMPUTED_VALUE"""),38.37)</f>
        <v>38.37</v>
      </c>
      <c r="Y84" s="7"/>
      <c r="Z84" s="24"/>
      <c r="AA84" s="12" t="s">
        <v>30</v>
      </c>
      <c r="AB84" s="12" t="s">
        <v>17</v>
      </c>
      <c r="AC84" s="17" t="s">
        <v>37</v>
      </c>
      <c r="AD84" s="21" t="s">
        <v>11</v>
      </c>
      <c r="AE84" s="28" t="s">
        <v>18</v>
      </c>
      <c r="AF84" s="25" t="s">
        <v>18</v>
      </c>
      <c r="AG84" s="27"/>
      <c r="AH84" s="5" t="s">
        <v>33</v>
      </c>
      <c r="AI84" s="24"/>
      <c r="AJ84" s="24"/>
      <c r="AK84" s="24"/>
      <c r="AL84" s="24"/>
      <c r="AM84" s="24"/>
      <c r="AN84" s="24"/>
    </row>
    <row r="85" ht="27.0" customHeight="1">
      <c r="A85" s="7" t="str">
        <f>IFERROR(__xludf.DUMMYFUNCTION("""COMPUTED_VALUE"""),"IUP")</f>
        <v>IUP</v>
      </c>
      <c r="B85" s="7" t="str">
        <f>IFERROR(__xludf.DUMMYFUNCTION("""COMPUTED_VALUE"""),"Ketahanan Sosial Budaya dan Ekologi        ")</f>
        <v>Ketahanan Sosial Budaya dan Ekologi        </v>
      </c>
      <c r="C85" s="7" t="str">
        <f>IFERROR(__xludf.DUMMYFUNCTION("""COMPUTED_VALUE"""),"Resiliensi terhadap Bencana dan Perubahan lklim")</f>
        <v>Resiliensi terhadap Bencana dan Perubahan lklim</v>
      </c>
      <c r="D85" s="7">
        <f>IFERROR(__xludf.DUMMYFUNCTION("""COMPUTED_VALUE"""),44.0)</f>
        <v>44</v>
      </c>
      <c r="E85" s="7" t="str">
        <f>IFERROR(__xludf.DUMMYFUNCTION("""COMPUTED_VALUE"""),"Proporsi Kerugian Ekonomi Langsung akibat Bencana Relatif terhadap PDB (%)  ")</f>
        <v>Proporsi Kerugian Ekonomi Langsung akibat Bencana Relatif terhadap PDB (%)  </v>
      </c>
      <c r="F85" s="7"/>
      <c r="G85" s="30" t="str">
        <f>IFERROR(__xludf.DUMMYFUNCTION("""COMPUTED_VALUE"""),"Dit. Analisis Statistik dan Neraca Satelit")</f>
        <v>Dit. Analisis Statistik dan Neraca Satelit</v>
      </c>
      <c r="H85" s="7" t="str">
        <f>IFERROR(__xludf.DUMMYFUNCTION("""COMPUTED_VALUE"""),"Dit. Tata Ruang, Pertanahan, dan Penanggulangan Bencana")</f>
        <v>Dit. Tata Ruang, Pertanahan, dan Penanggulangan Bencana</v>
      </c>
      <c r="I85" s="5" t="str">
        <f>IFERROR(__xludf.DUMMYFUNCTION("""COMPUTED_VALUE"""),"Direktorat Tata Ruang, Perkotaan, Pertanahan, dan Penanggulangan Bencana")</f>
        <v>Direktorat Tata Ruang, Perkotaan, Pertanahan, dan Penanggulangan Bencana</v>
      </c>
      <c r="J85" s="7" t="str">
        <f>IFERROR(__xludf.DUMMYFUNCTION("""COMPUTED_VALUE"""),"BNPB")</f>
        <v>BNPB</v>
      </c>
      <c r="K85" s="5" t="str">
        <f>IFERROR(__xludf.DUMMYFUNCTION("""COMPUTED_VALUE"""),"BNPB")</f>
        <v>BNPB</v>
      </c>
      <c r="L85" s="7" t="str">
        <f>IFERROR(__xludf.DUMMYFUNCTION("""COMPUTED_VALUE"""),"Tersedia s.d Kabupaten/Kota")</f>
        <v>Tersedia s.d Kabupaten/Kota</v>
      </c>
      <c r="M85" s="5" t="str">
        <f>IFERROR(__xludf.DUMMYFUNCTION("""COMPUTED_VALUE"""),"Erna Yulianingsih")</f>
        <v>Erna Yulianingsih</v>
      </c>
      <c r="N85" s="5" t="str">
        <f>IFERROR(__xludf.DUMMYFUNCTION("""COMPUTED_VALUE"""),"Setiap Kabupaten/Kota mengukur sendiri2")</f>
        <v>Setiap Kabupaten/Kota mengukur sendiri2</v>
      </c>
      <c r="O85" s="8" t="str">
        <f>IFERROR(__xludf.DUMMYFUNCTION("""COMPUTED_VALUE"""),"2023 Karang Asem https://sirusa.web.bps.go.id/metadata/indikator/57460")</f>
        <v>2023 Karang Asem https://sirusa.web.bps.go.id/metadata/indikator/57460</v>
      </c>
      <c r="P85" s="7"/>
      <c r="Q85" s="5"/>
      <c r="R85" s="7"/>
      <c r="S85" s="7"/>
      <c r="T85" s="7"/>
      <c r="U85" s="7"/>
      <c r="V85" s="7"/>
      <c r="W85" s="7"/>
      <c r="X85" s="11" t="str">
        <f>IFERROR(__xludf.DUMMYFUNCTION("""COMPUTED_VALUE"""),"perkiraan data triw 3 akhir 2026 (barengan sama SDGs)")</f>
        <v>perkiraan data triw 3 akhir 2026 (barengan sama SDGs)</v>
      </c>
      <c r="Y85" s="7"/>
      <c r="Z85" s="24"/>
      <c r="AA85" s="5" t="s">
        <v>86</v>
      </c>
      <c r="AB85" s="12" t="s">
        <v>9</v>
      </c>
      <c r="AC85" s="24" t="s">
        <v>29</v>
      </c>
      <c r="AD85" s="21" t="s">
        <v>11</v>
      </c>
      <c r="AE85" s="22">
        <v>2025.0</v>
      </c>
      <c r="AF85" s="23" t="s">
        <v>12</v>
      </c>
      <c r="AG85" s="21" t="s">
        <v>92</v>
      </c>
      <c r="AH85" s="5" t="s">
        <v>45</v>
      </c>
      <c r="AI85" s="24"/>
      <c r="AJ85" s="24"/>
      <c r="AK85" s="24"/>
      <c r="AL85" s="24"/>
      <c r="AM85" s="24"/>
      <c r="AN85" s="24"/>
    </row>
    <row r="86" ht="27.0" customHeight="1">
      <c r="A86" s="7" t="str">
        <f>IFERROR(__xludf.DUMMYFUNCTION("""COMPUTED_VALUE"""),"IUP")</f>
        <v>IUP</v>
      </c>
      <c r="B86" s="7" t="str">
        <f>IFERROR(__xludf.DUMMYFUNCTION("""COMPUTED_VALUE"""),"Ketahanan Sosial Budaya dan Ekologi        ")</f>
        <v>Ketahanan Sosial Budaya dan Ekologi        </v>
      </c>
      <c r="C86" s="7" t="str">
        <f>IFERROR(__xludf.DUMMYFUNCTION("""COMPUTED_VALUE"""),"Resiliensi terhadap Bencana dan Perubahan lklim")</f>
        <v>Resiliensi terhadap Bencana dan Perubahan lklim</v>
      </c>
      <c r="D86" s="7" t="str">
        <f>IFERROR(__xludf.DUMMYFUNCTION("""COMPUTED_VALUE"""),"45.a")</f>
        <v>45.a</v>
      </c>
      <c r="E86" s="7" t="str">
        <f>IFERROR(__xludf.DUMMYFUNCTION("""COMPUTED_VALUE"""),"Persentase Penurunan Emisi GRK(%): Kumulatif ")</f>
        <v>Persentase Penurunan Emisi GRK(%): Kumulatif </v>
      </c>
      <c r="F86" s="7"/>
      <c r="G86" s="30" t="str">
        <f>IFERROR(__xludf.DUMMYFUNCTION("""COMPUTED_VALUE"""),"Dit. Statistik Ketahanan Sosial")</f>
        <v>Dit. Statistik Ketahanan Sosial</v>
      </c>
      <c r="H86" s="7" t="str">
        <f>IFERROR(__xludf.DUMMYFUNCTION("""COMPUTED_VALUE"""),"Dit. Lingkungan Hidup")</f>
        <v>Dit. Lingkungan Hidup</v>
      </c>
      <c r="I86" s="5" t="str">
        <f>IFERROR(__xludf.DUMMYFUNCTION("""COMPUTED_VALUE"""),"Direktorat Lingkungan Hidup")</f>
        <v>Direktorat Lingkungan Hidup</v>
      </c>
      <c r="J86" s="7" t="str">
        <f>IFERROR(__xludf.DUMMYFUNCTION("""COMPUTED_VALUE"""),"Kementerian PPN/Bappenas")</f>
        <v>Kementerian PPN/Bappenas</v>
      </c>
      <c r="K86" s="5" t="str">
        <f>IFERROR(__xludf.DUMMYFUNCTION("""COMPUTED_VALUE"""),"Kementerian PPN/Bappenas")</f>
        <v>Kementerian PPN/Bappenas</v>
      </c>
      <c r="L86" s="7" t="str">
        <f>IFERROR(__xludf.DUMMYFUNCTION("""COMPUTED_VALUE"""),"Tersedia s.d Provinsi")</f>
        <v>Tersedia s.d Provinsi</v>
      </c>
      <c r="M86" s="5" t="str">
        <f>IFERROR(__xludf.DUMMYFUNCTION("""COMPUTED_VALUE"""),"Mohammad Ammar Alwandi, S.Tr.Stat.")</f>
        <v>Mohammad Ammar Alwandi, S.Tr.Stat.</v>
      </c>
      <c r="N86" s="5" t="str">
        <f>IFERROR(__xludf.DUMMYFUNCTION("""COMPUTED_VALUE"""),"kab: penurunan emisi GRK (kumulatif)")</f>
        <v>kab: penurunan emisi GRK (kumulatif)</v>
      </c>
      <c r="O86" s="5"/>
      <c r="P86" s="7"/>
      <c r="Q86" s="5"/>
      <c r="R86" s="7"/>
      <c r="S86" s="9" t="str">
        <f>IFERROR(__xludf.DUMMYFUNCTION("""COMPUTED_VALUE"""),"DKI: https://data.go.id/dataset/dataset/data-capaian-penurunan-emisi-gas-rumah-kaca-grk")</f>
        <v>DKI: https://data.go.id/dataset/dataset/data-capaian-penurunan-emisi-gas-rumah-kaca-grk</v>
      </c>
      <c r="T86" s="7"/>
      <c r="U86" s="7"/>
      <c r="V86" s="7"/>
      <c r="W86" s="7"/>
      <c r="X86" s="11" t="str">
        <f>IFERROR(__xludf.DUMMYFUNCTION("""COMPUTED_VALUE"""),"perkiraan ada datanya 30 November 2026")</f>
        <v>perkiraan ada datanya 30 November 2026</v>
      </c>
      <c r="Y86" s="7"/>
      <c r="Z86" s="24"/>
      <c r="AA86" s="12" t="s">
        <v>32</v>
      </c>
      <c r="AB86" s="12" t="s">
        <v>17</v>
      </c>
      <c r="AC86" s="17" t="s">
        <v>37</v>
      </c>
      <c r="AD86" s="21" t="s">
        <v>11</v>
      </c>
      <c r="AE86" s="28" t="s">
        <v>18</v>
      </c>
      <c r="AF86" s="23" t="s">
        <v>12</v>
      </c>
      <c r="AG86" s="27"/>
      <c r="AH86" s="5" t="s">
        <v>33</v>
      </c>
      <c r="AI86" s="24"/>
      <c r="AJ86" s="24"/>
      <c r="AK86" s="24"/>
      <c r="AL86" s="24"/>
      <c r="AM86" s="24"/>
      <c r="AN86" s="24"/>
    </row>
    <row r="87" ht="27.0" customHeight="1">
      <c r="A87" s="7" t="str">
        <f>IFERROR(__xludf.DUMMYFUNCTION("""COMPUTED_VALUE"""),"IUP")</f>
        <v>IUP</v>
      </c>
      <c r="B87" s="7" t="str">
        <f>IFERROR(__xludf.DUMMYFUNCTION("""COMPUTED_VALUE"""),"Ketahanan Sosial Budaya dan Ekologi        ")</f>
        <v>Ketahanan Sosial Budaya dan Ekologi        </v>
      </c>
      <c r="C87" s="7" t="str">
        <f>IFERROR(__xludf.DUMMYFUNCTION("""COMPUTED_VALUE"""),"Resiliensi terhadap Bencana dan Perubahan lklim")</f>
        <v>Resiliensi terhadap Bencana dan Perubahan lklim</v>
      </c>
      <c r="D87" s="7" t="str">
        <f>IFERROR(__xludf.DUMMYFUNCTION("""COMPUTED_VALUE"""),"45.b")</f>
        <v>45.b</v>
      </c>
      <c r="E87" s="7" t="str">
        <f>IFERROR(__xludf.DUMMYFUNCTION("""COMPUTED_VALUE"""),"Persentase Penurunan Emisi GRK(%): Tahunan ")</f>
        <v>Persentase Penurunan Emisi GRK(%): Tahunan </v>
      </c>
      <c r="F87" s="7"/>
      <c r="G87" s="30" t="str">
        <f>IFERROR(__xludf.DUMMYFUNCTION("""COMPUTED_VALUE"""),"Dit. Statistik Ketahanan Sosial")</f>
        <v>Dit. Statistik Ketahanan Sosial</v>
      </c>
      <c r="H87" s="7" t="str">
        <f>IFERROR(__xludf.DUMMYFUNCTION("""COMPUTED_VALUE"""),"Dit. Lingkungan Hidup")</f>
        <v>Dit. Lingkungan Hidup</v>
      </c>
      <c r="I87" s="5" t="str">
        <f>IFERROR(__xludf.DUMMYFUNCTION("""COMPUTED_VALUE"""),"Direktorat Lingkungan Hidup")</f>
        <v>Direktorat Lingkungan Hidup</v>
      </c>
      <c r="J87" s="7" t="str">
        <f>IFERROR(__xludf.DUMMYFUNCTION("""COMPUTED_VALUE"""),"Kementerian PPN/Bappenas")</f>
        <v>Kementerian PPN/Bappenas</v>
      </c>
      <c r="K87" s="5" t="str">
        <f>IFERROR(__xludf.DUMMYFUNCTION("""COMPUTED_VALUE"""),"Kementerian PPN/Bappenas")</f>
        <v>Kementerian PPN/Bappenas</v>
      </c>
      <c r="L87" s="7" t="str">
        <f>IFERROR(__xludf.DUMMYFUNCTION("""COMPUTED_VALUE"""),"Tersedia s.d Provinsi")</f>
        <v>Tersedia s.d Provinsi</v>
      </c>
      <c r="M87" s="5" t="str">
        <f>IFERROR(__xludf.DUMMYFUNCTION("""COMPUTED_VALUE"""),"Mohammad Ammar Alwandi, S.Tr.Stat.")</f>
        <v>Mohammad Ammar Alwandi, S.Tr.Stat.</v>
      </c>
      <c r="N87" s="5" t="str">
        <f>IFERROR(__xludf.DUMMYFUNCTION("""COMPUTED_VALUE"""),"kab: penurunan emisi GRK (nilai absolut)")</f>
        <v>kab: penurunan emisi GRK (nilai absolut)</v>
      </c>
      <c r="O87" s="5"/>
      <c r="P87" s="7"/>
      <c r="Q87" s="5"/>
      <c r="R87" s="7"/>
      <c r="S87" s="9" t="str">
        <f>IFERROR(__xludf.DUMMYFUNCTION("""COMPUTED_VALUE"""),"DKI: https://data.go.id/dataset/dataset/data-capaian-penurunan-emisi-gas-rumah-kaca-grk")</f>
        <v>DKI: https://data.go.id/dataset/dataset/data-capaian-penurunan-emisi-gas-rumah-kaca-grk</v>
      </c>
      <c r="T87" s="7"/>
      <c r="U87" s="7"/>
      <c r="V87" s="7"/>
      <c r="W87" s="7"/>
      <c r="X87" s="11" t="str">
        <f>IFERROR(__xludf.DUMMYFUNCTION("""COMPUTED_VALUE"""),"perkiraan ada datanya 30 November 2026")</f>
        <v>perkiraan ada datanya 30 November 2026</v>
      </c>
      <c r="Y87" s="7"/>
      <c r="Z87" s="24"/>
      <c r="AA87" s="39" t="s">
        <v>32</v>
      </c>
      <c r="AB87" s="12" t="s">
        <v>17</v>
      </c>
      <c r="AC87" s="17" t="s">
        <v>37</v>
      </c>
      <c r="AD87" s="21" t="s">
        <v>11</v>
      </c>
      <c r="AE87" s="28" t="s">
        <v>18</v>
      </c>
      <c r="AF87" s="23" t="s">
        <v>12</v>
      </c>
      <c r="AG87" s="27"/>
      <c r="AH87" s="5" t="s">
        <v>33</v>
      </c>
      <c r="AI87" s="24"/>
      <c r="AJ87" s="24"/>
      <c r="AK87" s="24"/>
      <c r="AL87" s="24"/>
      <c r="AM87" s="24"/>
      <c r="AN87" s="24"/>
    </row>
    <row r="88" ht="15.75" customHeight="1">
      <c r="A88" s="7"/>
      <c r="B88" s="7"/>
      <c r="C88" s="7"/>
      <c r="D88" s="7"/>
      <c r="E88" s="7"/>
      <c r="F88" s="7"/>
      <c r="G88" s="30"/>
      <c r="H88" s="7"/>
      <c r="I88" s="5"/>
      <c r="J88" s="7"/>
      <c r="K88" s="5"/>
      <c r="L88" s="7"/>
      <c r="M88" s="5"/>
      <c r="N88" s="5"/>
      <c r="O88" s="5"/>
      <c r="P88" s="7"/>
      <c r="Q88" s="5"/>
      <c r="R88" s="7"/>
      <c r="S88" s="7"/>
      <c r="T88" s="7"/>
      <c r="U88" s="7"/>
      <c r="V88" s="7"/>
      <c r="W88" s="7"/>
      <c r="X88" s="7"/>
      <c r="Y88" s="7"/>
      <c r="Z88" s="24"/>
      <c r="AA88" s="13"/>
      <c r="AB88" s="13"/>
      <c r="AC88" s="13"/>
      <c r="AD88" s="5"/>
      <c r="AE88" s="5"/>
      <c r="AF88" s="7"/>
      <c r="AG88" s="5"/>
      <c r="AH88" s="5"/>
      <c r="AI88" s="24"/>
      <c r="AJ88" s="24"/>
      <c r="AK88" s="24"/>
      <c r="AL88" s="24"/>
      <c r="AM88" s="24"/>
      <c r="AN88" s="24"/>
    </row>
    <row r="89" ht="15.75" customHeight="1">
      <c r="A89" s="7"/>
      <c r="B89" s="7"/>
      <c r="C89" s="7"/>
      <c r="D89" s="7"/>
      <c r="E89" s="7"/>
      <c r="F89" s="7"/>
      <c r="G89" s="30"/>
      <c r="H89" s="7"/>
      <c r="I89" s="5"/>
      <c r="J89" s="7"/>
      <c r="K89" s="5"/>
      <c r="L89" s="7"/>
      <c r="M89" s="5"/>
      <c r="N89" s="5"/>
      <c r="O89" s="5"/>
      <c r="P89" s="7"/>
      <c r="Q89" s="5"/>
      <c r="R89" s="7"/>
      <c r="S89" s="7"/>
      <c r="T89" s="7"/>
      <c r="U89" s="7"/>
      <c r="V89" s="7"/>
      <c r="W89" s="7"/>
      <c r="X89" s="7"/>
      <c r="Y89" s="7"/>
      <c r="Z89" s="24"/>
      <c r="AA89" s="5"/>
      <c r="AB89" s="5"/>
      <c r="AC89" s="5"/>
      <c r="AD89" s="5"/>
      <c r="AE89" s="5"/>
      <c r="AF89" s="7"/>
      <c r="AG89" s="5"/>
      <c r="AH89" s="5"/>
      <c r="AI89" s="24"/>
      <c r="AJ89" s="24"/>
      <c r="AK89" s="24"/>
      <c r="AL89" s="24"/>
      <c r="AM89" s="24"/>
      <c r="AN89" s="24"/>
    </row>
    <row r="90" ht="15.75" customHeight="1">
      <c r="A90" s="7"/>
      <c r="B90" s="7"/>
      <c r="C90" s="7"/>
      <c r="D90" s="7"/>
      <c r="E90" s="7"/>
      <c r="F90" s="7"/>
      <c r="G90" s="30"/>
      <c r="H90" s="7"/>
      <c r="I90" s="5"/>
      <c r="J90" s="7"/>
      <c r="K90" s="5"/>
      <c r="L90" s="7"/>
      <c r="M90" s="5"/>
      <c r="N90" s="5"/>
      <c r="O90" s="5"/>
      <c r="P90" s="7"/>
      <c r="Q90" s="5"/>
      <c r="R90" s="7"/>
      <c r="S90" s="7"/>
      <c r="T90" s="7"/>
      <c r="U90" s="7"/>
      <c r="V90" s="7"/>
      <c r="W90" s="7"/>
      <c r="X90" s="7"/>
      <c r="Y90" s="7"/>
      <c r="Z90" s="24"/>
      <c r="AA90" s="13"/>
      <c r="AB90" s="13"/>
      <c r="AC90" s="13"/>
      <c r="AD90" s="5"/>
      <c r="AE90" s="5"/>
      <c r="AF90" s="7"/>
      <c r="AG90" s="5"/>
      <c r="AH90" s="5"/>
      <c r="AI90" s="24"/>
      <c r="AJ90" s="24"/>
      <c r="AK90" s="24"/>
      <c r="AL90" s="24"/>
      <c r="AM90" s="24"/>
      <c r="AN90" s="24"/>
    </row>
    <row r="91" ht="15.75" customHeight="1">
      <c r="A91" s="7"/>
      <c r="B91" s="7"/>
      <c r="C91" s="7"/>
      <c r="D91" s="7"/>
      <c r="E91" s="7"/>
      <c r="F91" s="7"/>
      <c r="G91" s="30"/>
      <c r="H91" s="7"/>
      <c r="I91" s="5"/>
      <c r="J91" s="7"/>
      <c r="K91" s="5"/>
      <c r="L91" s="7"/>
      <c r="M91" s="5"/>
      <c r="N91" s="5"/>
      <c r="O91" s="5"/>
      <c r="P91" s="7"/>
      <c r="Q91" s="5"/>
      <c r="R91" s="7"/>
      <c r="S91" s="7"/>
      <c r="T91" s="7"/>
      <c r="U91" s="7"/>
      <c r="V91" s="7"/>
      <c r="W91" s="7"/>
      <c r="X91" s="7"/>
      <c r="Y91" s="7"/>
      <c r="Z91" s="24"/>
      <c r="AA91" s="13"/>
      <c r="AB91" s="13"/>
      <c r="AC91" s="13"/>
      <c r="AD91" s="5"/>
      <c r="AE91" s="5"/>
      <c r="AF91" s="7"/>
      <c r="AG91" s="5"/>
      <c r="AH91" s="5"/>
      <c r="AI91" s="24"/>
      <c r="AJ91" s="24"/>
      <c r="AK91" s="24"/>
      <c r="AL91" s="24"/>
      <c r="AM91" s="24"/>
      <c r="AN91" s="24"/>
    </row>
    <row r="92" ht="15.75" customHeight="1">
      <c r="A92" s="24"/>
      <c r="B92" s="24"/>
      <c r="C92" s="24"/>
      <c r="D92" s="24"/>
      <c r="E92" s="24"/>
      <c r="F92" s="24"/>
      <c r="G92" s="40"/>
      <c r="H92" s="24"/>
      <c r="I92" s="17"/>
      <c r="J92" s="24"/>
      <c r="K92" s="17"/>
      <c r="L92" s="24"/>
      <c r="M92" s="17"/>
      <c r="N92" s="17"/>
      <c r="O92" s="17"/>
      <c r="P92" s="24"/>
      <c r="Q92" s="17"/>
      <c r="R92" s="24"/>
      <c r="S92" s="24"/>
      <c r="T92" s="24"/>
      <c r="U92" s="24"/>
      <c r="V92" s="24"/>
      <c r="W92" s="24"/>
      <c r="X92" s="24"/>
      <c r="Y92" s="24"/>
      <c r="Z92" s="24"/>
      <c r="AA92" s="17"/>
      <c r="AB92" s="17"/>
      <c r="AC92" s="17"/>
      <c r="AD92" s="24"/>
      <c r="AE92" s="24"/>
      <c r="AF92" s="24"/>
      <c r="AG92" s="17"/>
      <c r="AH92" s="17"/>
      <c r="AI92" s="24"/>
      <c r="AJ92" s="24"/>
      <c r="AK92" s="24"/>
      <c r="AL92" s="24"/>
      <c r="AM92" s="24"/>
      <c r="AN92" s="24"/>
    </row>
    <row r="93" ht="15.75" customHeight="1">
      <c r="A93" s="24"/>
      <c r="B93" s="24"/>
      <c r="C93" s="24"/>
      <c r="D93" s="24"/>
      <c r="E93" s="24"/>
      <c r="F93" s="24"/>
      <c r="G93" s="40"/>
      <c r="H93" s="24"/>
      <c r="I93" s="17"/>
      <c r="J93" s="24"/>
      <c r="K93" s="17"/>
      <c r="L93" s="24"/>
      <c r="M93" s="17"/>
      <c r="N93" s="17"/>
      <c r="O93" s="17"/>
      <c r="P93" s="24"/>
      <c r="Q93" s="17"/>
      <c r="R93" s="24"/>
      <c r="S93" s="24"/>
      <c r="T93" s="24"/>
      <c r="U93" s="24"/>
      <c r="V93" s="24"/>
      <c r="W93" s="24"/>
      <c r="X93" s="24"/>
      <c r="Y93" s="24"/>
      <c r="Z93" s="24"/>
      <c r="AA93" s="17"/>
      <c r="AB93" s="17"/>
      <c r="AC93" s="17"/>
      <c r="AD93" s="24"/>
      <c r="AE93" s="24"/>
      <c r="AF93" s="24"/>
      <c r="AG93" s="17"/>
      <c r="AH93" s="17"/>
      <c r="AI93" s="24"/>
      <c r="AJ93" s="24"/>
      <c r="AK93" s="24"/>
      <c r="AL93" s="24"/>
      <c r="AM93" s="24"/>
      <c r="AN93" s="24"/>
    </row>
    <row r="94" ht="15.75" customHeight="1">
      <c r="A94" s="24"/>
      <c r="B94" s="24"/>
      <c r="C94" s="24"/>
      <c r="D94" s="24"/>
      <c r="E94" s="24"/>
      <c r="F94" s="24"/>
      <c r="G94" s="40"/>
      <c r="H94" s="24"/>
      <c r="I94" s="17"/>
      <c r="J94" s="24"/>
      <c r="K94" s="17"/>
      <c r="L94" s="24"/>
      <c r="M94" s="17"/>
      <c r="N94" s="17"/>
      <c r="O94" s="17"/>
      <c r="P94" s="24"/>
      <c r="Q94" s="17"/>
      <c r="R94" s="24"/>
      <c r="S94" s="24"/>
      <c r="T94" s="24"/>
      <c r="U94" s="24"/>
      <c r="V94" s="24"/>
      <c r="W94" s="24"/>
      <c r="X94" s="24"/>
      <c r="Y94" s="24"/>
      <c r="Z94" s="24"/>
      <c r="AA94" s="17"/>
      <c r="AB94" s="17"/>
      <c r="AC94" s="17"/>
      <c r="AD94" s="24"/>
      <c r="AE94" s="24"/>
      <c r="AF94" s="24"/>
      <c r="AG94" s="17"/>
      <c r="AH94" s="17"/>
      <c r="AI94" s="24"/>
      <c r="AJ94" s="24"/>
      <c r="AK94" s="24"/>
      <c r="AL94" s="24"/>
      <c r="AM94" s="24"/>
      <c r="AN94" s="24"/>
    </row>
    <row r="95" ht="15.75" customHeight="1">
      <c r="A95" s="24"/>
      <c r="B95" s="24"/>
      <c r="C95" s="24"/>
      <c r="D95" s="24"/>
      <c r="E95" s="24"/>
      <c r="F95" s="24"/>
      <c r="G95" s="40"/>
      <c r="H95" s="24"/>
      <c r="I95" s="17"/>
      <c r="J95" s="24"/>
      <c r="K95" s="17"/>
      <c r="L95" s="24"/>
      <c r="M95" s="17"/>
      <c r="N95" s="17"/>
      <c r="O95" s="17"/>
      <c r="P95" s="24"/>
      <c r="Q95" s="17"/>
      <c r="R95" s="24"/>
      <c r="S95" s="24"/>
      <c r="T95" s="24"/>
      <c r="U95" s="24"/>
      <c r="V95" s="24"/>
      <c r="W95" s="24"/>
      <c r="X95" s="24"/>
      <c r="Y95" s="24"/>
      <c r="Z95" s="24"/>
      <c r="AA95" s="17"/>
      <c r="AB95" s="17"/>
      <c r="AC95" s="17"/>
      <c r="AD95" s="24"/>
      <c r="AE95" s="24"/>
      <c r="AF95" s="24"/>
      <c r="AG95" s="17"/>
      <c r="AH95" s="17"/>
      <c r="AI95" s="24"/>
      <c r="AJ95" s="24"/>
      <c r="AK95" s="24"/>
      <c r="AL95" s="24"/>
      <c r="AM95" s="24"/>
      <c r="AN95" s="24"/>
    </row>
    <row r="96" ht="15.75" customHeight="1">
      <c r="A96" s="24"/>
      <c r="B96" s="24"/>
      <c r="C96" s="24"/>
      <c r="D96" s="24"/>
      <c r="E96" s="24"/>
      <c r="F96" s="24"/>
      <c r="G96" s="40"/>
      <c r="H96" s="24"/>
      <c r="I96" s="17"/>
      <c r="J96" s="24"/>
      <c r="K96" s="17"/>
      <c r="L96" s="24"/>
      <c r="M96" s="17"/>
      <c r="N96" s="17"/>
      <c r="O96" s="17"/>
      <c r="P96" s="24"/>
      <c r="Q96" s="17"/>
      <c r="R96" s="24"/>
      <c r="S96" s="24"/>
      <c r="T96" s="24"/>
      <c r="U96" s="24"/>
      <c r="V96" s="24"/>
      <c r="W96" s="24"/>
      <c r="X96" s="24"/>
      <c r="Y96" s="24"/>
      <c r="Z96" s="24"/>
      <c r="AA96" s="17"/>
      <c r="AB96" s="17"/>
      <c r="AC96" s="17"/>
      <c r="AD96" s="24"/>
      <c r="AE96" s="24"/>
      <c r="AF96" s="24"/>
      <c r="AG96" s="17"/>
      <c r="AH96" s="17"/>
      <c r="AI96" s="24"/>
      <c r="AJ96" s="24"/>
      <c r="AK96" s="24"/>
      <c r="AL96" s="24"/>
      <c r="AM96" s="24"/>
      <c r="AN96" s="24"/>
    </row>
    <row r="97" ht="15.75" customHeight="1">
      <c r="A97" s="24"/>
      <c r="B97" s="24"/>
      <c r="C97" s="24"/>
      <c r="D97" s="24"/>
      <c r="E97" s="24"/>
      <c r="F97" s="24"/>
      <c r="G97" s="40"/>
      <c r="H97" s="24"/>
      <c r="I97" s="17"/>
      <c r="J97" s="24"/>
      <c r="K97" s="17"/>
      <c r="L97" s="24"/>
      <c r="M97" s="17"/>
      <c r="N97" s="17"/>
      <c r="O97" s="17"/>
      <c r="P97" s="24"/>
      <c r="Q97" s="17"/>
      <c r="R97" s="24"/>
      <c r="S97" s="24"/>
      <c r="T97" s="24"/>
      <c r="U97" s="24"/>
      <c r="V97" s="24"/>
      <c r="W97" s="24"/>
      <c r="X97" s="24"/>
      <c r="Y97" s="24"/>
      <c r="Z97" s="24"/>
      <c r="AA97" s="17"/>
      <c r="AB97" s="17"/>
      <c r="AC97" s="17"/>
      <c r="AD97" s="24"/>
      <c r="AE97" s="24"/>
      <c r="AF97" s="24"/>
      <c r="AG97" s="17"/>
      <c r="AH97" s="17"/>
      <c r="AI97" s="24"/>
      <c r="AJ97" s="24"/>
      <c r="AK97" s="24"/>
      <c r="AL97" s="24"/>
      <c r="AM97" s="24"/>
      <c r="AN97" s="24"/>
    </row>
    <row r="98" ht="15.75" customHeight="1">
      <c r="A98" s="24"/>
      <c r="B98" s="24"/>
      <c r="C98" s="24"/>
      <c r="D98" s="24"/>
      <c r="E98" s="24"/>
      <c r="F98" s="24"/>
      <c r="G98" s="40"/>
      <c r="H98" s="24"/>
      <c r="I98" s="17"/>
      <c r="J98" s="24"/>
      <c r="K98" s="17"/>
      <c r="L98" s="24"/>
      <c r="M98" s="17"/>
      <c r="N98" s="17"/>
      <c r="O98" s="17"/>
      <c r="P98" s="24"/>
      <c r="Q98" s="17"/>
      <c r="R98" s="24"/>
      <c r="S98" s="24"/>
      <c r="T98" s="24"/>
      <c r="U98" s="24"/>
      <c r="V98" s="24"/>
      <c r="W98" s="24"/>
      <c r="X98" s="24"/>
      <c r="Y98" s="24"/>
      <c r="Z98" s="24"/>
      <c r="AA98" s="17"/>
      <c r="AB98" s="17"/>
      <c r="AC98" s="17"/>
      <c r="AD98" s="24"/>
      <c r="AE98" s="24"/>
      <c r="AF98" s="24"/>
      <c r="AG98" s="17"/>
      <c r="AH98" s="17"/>
      <c r="AI98" s="24"/>
      <c r="AJ98" s="24"/>
      <c r="AK98" s="24"/>
      <c r="AL98" s="24"/>
      <c r="AM98" s="24"/>
      <c r="AN98" s="24"/>
    </row>
    <row r="99" ht="15.75" customHeight="1">
      <c r="A99" s="24"/>
      <c r="B99" s="24"/>
      <c r="C99" s="24"/>
      <c r="D99" s="24"/>
      <c r="E99" s="24"/>
      <c r="F99" s="24"/>
      <c r="G99" s="40"/>
      <c r="H99" s="24"/>
      <c r="I99" s="17"/>
      <c r="J99" s="24"/>
      <c r="K99" s="17"/>
      <c r="L99" s="24"/>
      <c r="M99" s="17"/>
      <c r="N99" s="17"/>
      <c r="O99" s="17"/>
      <c r="P99" s="24"/>
      <c r="Q99" s="17"/>
      <c r="R99" s="24"/>
      <c r="S99" s="24"/>
      <c r="T99" s="24"/>
      <c r="U99" s="24"/>
      <c r="V99" s="24"/>
      <c r="W99" s="24"/>
      <c r="X99" s="24"/>
      <c r="Y99" s="24"/>
      <c r="Z99" s="24"/>
      <c r="AA99" s="17"/>
      <c r="AB99" s="17"/>
      <c r="AC99" s="17"/>
      <c r="AD99" s="24"/>
      <c r="AE99" s="24"/>
      <c r="AF99" s="24"/>
      <c r="AG99" s="17"/>
      <c r="AH99" s="17"/>
      <c r="AI99" s="24"/>
      <c r="AJ99" s="24"/>
      <c r="AK99" s="24"/>
      <c r="AL99" s="24"/>
      <c r="AM99" s="24"/>
      <c r="AN99" s="24"/>
    </row>
    <row r="100" ht="15.75" customHeight="1">
      <c r="A100" s="24"/>
      <c r="B100" s="24"/>
      <c r="C100" s="24"/>
      <c r="D100" s="24"/>
      <c r="E100" s="24"/>
      <c r="F100" s="24"/>
      <c r="G100" s="40"/>
      <c r="H100" s="24"/>
      <c r="I100" s="17"/>
      <c r="J100" s="24"/>
      <c r="K100" s="17"/>
      <c r="L100" s="24"/>
      <c r="M100" s="17"/>
      <c r="N100" s="17"/>
      <c r="O100" s="17"/>
      <c r="P100" s="24"/>
      <c r="Q100" s="17"/>
      <c r="R100" s="24"/>
      <c r="S100" s="24"/>
      <c r="T100" s="24"/>
      <c r="U100" s="24"/>
      <c r="V100" s="24"/>
      <c r="W100" s="24"/>
      <c r="X100" s="24"/>
      <c r="Y100" s="24"/>
      <c r="Z100" s="24"/>
      <c r="AA100" s="17"/>
      <c r="AB100" s="17"/>
      <c r="AC100" s="17"/>
      <c r="AD100" s="24"/>
      <c r="AE100" s="24"/>
      <c r="AF100" s="24"/>
      <c r="AG100" s="17"/>
      <c r="AH100" s="17"/>
      <c r="AI100" s="24"/>
      <c r="AJ100" s="24"/>
      <c r="AK100" s="24"/>
      <c r="AL100" s="24"/>
      <c r="AM100" s="24"/>
      <c r="AN100" s="24"/>
    </row>
    <row r="101" ht="15.75" customHeight="1">
      <c r="A101" s="24"/>
      <c r="B101" s="24"/>
      <c r="C101" s="24"/>
      <c r="D101" s="24"/>
      <c r="E101" s="24"/>
      <c r="F101" s="24"/>
      <c r="G101" s="40"/>
      <c r="H101" s="24"/>
      <c r="I101" s="17"/>
      <c r="J101" s="24"/>
      <c r="K101" s="17"/>
      <c r="L101" s="24"/>
      <c r="M101" s="17"/>
      <c r="N101" s="17"/>
      <c r="O101" s="17"/>
      <c r="P101" s="24"/>
      <c r="Q101" s="17"/>
      <c r="R101" s="24"/>
      <c r="S101" s="24"/>
      <c r="T101" s="24"/>
      <c r="U101" s="24"/>
      <c r="V101" s="24"/>
      <c r="W101" s="24"/>
      <c r="X101" s="24"/>
      <c r="Y101" s="24"/>
      <c r="Z101" s="24"/>
      <c r="AA101" s="17"/>
      <c r="AB101" s="17"/>
      <c r="AC101" s="17"/>
      <c r="AD101" s="24"/>
      <c r="AE101" s="24"/>
      <c r="AF101" s="24"/>
      <c r="AG101" s="17"/>
      <c r="AH101" s="17"/>
      <c r="AI101" s="24"/>
      <c r="AJ101" s="24"/>
      <c r="AK101" s="24"/>
      <c r="AL101" s="24"/>
      <c r="AM101" s="24"/>
      <c r="AN101" s="24"/>
    </row>
    <row r="102" ht="15.75" customHeight="1">
      <c r="A102" s="24"/>
      <c r="B102" s="24"/>
      <c r="C102" s="24"/>
      <c r="D102" s="24"/>
      <c r="E102" s="24"/>
      <c r="F102" s="24"/>
      <c r="G102" s="40"/>
      <c r="H102" s="24"/>
      <c r="I102" s="17"/>
      <c r="J102" s="24"/>
      <c r="K102" s="17"/>
      <c r="L102" s="24"/>
      <c r="M102" s="17"/>
      <c r="N102" s="17"/>
      <c r="O102" s="17"/>
      <c r="P102" s="24"/>
      <c r="Q102" s="17"/>
      <c r="R102" s="24"/>
      <c r="S102" s="24"/>
      <c r="T102" s="24"/>
      <c r="U102" s="24"/>
      <c r="V102" s="24"/>
      <c r="W102" s="24"/>
      <c r="X102" s="24"/>
      <c r="Y102" s="24"/>
      <c r="Z102" s="24"/>
      <c r="AA102" s="17"/>
      <c r="AB102" s="17"/>
      <c r="AC102" s="17"/>
      <c r="AD102" s="24"/>
      <c r="AE102" s="24"/>
      <c r="AF102" s="24"/>
      <c r="AG102" s="17"/>
      <c r="AH102" s="17"/>
      <c r="AI102" s="24"/>
      <c r="AJ102" s="24"/>
      <c r="AK102" s="24"/>
      <c r="AL102" s="24"/>
      <c r="AM102" s="24"/>
      <c r="AN102" s="24"/>
    </row>
    <row r="103" ht="15.75" customHeight="1">
      <c r="A103" s="24"/>
      <c r="B103" s="24"/>
      <c r="C103" s="24"/>
      <c r="D103" s="24"/>
      <c r="E103" s="24"/>
      <c r="F103" s="24"/>
      <c r="G103" s="40"/>
      <c r="H103" s="24"/>
      <c r="I103" s="17"/>
      <c r="J103" s="24"/>
      <c r="K103" s="17"/>
      <c r="L103" s="24"/>
      <c r="M103" s="17"/>
      <c r="N103" s="17"/>
      <c r="O103" s="17"/>
      <c r="P103" s="24"/>
      <c r="Q103" s="17"/>
      <c r="R103" s="24"/>
      <c r="S103" s="24"/>
      <c r="T103" s="24"/>
      <c r="U103" s="24"/>
      <c r="V103" s="24"/>
      <c r="W103" s="24"/>
      <c r="X103" s="24"/>
      <c r="Y103" s="24"/>
      <c r="Z103" s="24"/>
      <c r="AA103" s="17"/>
      <c r="AB103" s="17"/>
      <c r="AC103" s="17"/>
      <c r="AD103" s="24"/>
      <c r="AE103" s="24"/>
      <c r="AF103" s="24"/>
      <c r="AG103" s="17"/>
      <c r="AH103" s="17"/>
      <c r="AI103" s="24"/>
      <c r="AJ103" s="24"/>
      <c r="AK103" s="24"/>
      <c r="AL103" s="24"/>
      <c r="AM103" s="24"/>
      <c r="AN103" s="24"/>
    </row>
    <row r="104" ht="15.75" customHeight="1">
      <c r="A104" s="24"/>
      <c r="B104" s="24"/>
      <c r="C104" s="24"/>
      <c r="D104" s="24"/>
      <c r="E104" s="24"/>
      <c r="F104" s="24"/>
      <c r="G104" s="40"/>
      <c r="H104" s="24"/>
      <c r="I104" s="17"/>
      <c r="J104" s="24"/>
      <c r="K104" s="17"/>
      <c r="L104" s="24"/>
      <c r="M104" s="17"/>
      <c r="N104" s="17"/>
      <c r="O104" s="17"/>
      <c r="P104" s="24"/>
      <c r="Q104" s="17"/>
      <c r="R104" s="24"/>
      <c r="S104" s="24"/>
      <c r="T104" s="24"/>
      <c r="U104" s="24"/>
      <c r="V104" s="24"/>
      <c r="W104" s="24"/>
      <c r="X104" s="24"/>
      <c r="Y104" s="24"/>
      <c r="Z104" s="24"/>
      <c r="AA104" s="17"/>
      <c r="AB104" s="17"/>
      <c r="AC104" s="17"/>
      <c r="AD104" s="24"/>
      <c r="AE104" s="24"/>
      <c r="AF104" s="24"/>
      <c r="AG104" s="17"/>
      <c r="AH104" s="17"/>
      <c r="AI104" s="24"/>
      <c r="AJ104" s="24"/>
      <c r="AK104" s="24"/>
      <c r="AL104" s="24"/>
      <c r="AM104" s="24"/>
      <c r="AN104" s="24"/>
    </row>
    <row r="105" ht="15.75" customHeight="1">
      <c r="A105" s="24"/>
      <c r="B105" s="24"/>
      <c r="C105" s="24"/>
      <c r="D105" s="24"/>
      <c r="E105" s="24"/>
      <c r="F105" s="24"/>
      <c r="G105" s="40"/>
      <c r="H105" s="24"/>
      <c r="I105" s="17"/>
      <c r="J105" s="24"/>
      <c r="K105" s="17"/>
      <c r="L105" s="24"/>
      <c r="M105" s="17"/>
      <c r="N105" s="17"/>
      <c r="O105" s="17"/>
      <c r="P105" s="24"/>
      <c r="Q105" s="17"/>
      <c r="R105" s="24"/>
      <c r="S105" s="24"/>
      <c r="T105" s="24"/>
      <c r="U105" s="24"/>
      <c r="V105" s="24"/>
      <c r="W105" s="24"/>
      <c r="X105" s="24"/>
      <c r="Y105" s="24"/>
      <c r="Z105" s="24"/>
      <c r="AA105" s="17"/>
      <c r="AB105" s="17"/>
      <c r="AC105" s="17"/>
      <c r="AD105" s="24"/>
      <c r="AE105" s="24"/>
      <c r="AF105" s="24"/>
      <c r="AG105" s="17"/>
      <c r="AH105" s="17"/>
      <c r="AI105" s="24"/>
      <c r="AJ105" s="24"/>
      <c r="AK105" s="24"/>
      <c r="AL105" s="24"/>
      <c r="AM105" s="24"/>
      <c r="AN105" s="24"/>
    </row>
    <row r="106" ht="15.75" customHeight="1">
      <c r="A106" s="24"/>
      <c r="B106" s="24"/>
      <c r="C106" s="24"/>
      <c r="D106" s="24"/>
      <c r="E106" s="24"/>
      <c r="F106" s="24"/>
      <c r="G106" s="40"/>
      <c r="H106" s="24"/>
      <c r="I106" s="17"/>
      <c r="J106" s="24"/>
      <c r="K106" s="17"/>
      <c r="L106" s="24"/>
      <c r="M106" s="17"/>
      <c r="N106" s="17"/>
      <c r="O106" s="17"/>
      <c r="P106" s="24"/>
      <c r="Q106" s="17"/>
      <c r="R106" s="24"/>
      <c r="S106" s="24"/>
      <c r="T106" s="24"/>
      <c r="U106" s="24"/>
      <c r="V106" s="24"/>
      <c r="W106" s="24"/>
      <c r="X106" s="24"/>
      <c r="Y106" s="24"/>
      <c r="Z106" s="24"/>
      <c r="AA106" s="17"/>
      <c r="AB106" s="17"/>
      <c r="AC106" s="17"/>
      <c r="AD106" s="24"/>
      <c r="AE106" s="24"/>
      <c r="AF106" s="24"/>
      <c r="AG106" s="17"/>
      <c r="AH106" s="17"/>
      <c r="AI106" s="24"/>
      <c r="AJ106" s="24"/>
      <c r="AK106" s="24"/>
      <c r="AL106" s="24"/>
      <c r="AM106" s="24"/>
      <c r="AN106" s="24"/>
    </row>
    <row r="107" ht="15.75" customHeight="1">
      <c r="A107" s="24"/>
      <c r="B107" s="24"/>
      <c r="C107" s="24"/>
      <c r="D107" s="24"/>
      <c r="E107" s="24"/>
      <c r="F107" s="24"/>
      <c r="G107" s="40"/>
      <c r="H107" s="24"/>
      <c r="I107" s="17"/>
      <c r="J107" s="24"/>
      <c r="K107" s="17"/>
      <c r="L107" s="24"/>
      <c r="M107" s="17"/>
      <c r="N107" s="17"/>
      <c r="O107" s="17"/>
      <c r="P107" s="24"/>
      <c r="Q107" s="17"/>
      <c r="R107" s="24"/>
      <c r="S107" s="24"/>
      <c r="T107" s="24"/>
      <c r="U107" s="24"/>
      <c r="V107" s="24"/>
      <c r="W107" s="24"/>
      <c r="X107" s="24"/>
      <c r="Y107" s="24"/>
      <c r="Z107" s="24"/>
      <c r="AA107" s="17"/>
      <c r="AB107" s="17"/>
      <c r="AC107" s="17"/>
      <c r="AD107" s="24"/>
      <c r="AE107" s="24"/>
      <c r="AF107" s="24"/>
      <c r="AG107" s="17"/>
      <c r="AH107" s="17"/>
      <c r="AI107" s="24"/>
      <c r="AJ107" s="24"/>
      <c r="AK107" s="24"/>
      <c r="AL107" s="24"/>
      <c r="AM107" s="24"/>
      <c r="AN107" s="24"/>
    </row>
    <row r="108" ht="15.75" customHeight="1">
      <c r="A108" s="24"/>
      <c r="B108" s="24"/>
      <c r="C108" s="24"/>
      <c r="D108" s="24"/>
      <c r="E108" s="24"/>
      <c r="F108" s="24"/>
      <c r="G108" s="40"/>
      <c r="H108" s="24"/>
      <c r="I108" s="17"/>
      <c r="J108" s="24"/>
      <c r="K108" s="17"/>
      <c r="L108" s="24"/>
      <c r="M108" s="17"/>
      <c r="N108" s="17"/>
      <c r="O108" s="17"/>
      <c r="P108" s="24"/>
      <c r="Q108" s="17"/>
      <c r="R108" s="24"/>
      <c r="S108" s="24"/>
      <c r="T108" s="24"/>
      <c r="U108" s="24"/>
      <c r="V108" s="24"/>
      <c r="W108" s="24"/>
      <c r="X108" s="24"/>
      <c r="Y108" s="24"/>
      <c r="Z108" s="24"/>
      <c r="AA108" s="17"/>
      <c r="AB108" s="17"/>
      <c r="AC108" s="17"/>
      <c r="AD108" s="24"/>
      <c r="AE108" s="24"/>
      <c r="AF108" s="24"/>
      <c r="AG108" s="17"/>
      <c r="AH108" s="17"/>
      <c r="AI108" s="24"/>
      <c r="AJ108" s="24"/>
      <c r="AK108" s="24"/>
      <c r="AL108" s="24"/>
      <c r="AM108" s="24"/>
      <c r="AN108" s="24"/>
    </row>
    <row r="109" ht="15.75" customHeight="1">
      <c r="A109" s="24"/>
      <c r="B109" s="24"/>
      <c r="C109" s="24"/>
      <c r="D109" s="24"/>
      <c r="E109" s="24"/>
      <c r="F109" s="24"/>
      <c r="G109" s="40"/>
      <c r="H109" s="24"/>
      <c r="I109" s="17"/>
      <c r="J109" s="24"/>
      <c r="K109" s="17"/>
      <c r="L109" s="24"/>
      <c r="M109" s="17"/>
      <c r="N109" s="17"/>
      <c r="O109" s="17"/>
      <c r="P109" s="24"/>
      <c r="Q109" s="17"/>
      <c r="R109" s="24"/>
      <c r="S109" s="24"/>
      <c r="T109" s="24"/>
      <c r="U109" s="24"/>
      <c r="V109" s="24"/>
      <c r="W109" s="24"/>
      <c r="X109" s="24"/>
      <c r="Y109" s="24"/>
      <c r="Z109" s="24"/>
      <c r="AA109" s="17"/>
      <c r="AB109" s="17"/>
      <c r="AC109" s="17"/>
      <c r="AD109" s="24"/>
      <c r="AE109" s="24"/>
      <c r="AF109" s="24"/>
      <c r="AG109" s="17"/>
      <c r="AH109" s="17"/>
      <c r="AI109" s="24"/>
      <c r="AJ109" s="24"/>
      <c r="AK109" s="24"/>
      <c r="AL109" s="24"/>
      <c r="AM109" s="24"/>
      <c r="AN109" s="24"/>
    </row>
    <row r="110" ht="15.75" customHeight="1">
      <c r="A110" s="24"/>
      <c r="B110" s="24"/>
      <c r="C110" s="24"/>
      <c r="D110" s="24"/>
      <c r="E110" s="24"/>
      <c r="F110" s="24"/>
      <c r="G110" s="40"/>
      <c r="H110" s="24"/>
      <c r="I110" s="17"/>
      <c r="J110" s="24"/>
      <c r="K110" s="17"/>
      <c r="L110" s="24"/>
      <c r="M110" s="17"/>
      <c r="N110" s="17"/>
      <c r="O110" s="17"/>
      <c r="P110" s="24"/>
      <c r="Q110" s="17"/>
      <c r="R110" s="24"/>
      <c r="S110" s="24"/>
      <c r="T110" s="24"/>
      <c r="U110" s="24"/>
      <c r="V110" s="24"/>
      <c r="W110" s="24"/>
      <c r="X110" s="24"/>
      <c r="Y110" s="24"/>
      <c r="Z110" s="24"/>
      <c r="AA110" s="17"/>
      <c r="AB110" s="17"/>
      <c r="AC110" s="17"/>
      <c r="AD110" s="24"/>
      <c r="AE110" s="24"/>
      <c r="AF110" s="24"/>
      <c r="AG110" s="17"/>
      <c r="AH110" s="17"/>
      <c r="AI110" s="24"/>
      <c r="AJ110" s="24"/>
      <c r="AK110" s="24"/>
      <c r="AL110" s="24"/>
      <c r="AM110" s="24"/>
      <c r="AN110" s="24"/>
    </row>
    <row r="111" ht="15.75" customHeight="1">
      <c r="A111" s="24"/>
      <c r="B111" s="24"/>
      <c r="C111" s="24"/>
      <c r="D111" s="24"/>
      <c r="E111" s="24"/>
      <c r="F111" s="24"/>
      <c r="G111" s="40"/>
      <c r="H111" s="24"/>
      <c r="I111" s="17"/>
      <c r="J111" s="24"/>
      <c r="K111" s="17"/>
      <c r="L111" s="24"/>
      <c r="M111" s="17"/>
      <c r="N111" s="17"/>
      <c r="O111" s="17"/>
      <c r="P111" s="24"/>
      <c r="Q111" s="17"/>
      <c r="R111" s="24"/>
      <c r="S111" s="24"/>
      <c r="T111" s="24"/>
      <c r="U111" s="24"/>
      <c r="V111" s="24"/>
      <c r="W111" s="24"/>
      <c r="X111" s="24"/>
      <c r="Y111" s="24"/>
      <c r="Z111" s="24"/>
      <c r="AA111" s="17"/>
      <c r="AB111" s="17"/>
      <c r="AC111" s="17"/>
      <c r="AD111" s="24"/>
      <c r="AE111" s="24"/>
      <c r="AF111" s="24"/>
      <c r="AG111" s="17"/>
      <c r="AH111" s="17"/>
      <c r="AI111" s="24"/>
      <c r="AJ111" s="24"/>
      <c r="AK111" s="24"/>
      <c r="AL111" s="24"/>
      <c r="AM111" s="24"/>
      <c r="AN111" s="24"/>
    </row>
    <row r="112" ht="15.75" customHeight="1">
      <c r="A112" s="24"/>
      <c r="B112" s="24"/>
      <c r="C112" s="24"/>
      <c r="D112" s="24"/>
      <c r="E112" s="24"/>
      <c r="F112" s="24"/>
      <c r="G112" s="40"/>
      <c r="H112" s="24"/>
      <c r="I112" s="17"/>
      <c r="J112" s="24"/>
      <c r="K112" s="17"/>
      <c r="L112" s="24"/>
      <c r="M112" s="17"/>
      <c r="N112" s="17"/>
      <c r="O112" s="17"/>
      <c r="P112" s="24"/>
      <c r="Q112" s="17"/>
      <c r="R112" s="24"/>
      <c r="S112" s="24"/>
      <c r="T112" s="24"/>
      <c r="U112" s="24"/>
      <c r="V112" s="24"/>
      <c r="W112" s="24"/>
      <c r="X112" s="24"/>
      <c r="Y112" s="24"/>
      <c r="Z112" s="24"/>
      <c r="AA112" s="17"/>
      <c r="AB112" s="17"/>
      <c r="AC112" s="17"/>
      <c r="AD112" s="24"/>
      <c r="AE112" s="24"/>
      <c r="AF112" s="24"/>
      <c r="AG112" s="17"/>
      <c r="AH112" s="17"/>
      <c r="AI112" s="24"/>
      <c r="AJ112" s="24"/>
      <c r="AK112" s="24"/>
      <c r="AL112" s="24"/>
      <c r="AM112" s="24"/>
      <c r="AN112" s="24"/>
    </row>
    <row r="113" ht="15.75" customHeight="1">
      <c r="A113" s="24"/>
      <c r="B113" s="24"/>
      <c r="C113" s="24"/>
      <c r="D113" s="24"/>
      <c r="E113" s="24"/>
      <c r="F113" s="24"/>
      <c r="G113" s="40"/>
      <c r="H113" s="24"/>
      <c r="I113" s="17"/>
      <c r="J113" s="24"/>
      <c r="K113" s="17"/>
      <c r="L113" s="24"/>
      <c r="M113" s="17"/>
      <c r="N113" s="17"/>
      <c r="O113" s="17"/>
      <c r="P113" s="24"/>
      <c r="Q113" s="17"/>
      <c r="R113" s="24"/>
      <c r="S113" s="24"/>
      <c r="T113" s="24"/>
      <c r="U113" s="24"/>
      <c r="V113" s="24"/>
      <c r="W113" s="24"/>
      <c r="X113" s="24"/>
      <c r="Y113" s="24"/>
      <c r="Z113" s="24"/>
      <c r="AA113" s="17"/>
      <c r="AB113" s="17"/>
      <c r="AC113" s="17"/>
      <c r="AD113" s="24"/>
      <c r="AE113" s="24"/>
      <c r="AF113" s="24"/>
      <c r="AG113" s="17"/>
      <c r="AH113" s="17"/>
      <c r="AI113" s="24"/>
      <c r="AJ113" s="24"/>
      <c r="AK113" s="24"/>
      <c r="AL113" s="24"/>
      <c r="AM113" s="24"/>
      <c r="AN113" s="24"/>
    </row>
    <row r="114" ht="15.75" customHeight="1">
      <c r="A114" s="24"/>
      <c r="B114" s="24"/>
      <c r="C114" s="24"/>
      <c r="D114" s="24"/>
      <c r="E114" s="24"/>
      <c r="F114" s="24"/>
      <c r="G114" s="40"/>
      <c r="H114" s="24"/>
      <c r="I114" s="17"/>
      <c r="J114" s="24"/>
      <c r="K114" s="17"/>
      <c r="L114" s="24"/>
      <c r="M114" s="17"/>
      <c r="N114" s="17"/>
      <c r="O114" s="17"/>
      <c r="P114" s="24"/>
      <c r="Q114" s="17"/>
      <c r="R114" s="24"/>
      <c r="S114" s="24"/>
      <c r="T114" s="24"/>
      <c r="U114" s="24"/>
      <c r="V114" s="24"/>
      <c r="W114" s="24"/>
      <c r="X114" s="24"/>
      <c r="Y114" s="24"/>
      <c r="Z114" s="24"/>
      <c r="AA114" s="17"/>
      <c r="AB114" s="17"/>
      <c r="AC114" s="17"/>
      <c r="AD114" s="24"/>
      <c r="AE114" s="24"/>
      <c r="AF114" s="24"/>
      <c r="AG114" s="17"/>
      <c r="AH114" s="17"/>
      <c r="AI114" s="24"/>
      <c r="AJ114" s="24"/>
      <c r="AK114" s="24"/>
      <c r="AL114" s="24"/>
      <c r="AM114" s="24"/>
      <c r="AN114" s="24"/>
    </row>
    <row r="115" ht="15.75" customHeight="1">
      <c r="A115" s="24"/>
      <c r="B115" s="24"/>
      <c r="C115" s="24"/>
      <c r="D115" s="24"/>
      <c r="E115" s="24"/>
      <c r="F115" s="24"/>
      <c r="G115" s="40"/>
      <c r="H115" s="24"/>
      <c r="I115" s="17"/>
      <c r="J115" s="24"/>
      <c r="K115" s="17"/>
      <c r="L115" s="24"/>
      <c r="M115" s="17"/>
      <c r="N115" s="17"/>
      <c r="O115" s="17"/>
      <c r="P115" s="24"/>
      <c r="Q115" s="17"/>
      <c r="R115" s="24"/>
      <c r="S115" s="24"/>
      <c r="T115" s="24"/>
      <c r="U115" s="24"/>
      <c r="V115" s="24"/>
      <c r="W115" s="24"/>
      <c r="X115" s="24"/>
      <c r="Y115" s="24"/>
      <c r="Z115" s="24"/>
      <c r="AA115" s="17"/>
      <c r="AB115" s="17"/>
      <c r="AC115" s="17"/>
      <c r="AD115" s="24"/>
      <c r="AE115" s="24"/>
      <c r="AF115" s="24"/>
      <c r="AG115" s="17"/>
      <c r="AH115" s="17"/>
      <c r="AI115" s="24"/>
      <c r="AJ115" s="24"/>
      <c r="AK115" s="24"/>
      <c r="AL115" s="24"/>
      <c r="AM115" s="24"/>
      <c r="AN115" s="24"/>
    </row>
    <row r="116" ht="15.75" customHeight="1">
      <c r="A116" s="24"/>
      <c r="B116" s="24"/>
      <c r="C116" s="24"/>
      <c r="D116" s="24"/>
      <c r="E116" s="24"/>
      <c r="F116" s="24"/>
      <c r="G116" s="40"/>
      <c r="H116" s="24"/>
      <c r="I116" s="17"/>
      <c r="J116" s="24"/>
      <c r="K116" s="17"/>
      <c r="L116" s="24"/>
      <c r="M116" s="17"/>
      <c r="N116" s="17"/>
      <c r="O116" s="17"/>
      <c r="P116" s="24"/>
      <c r="Q116" s="17"/>
      <c r="R116" s="24"/>
      <c r="S116" s="24"/>
      <c r="T116" s="24"/>
      <c r="U116" s="24"/>
      <c r="V116" s="24"/>
      <c r="W116" s="24"/>
      <c r="X116" s="24"/>
      <c r="Y116" s="24"/>
      <c r="Z116" s="24"/>
      <c r="AA116" s="17"/>
      <c r="AB116" s="17"/>
      <c r="AC116" s="17"/>
      <c r="AD116" s="24"/>
      <c r="AE116" s="24"/>
      <c r="AF116" s="24"/>
      <c r="AG116" s="17"/>
      <c r="AH116" s="17"/>
      <c r="AI116" s="24"/>
      <c r="AJ116" s="24"/>
      <c r="AK116" s="24"/>
      <c r="AL116" s="24"/>
      <c r="AM116" s="24"/>
      <c r="AN116" s="24"/>
    </row>
    <row r="117" ht="15.75" customHeight="1">
      <c r="A117" s="24"/>
      <c r="B117" s="24"/>
      <c r="C117" s="24"/>
      <c r="D117" s="24"/>
      <c r="E117" s="24"/>
      <c r="F117" s="24"/>
      <c r="G117" s="40"/>
      <c r="H117" s="24"/>
      <c r="I117" s="17"/>
      <c r="J117" s="24"/>
      <c r="K117" s="17"/>
      <c r="L117" s="24"/>
      <c r="M117" s="17"/>
      <c r="N117" s="17"/>
      <c r="O117" s="17"/>
      <c r="P117" s="24"/>
      <c r="Q117" s="17"/>
      <c r="R117" s="24"/>
      <c r="S117" s="24"/>
      <c r="T117" s="24"/>
      <c r="U117" s="24"/>
      <c r="V117" s="24"/>
      <c r="W117" s="24"/>
      <c r="X117" s="24"/>
      <c r="Y117" s="24"/>
      <c r="Z117" s="24"/>
      <c r="AA117" s="17"/>
      <c r="AB117" s="17"/>
      <c r="AC117" s="17"/>
      <c r="AD117" s="24"/>
      <c r="AE117" s="24"/>
      <c r="AF117" s="24"/>
      <c r="AG117" s="17"/>
      <c r="AH117" s="17"/>
      <c r="AI117" s="24"/>
      <c r="AJ117" s="24"/>
      <c r="AK117" s="24"/>
      <c r="AL117" s="24"/>
      <c r="AM117" s="24"/>
      <c r="AN117" s="24"/>
    </row>
    <row r="118" ht="15.75" customHeight="1">
      <c r="A118" s="24"/>
      <c r="B118" s="24"/>
      <c r="C118" s="24"/>
      <c r="D118" s="24"/>
      <c r="E118" s="24"/>
      <c r="F118" s="24"/>
      <c r="G118" s="40"/>
      <c r="H118" s="24"/>
      <c r="I118" s="17"/>
      <c r="J118" s="24"/>
      <c r="K118" s="17"/>
      <c r="L118" s="24"/>
      <c r="M118" s="17"/>
      <c r="N118" s="17"/>
      <c r="O118" s="17"/>
      <c r="P118" s="24"/>
      <c r="Q118" s="17"/>
      <c r="R118" s="24"/>
      <c r="S118" s="24"/>
      <c r="T118" s="24"/>
      <c r="U118" s="24"/>
      <c r="V118" s="24"/>
      <c r="W118" s="24"/>
      <c r="X118" s="24"/>
      <c r="Y118" s="24"/>
      <c r="Z118" s="24"/>
      <c r="AA118" s="17"/>
      <c r="AB118" s="17"/>
      <c r="AC118" s="17"/>
      <c r="AD118" s="24"/>
      <c r="AE118" s="24"/>
      <c r="AF118" s="24"/>
      <c r="AG118" s="17"/>
      <c r="AH118" s="17"/>
      <c r="AI118" s="24"/>
      <c r="AJ118" s="24"/>
      <c r="AK118" s="24"/>
      <c r="AL118" s="24"/>
      <c r="AM118" s="24"/>
      <c r="AN118" s="24"/>
    </row>
    <row r="119" ht="15.75" customHeight="1">
      <c r="A119" s="24"/>
      <c r="B119" s="24"/>
      <c r="C119" s="24"/>
      <c r="D119" s="24"/>
      <c r="E119" s="24"/>
      <c r="F119" s="24"/>
      <c r="G119" s="40"/>
      <c r="H119" s="24"/>
      <c r="I119" s="17"/>
      <c r="J119" s="24"/>
      <c r="K119" s="17"/>
      <c r="L119" s="24"/>
      <c r="M119" s="17"/>
      <c r="N119" s="17"/>
      <c r="O119" s="17"/>
      <c r="P119" s="24"/>
      <c r="Q119" s="17"/>
      <c r="R119" s="24"/>
      <c r="S119" s="24"/>
      <c r="T119" s="24"/>
      <c r="U119" s="24"/>
      <c r="V119" s="24"/>
      <c r="W119" s="24"/>
      <c r="X119" s="24"/>
      <c r="Y119" s="24"/>
      <c r="Z119" s="24"/>
      <c r="AA119" s="17"/>
      <c r="AB119" s="17"/>
      <c r="AC119" s="17"/>
      <c r="AD119" s="24"/>
      <c r="AE119" s="24"/>
      <c r="AF119" s="24"/>
      <c r="AG119" s="17"/>
      <c r="AH119" s="17"/>
      <c r="AI119" s="24"/>
      <c r="AJ119" s="24"/>
      <c r="AK119" s="24"/>
      <c r="AL119" s="24"/>
      <c r="AM119" s="24"/>
      <c r="AN119" s="24"/>
    </row>
    <row r="120" ht="15.75" customHeight="1">
      <c r="A120" s="24"/>
      <c r="B120" s="24"/>
      <c r="C120" s="24"/>
      <c r="D120" s="24"/>
      <c r="E120" s="24"/>
      <c r="F120" s="24"/>
      <c r="G120" s="40"/>
      <c r="H120" s="24"/>
      <c r="I120" s="17"/>
      <c r="J120" s="24"/>
      <c r="K120" s="17"/>
      <c r="L120" s="24"/>
      <c r="M120" s="17"/>
      <c r="N120" s="17"/>
      <c r="O120" s="17"/>
      <c r="P120" s="24"/>
      <c r="Q120" s="17"/>
      <c r="R120" s="24"/>
      <c r="S120" s="24"/>
      <c r="T120" s="24"/>
      <c r="U120" s="24"/>
      <c r="V120" s="24"/>
      <c r="W120" s="24"/>
      <c r="X120" s="24"/>
      <c r="Y120" s="24"/>
      <c r="Z120" s="24"/>
      <c r="AA120" s="17"/>
      <c r="AB120" s="17"/>
      <c r="AC120" s="17"/>
      <c r="AD120" s="24"/>
      <c r="AE120" s="24"/>
      <c r="AF120" s="24"/>
      <c r="AG120" s="17"/>
      <c r="AH120" s="17"/>
      <c r="AI120" s="24"/>
      <c r="AJ120" s="24"/>
      <c r="AK120" s="24"/>
      <c r="AL120" s="24"/>
      <c r="AM120" s="24"/>
      <c r="AN120" s="24"/>
    </row>
    <row r="121" ht="15.75" customHeight="1">
      <c r="A121" s="24"/>
      <c r="B121" s="24"/>
      <c r="C121" s="24"/>
      <c r="D121" s="24"/>
      <c r="E121" s="24"/>
      <c r="F121" s="24"/>
      <c r="G121" s="40"/>
      <c r="H121" s="24"/>
      <c r="I121" s="17"/>
      <c r="J121" s="24"/>
      <c r="K121" s="17"/>
      <c r="L121" s="24"/>
      <c r="M121" s="17"/>
      <c r="N121" s="17"/>
      <c r="O121" s="17"/>
      <c r="P121" s="24"/>
      <c r="Q121" s="17"/>
      <c r="R121" s="24"/>
      <c r="S121" s="24"/>
      <c r="T121" s="24"/>
      <c r="U121" s="24"/>
      <c r="V121" s="24"/>
      <c r="W121" s="24"/>
      <c r="X121" s="24"/>
      <c r="Y121" s="24"/>
      <c r="Z121" s="24"/>
      <c r="AA121" s="17"/>
      <c r="AB121" s="17"/>
      <c r="AC121" s="17"/>
      <c r="AD121" s="24"/>
      <c r="AE121" s="24"/>
      <c r="AF121" s="24"/>
      <c r="AG121" s="17"/>
      <c r="AH121" s="17"/>
      <c r="AI121" s="24"/>
      <c r="AJ121" s="24"/>
      <c r="AK121" s="24"/>
      <c r="AL121" s="24"/>
      <c r="AM121" s="24"/>
      <c r="AN121" s="24"/>
    </row>
    <row r="122" ht="15.75" customHeight="1">
      <c r="A122" s="24"/>
      <c r="B122" s="24"/>
      <c r="C122" s="24"/>
      <c r="D122" s="24"/>
      <c r="E122" s="24"/>
      <c r="F122" s="24"/>
      <c r="G122" s="40"/>
      <c r="H122" s="24"/>
      <c r="I122" s="17"/>
      <c r="J122" s="24"/>
      <c r="K122" s="17"/>
      <c r="L122" s="24"/>
      <c r="M122" s="17"/>
      <c r="N122" s="17"/>
      <c r="O122" s="17"/>
      <c r="P122" s="24"/>
      <c r="Q122" s="17"/>
      <c r="R122" s="24"/>
      <c r="S122" s="24"/>
      <c r="T122" s="24"/>
      <c r="U122" s="24"/>
      <c r="V122" s="24"/>
      <c r="W122" s="24"/>
      <c r="X122" s="24"/>
      <c r="Y122" s="24"/>
      <c r="Z122" s="24"/>
      <c r="AA122" s="17"/>
      <c r="AB122" s="17"/>
      <c r="AC122" s="17"/>
      <c r="AD122" s="24"/>
      <c r="AE122" s="24"/>
      <c r="AF122" s="24"/>
      <c r="AG122" s="17"/>
      <c r="AH122" s="17"/>
      <c r="AI122" s="24"/>
      <c r="AJ122" s="24"/>
      <c r="AK122" s="24"/>
      <c r="AL122" s="24"/>
      <c r="AM122" s="24"/>
      <c r="AN122" s="24"/>
    </row>
    <row r="123" ht="15.75" customHeight="1">
      <c r="A123" s="24"/>
      <c r="B123" s="24"/>
      <c r="C123" s="24"/>
      <c r="D123" s="24"/>
      <c r="E123" s="24"/>
      <c r="F123" s="24"/>
      <c r="G123" s="40"/>
      <c r="H123" s="24"/>
      <c r="I123" s="17"/>
      <c r="J123" s="24"/>
      <c r="K123" s="17"/>
      <c r="L123" s="24"/>
      <c r="M123" s="17"/>
      <c r="N123" s="17"/>
      <c r="O123" s="17"/>
      <c r="P123" s="24"/>
      <c r="Q123" s="17"/>
      <c r="R123" s="24"/>
      <c r="S123" s="24"/>
      <c r="T123" s="24"/>
      <c r="U123" s="24"/>
      <c r="V123" s="24"/>
      <c r="W123" s="24"/>
      <c r="X123" s="24"/>
      <c r="Y123" s="24"/>
      <c r="Z123" s="24"/>
      <c r="AA123" s="17"/>
      <c r="AB123" s="17"/>
      <c r="AC123" s="17"/>
      <c r="AD123" s="24"/>
      <c r="AE123" s="24"/>
      <c r="AF123" s="24"/>
      <c r="AG123" s="17"/>
      <c r="AH123" s="17"/>
      <c r="AI123" s="24"/>
      <c r="AJ123" s="24"/>
      <c r="AK123" s="24"/>
      <c r="AL123" s="24"/>
      <c r="AM123" s="24"/>
      <c r="AN123" s="24"/>
    </row>
    <row r="124" ht="15.75" customHeight="1">
      <c r="A124" s="24"/>
      <c r="B124" s="24"/>
      <c r="C124" s="24"/>
      <c r="D124" s="24"/>
      <c r="E124" s="24"/>
      <c r="F124" s="24"/>
      <c r="G124" s="40"/>
      <c r="H124" s="24"/>
      <c r="I124" s="17"/>
      <c r="J124" s="24"/>
      <c r="K124" s="17"/>
      <c r="L124" s="24"/>
      <c r="M124" s="17"/>
      <c r="N124" s="17"/>
      <c r="O124" s="17"/>
      <c r="P124" s="24"/>
      <c r="Q124" s="17"/>
      <c r="R124" s="24"/>
      <c r="S124" s="24"/>
      <c r="T124" s="24"/>
      <c r="U124" s="24"/>
      <c r="V124" s="24"/>
      <c r="W124" s="24"/>
      <c r="X124" s="24"/>
      <c r="Y124" s="24"/>
      <c r="Z124" s="24"/>
      <c r="AA124" s="17"/>
      <c r="AB124" s="17"/>
      <c r="AC124" s="17"/>
      <c r="AD124" s="24"/>
      <c r="AE124" s="24"/>
      <c r="AF124" s="24"/>
      <c r="AG124" s="17"/>
      <c r="AH124" s="17"/>
      <c r="AI124" s="24"/>
      <c r="AJ124" s="24"/>
      <c r="AK124" s="24"/>
      <c r="AL124" s="24"/>
      <c r="AM124" s="24"/>
      <c r="AN124" s="24"/>
    </row>
    <row r="125" ht="15.75" customHeight="1">
      <c r="A125" s="24"/>
      <c r="B125" s="24"/>
      <c r="C125" s="24"/>
      <c r="D125" s="24"/>
      <c r="E125" s="24"/>
      <c r="F125" s="24"/>
      <c r="G125" s="40"/>
      <c r="H125" s="24"/>
      <c r="I125" s="17"/>
      <c r="J125" s="24"/>
      <c r="K125" s="17"/>
      <c r="L125" s="24"/>
      <c r="M125" s="17"/>
      <c r="N125" s="17"/>
      <c r="O125" s="17"/>
      <c r="P125" s="24"/>
      <c r="Q125" s="17"/>
      <c r="R125" s="24"/>
      <c r="S125" s="24"/>
      <c r="T125" s="24"/>
      <c r="U125" s="24"/>
      <c r="V125" s="24"/>
      <c r="W125" s="24"/>
      <c r="X125" s="24"/>
      <c r="Y125" s="24"/>
      <c r="Z125" s="24"/>
      <c r="AA125" s="17"/>
      <c r="AB125" s="17"/>
      <c r="AC125" s="17"/>
      <c r="AD125" s="24"/>
      <c r="AE125" s="24"/>
      <c r="AF125" s="24"/>
      <c r="AG125" s="17"/>
      <c r="AH125" s="17"/>
      <c r="AI125" s="24"/>
      <c r="AJ125" s="24"/>
      <c r="AK125" s="24"/>
      <c r="AL125" s="24"/>
      <c r="AM125" s="24"/>
      <c r="AN125" s="24"/>
    </row>
    <row r="126" ht="15.75" customHeight="1">
      <c r="A126" s="24"/>
      <c r="B126" s="24"/>
      <c r="C126" s="24"/>
      <c r="D126" s="24"/>
      <c r="E126" s="24"/>
      <c r="F126" s="24"/>
      <c r="G126" s="40"/>
      <c r="H126" s="24"/>
      <c r="I126" s="17"/>
      <c r="J126" s="24"/>
      <c r="K126" s="17"/>
      <c r="L126" s="24"/>
      <c r="M126" s="17"/>
      <c r="N126" s="17"/>
      <c r="O126" s="17"/>
      <c r="P126" s="24"/>
      <c r="Q126" s="17"/>
      <c r="R126" s="24"/>
      <c r="S126" s="24"/>
      <c r="T126" s="24"/>
      <c r="U126" s="24"/>
      <c r="V126" s="24"/>
      <c r="W126" s="24"/>
      <c r="X126" s="24"/>
      <c r="Y126" s="24"/>
      <c r="Z126" s="24"/>
      <c r="AA126" s="17"/>
      <c r="AB126" s="17"/>
      <c r="AC126" s="17"/>
      <c r="AD126" s="24"/>
      <c r="AE126" s="24"/>
      <c r="AF126" s="24"/>
      <c r="AG126" s="17"/>
      <c r="AH126" s="17"/>
      <c r="AI126" s="24"/>
      <c r="AJ126" s="24"/>
      <c r="AK126" s="24"/>
      <c r="AL126" s="24"/>
      <c r="AM126" s="24"/>
      <c r="AN126" s="24"/>
    </row>
    <row r="127" ht="15.75" customHeight="1">
      <c r="A127" s="24"/>
      <c r="B127" s="24"/>
      <c r="C127" s="24"/>
      <c r="D127" s="24"/>
      <c r="E127" s="24"/>
      <c r="F127" s="24"/>
      <c r="G127" s="40"/>
      <c r="H127" s="24"/>
      <c r="I127" s="17"/>
      <c r="J127" s="24"/>
      <c r="K127" s="17"/>
      <c r="L127" s="24"/>
      <c r="M127" s="17"/>
      <c r="N127" s="17"/>
      <c r="O127" s="17"/>
      <c r="P127" s="24"/>
      <c r="Q127" s="17"/>
      <c r="R127" s="24"/>
      <c r="S127" s="24"/>
      <c r="T127" s="24"/>
      <c r="U127" s="24"/>
      <c r="V127" s="24"/>
      <c r="W127" s="24"/>
      <c r="X127" s="24"/>
      <c r="Y127" s="24"/>
      <c r="Z127" s="24"/>
      <c r="AA127" s="17"/>
      <c r="AB127" s="17"/>
      <c r="AC127" s="17"/>
      <c r="AD127" s="24"/>
      <c r="AE127" s="24"/>
      <c r="AF127" s="24"/>
      <c r="AG127" s="17"/>
      <c r="AH127" s="17"/>
      <c r="AI127" s="24"/>
      <c r="AJ127" s="24"/>
      <c r="AK127" s="24"/>
      <c r="AL127" s="24"/>
      <c r="AM127" s="24"/>
      <c r="AN127" s="24"/>
    </row>
    <row r="128" ht="15.75" customHeight="1">
      <c r="A128" s="24"/>
      <c r="B128" s="24"/>
      <c r="C128" s="24"/>
      <c r="D128" s="24"/>
      <c r="E128" s="24"/>
      <c r="F128" s="24"/>
      <c r="G128" s="40"/>
      <c r="H128" s="24"/>
      <c r="I128" s="17"/>
      <c r="J128" s="24"/>
      <c r="K128" s="17"/>
      <c r="L128" s="24"/>
      <c r="M128" s="17"/>
      <c r="N128" s="17"/>
      <c r="O128" s="17"/>
      <c r="P128" s="24"/>
      <c r="Q128" s="17"/>
      <c r="R128" s="24"/>
      <c r="S128" s="24"/>
      <c r="T128" s="24"/>
      <c r="U128" s="24"/>
      <c r="V128" s="24"/>
      <c r="W128" s="24"/>
      <c r="X128" s="24"/>
      <c r="Y128" s="24"/>
      <c r="Z128" s="24"/>
      <c r="AA128" s="17"/>
      <c r="AB128" s="17"/>
      <c r="AC128" s="17"/>
      <c r="AD128" s="24"/>
      <c r="AE128" s="24"/>
      <c r="AF128" s="24"/>
      <c r="AG128" s="17"/>
      <c r="AH128" s="17"/>
      <c r="AI128" s="24"/>
      <c r="AJ128" s="24"/>
      <c r="AK128" s="24"/>
      <c r="AL128" s="24"/>
      <c r="AM128" s="24"/>
      <c r="AN128" s="24"/>
    </row>
    <row r="129" ht="15.75" customHeight="1">
      <c r="A129" s="24"/>
      <c r="B129" s="24"/>
      <c r="C129" s="24"/>
      <c r="D129" s="24"/>
      <c r="E129" s="24"/>
      <c r="F129" s="24"/>
      <c r="G129" s="40"/>
      <c r="H129" s="24"/>
      <c r="I129" s="17"/>
      <c r="J129" s="24"/>
      <c r="K129" s="17"/>
      <c r="L129" s="24"/>
      <c r="M129" s="17"/>
      <c r="N129" s="17"/>
      <c r="O129" s="17"/>
      <c r="P129" s="24"/>
      <c r="Q129" s="17"/>
      <c r="R129" s="24"/>
      <c r="S129" s="24"/>
      <c r="T129" s="24"/>
      <c r="U129" s="24"/>
      <c r="V129" s="24"/>
      <c r="W129" s="24"/>
      <c r="X129" s="24"/>
      <c r="Y129" s="24"/>
      <c r="Z129" s="24"/>
      <c r="AA129" s="17"/>
      <c r="AB129" s="17"/>
      <c r="AC129" s="17"/>
      <c r="AD129" s="24"/>
      <c r="AE129" s="24"/>
      <c r="AF129" s="24"/>
      <c r="AG129" s="17"/>
      <c r="AH129" s="17"/>
      <c r="AI129" s="24"/>
      <c r="AJ129" s="24"/>
      <c r="AK129" s="24"/>
      <c r="AL129" s="24"/>
      <c r="AM129" s="24"/>
      <c r="AN129" s="24"/>
    </row>
    <row r="130" ht="15.75" customHeight="1">
      <c r="A130" s="24"/>
      <c r="B130" s="24"/>
      <c r="C130" s="24"/>
      <c r="D130" s="24"/>
      <c r="E130" s="24"/>
      <c r="F130" s="24"/>
      <c r="G130" s="40"/>
      <c r="H130" s="24"/>
      <c r="I130" s="17"/>
      <c r="J130" s="24"/>
      <c r="K130" s="17"/>
      <c r="L130" s="24"/>
      <c r="M130" s="17"/>
      <c r="N130" s="17"/>
      <c r="O130" s="17"/>
      <c r="P130" s="24"/>
      <c r="Q130" s="17"/>
      <c r="R130" s="24"/>
      <c r="S130" s="24"/>
      <c r="T130" s="24"/>
      <c r="U130" s="24"/>
      <c r="V130" s="24"/>
      <c r="W130" s="24"/>
      <c r="X130" s="24"/>
      <c r="Y130" s="24"/>
      <c r="Z130" s="24"/>
      <c r="AA130" s="17"/>
      <c r="AB130" s="17"/>
      <c r="AC130" s="17"/>
      <c r="AD130" s="24"/>
      <c r="AE130" s="24"/>
      <c r="AF130" s="24"/>
      <c r="AG130" s="17"/>
      <c r="AH130" s="17"/>
      <c r="AI130" s="24"/>
      <c r="AJ130" s="24"/>
      <c r="AK130" s="24"/>
      <c r="AL130" s="24"/>
      <c r="AM130" s="24"/>
      <c r="AN130" s="24"/>
    </row>
    <row r="131" ht="15.75" customHeight="1">
      <c r="A131" s="24"/>
      <c r="B131" s="24"/>
      <c r="C131" s="24"/>
      <c r="D131" s="24"/>
      <c r="E131" s="24"/>
      <c r="F131" s="24"/>
      <c r="G131" s="40"/>
      <c r="H131" s="24"/>
      <c r="I131" s="17"/>
      <c r="J131" s="24"/>
      <c r="K131" s="17"/>
      <c r="L131" s="24"/>
      <c r="M131" s="17"/>
      <c r="N131" s="17"/>
      <c r="O131" s="17"/>
      <c r="P131" s="24"/>
      <c r="Q131" s="17"/>
      <c r="R131" s="24"/>
      <c r="S131" s="24"/>
      <c r="T131" s="24"/>
      <c r="U131" s="24"/>
      <c r="V131" s="24"/>
      <c r="W131" s="24"/>
      <c r="X131" s="24"/>
      <c r="Y131" s="24"/>
      <c r="Z131" s="24"/>
      <c r="AA131" s="17"/>
      <c r="AB131" s="17"/>
      <c r="AC131" s="17"/>
      <c r="AD131" s="24"/>
      <c r="AE131" s="24"/>
      <c r="AF131" s="24"/>
      <c r="AG131" s="17"/>
      <c r="AH131" s="17"/>
      <c r="AI131" s="24"/>
      <c r="AJ131" s="24"/>
      <c r="AK131" s="24"/>
      <c r="AL131" s="24"/>
      <c r="AM131" s="24"/>
      <c r="AN131" s="24"/>
    </row>
    <row r="132" ht="15.75" customHeight="1">
      <c r="A132" s="24"/>
      <c r="B132" s="24"/>
      <c r="C132" s="24"/>
      <c r="D132" s="24"/>
      <c r="E132" s="24"/>
      <c r="F132" s="24"/>
      <c r="G132" s="40"/>
      <c r="H132" s="24"/>
      <c r="I132" s="17"/>
      <c r="J132" s="24"/>
      <c r="K132" s="17"/>
      <c r="L132" s="24"/>
      <c r="M132" s="17"/>
      <c r="N132" s="17"/>
      <c r="O132" s="17"/>
      <c r="P132" s="24"/>
      <c r="Q132" s="17"/>
      <c r="R132" s="24"/>
      <c r="S132" s="24"/>
      <c r="T132" s="24"/>
      <c r="U132" s="24"/>
      <c r="V132" s="24"/>
      <c r="W132" s="24"/>
      <c r="X132" s="24"/>
      <c r="Y132" s="24"/>
      <c r="Z132" s="24"/>
      <c r="AA132" s="17"/>
      <c r="AB132" s="17"/>
      <c r="AC132" s="17"/>
      <c r="AD132" s="24"/>
      <c r="AE132" s="24"/>
      <c r="AF132" s="24"/>
      <c r="AG132" s="17"/>
      <c r="AH132" s="17"/>
      <c r="AI132" s="24"/>
      <c r="AJ132" s="24"/>
      <c r="AK132" s="24"/>
      <c r="AL132" s="24"/>
      <c r="AM132" s="24"/>
      <c r="AN132" s="24"/>
    </row>
    <row r="133" ht="15.75" customHeight="1">
      <c r="A133" s="24"/>
      <c r="B133" s="24"/>
      <c r="C133" s="24"/>
      <c r="D133" s="24"/>
      <c r="E133" s="24"/>
      <c r="F133" s="24"/>
      <c r="G133" s="40"/>
      <c r="H133" s="24"/>
      <c r="I133" s="17"/>
      <c r="J133" s="24"/>
      <c r="K133" s="17"/>
      <c r="L133" s="24"/>
      <c r="M133" s="17"/>
      <c r="N133" s="17"/>
      <c r="O133" s="17"/>
      <c r="P133" s="24"/>
      <c r="Q133" s="17"/>
      <c r="R133" s="24"/>
      <c r="S133" s="24"/>
      <c r="T133" s="24"/>
      <c r="U133" s="24"/>
      <c r="V133" s="24"/>
      <c r="W133" s="24"/>
      <c r="X133" s="24"/>
      <c r="Y133" s="24"/>
      <c r="Z133" s="24"/>
      <c r="AA133" s="17"/>
      <c r="AB133" s="17"/>
      <c r="AC133" s="17"/>
      <c r="AD133" s="24"/>
      <c r="AE133" s="24"/>
      <c r="AF133" s="24"/>
      <c r="AG133" s="17"/>
      <c r="AH133" s="17"/>
      <c r="AI133" s="24"/>
      <c r="AJ133" s="24"/>
      <c r="AK133" s="24"/>
      <c r="AL133" s="24"/>
      <c r="AM133" s="24"/>
      <c r="AN133" s="24"/>
    </row>
    <row r="134" ht="15.75" customHeight="1">
      <c r="A134" s="24"/>
      <c r="B134" s="24"/>
      <c r="C134" s="24"/>
      <c r="D134" s="24"/>
      <c r="E134" s="24"/>
      <c r="F134" s="24"/>
      <c r="G134" s="40"/>
      <c r="H134" s="24"/>
      <c r="I134" s="17"/>
      <c r="J134" s="24"/>
      <c r="K134" s="17"/>
      <c r="L134" s="24"/>
      <c r="M134" s="17"/>
      <c r="N134" s="17"/>
      <c r="O134" s="17"/>
      <c r="P134" s="24"/>
      <c r="Q134" s="17"/>
      <c r="R134" s="24"/>
      <c r="S134" s="24"/>
      <c r="T134" s="24"/>
      <c r="U134" s="24"/>
      <c r="V134" s="24"/>
      <c r="W134" s="24"/>
      <c r="X134" s="24"/>
      <c r="Y134" s="24"/>
      <c r="Z134" s="24"/>
      <c r="AA134" s="17"/>
      <c r="AB134" s="17"/>
      <c r="AC134" s="17"/>
      <c r="AD134" s="24"/>
      <c r="AE134" s="24"/>
      <c r="AF134" s="24"/>
      <c r="AG134" s="17"/>
      <c r="AH134" s="17"/>
      <c r="AI134" s="24"/>
      <c r="AJ134" s="24"/>
      <c r="AK134" s="24"/>
      <c r="AL134" s="24"/>
      <c r="AM134" s="24"/>
      <c r="AN134" s="24"/>
    </row>
    <row r="135" ht="15.75" customHeight="1">
      <c r="A135" s="24"/>
      <c r="B135" s="24"/>
      <c r="C135" s="24"/>
      <c r="D135" s="24"/>
      <c r="E135" s="24"/>
      <c r="F135" s="24"/>
      <c r="G135" s="40"/>
      <c r="H135" s="24"/>
      <c r="I135" s="17"/>
      <c r="J135" s="24"/>
      <c r="K135" s="17"/>
      <c r="L135" s="24"/>
      <c r="M135" s="17"/>
      <c r="N135" s="17"/>
      <c r="O135" s="17"/>
      <c r="P135" s="24"/>
      <c r="Q135" s="17"/>
      <c r="R135" s="24"/>
      <c r="S135" s="24"/>
      <c r="T135" s="24"/>
      <c r="U135" s="24"/>
      <c r="V135" s="24"/>
      <c r="W135" s="24"/>
      <c r="X135" s="24"/>
      <c r="Y135" s="24"/>
      <c r="Z135" s="24"/>
      <c r="AA135" s="17"/>
      <c r="AB135" s="17"/>
      <c r="AC135" s="17"/>
      <c r="AD135" s="24"/>
      <c r="AE135" s="24"/>
      <c r="AF135" s="24"/>
      <c r="AG135" s="17"/>
      <c r="AH135" s="17"/>
      <c r="AI135" s="24"/>
      <c r="AJ135" s="24"/>
      <c r="AK135" s="24"/>
      <c r="AL135" s="24"/>
      <c r="AM135" s="24"/>
      <c r="AN135" s="24"/>
    </row>
    <row r="136" ht="15.75" customHeight="1">
      <c r="A136" s="24"/>
      <c r="B136" s="24"/>
      <c r="C136" s="24"/>
      <c r="D136" s="24"/>
      <c r="E136" s="24"/>
      <c r="F136" s="24"/>
      <c r="G136" s="40"/>
      <c r="H136" s="24"/>
      <c r="I136" s="17"/>
      <c r="J136" s="24"/>
      <c r="K136" s="17"/>
      <c r="L136" s="24"/>
      <c r="M136" s="17"/>
      <c r="N136" s="17"/>
      <c r="O136" s="17"/>
      <c r="P136" s="24"/>
      <c r="Q136" s="17"/>
      <c r="R136" s="24"/>
      <c r="S136" s="24"/>
      <c r="T136" s="24"/>
      <c r="U136" s="24"/>
      <c r="V136" s="24"/>
      <c r="W136" s="24"/>
      <c r="X136" s="24"/>
      <c r="Y136" s="24"/>
      <c r="Z136" s="24"/>
      <c r="AA136" s="17"/>
      <c r="AB136" s="17"/>
      <c r="AC136" s="17"/>
      <c r="AD136" s="24"/>
      <c r="AE136" s="24"/>
      <c r="AF136" s="24"/>
      <c r="AG136" s="17"/>
      <c r="AH136" s="17"/>
      <c r="AI136" s="24"/>
      <c r="AJ136" s="24"/>
      <c r="AK136" s="24"/>
      <c r="AL136" s="24"/>
      <c r="AM136" s="24"/>
      <c r="AN136" s="24"/>
    </row>
    <row r="137" ht="15.75" customHeight="1">
      <c r="A137" s="24"/>
      <c r="B137" s="24"/>
      <c r="C137" s="24"/>
      <c r="D137" s="24"/>
      <c r="E137" s="24"/>
      <c r="F137" s="24"/>
      <c r="G137" s="40"/>
      <c r="H137" s="24"/>
      <c r="I137" s="17"/>
      <c r="J137" s="24"/>
      <c r="K137" s="17"/>
      <c r="L137" s="24"/>
      <c r="M137" s="17"/>
      <c r="N137" s="17"/>
      <c r="O137" s="17"/>
      <c r="P137" s="24"/>
      <c r="Q137" s="17"/>
      <c r="R137" s="24"/>
      <c r="S137" s="24"/>
      <c r="T137" s="24"/>
      <c r="U137" s="24"/>
      <c r="V137" s="24"/>
      <c r="W137" s="24"/>
      <c r="X137" s="24"/>
      <c r="Y137" s="24"/>
      <c r="Z137" s="24"/>
      <c r="AA137" s="17"/>
      <c r="AB137" s="17"/>
      <c r="AC137" s="17"/>
      <c r="AD137" s="24"/>
      <c r="AE137" s="24"/>
      <c r="AF137" s="24"/>
      <c r="AG137" s="17"/>
      <c r="AH137" s="17"/>
      <c r="AI137" s="24"/>
      <c r="AJ137" s="24"/>
      <c r="AK137" s="24"/>
      <c r="AL137" s="24"/>
      <c r="AM137" s="24"/>
      <c r="AN137" s="24"/>
    </row>
    <row r="138" ht="15.75" customHeight="1">
      <c r="A138" s="24"/>
      <c r="B138" s="24"/>
      <c r="C138" s="24"/>
      <c r="D138" s="24"/>
      <c r="E138" s="24"/>
      <c r="F138" s="24"/>
      <c r="G138" s="40"/>
      <c r="H138" s="24"/>
      <c r="I138" s="17"/>
      <c r="J138" s="24"/>
      <c r="K138" s="17"/>
      <c r="L138" s="24"/>
      <c r="M138" s="17"/>
      <c r="N138" s="17"/>
      <c r="O138" s="17"/>
      <c r="P138" s="24"/>
      <c r="Q138" s="17"/>
      <c r="R138" s="24"/>
      <c r="S138" s="24"/>
      <c r="T138" s="24"/>
      <c r="U138" s="24"/>
      <c r="V138" s="24"/>
      <c r="W138" s="24"/>
      <c r="X138" s="24"/>
      <c r="Y138" s="24"/>
      <c r="Z138" s="24"/>
      <c r="AA138" s="17"/>
      <c r="AB138" s="17"/>
      <c r="AC138" s="17"/>
      <c r="AD138" s="24"/>
      <c r="AE138" s="24"/>
      <c r="AF138" s="24"/>
      <c r="AG138" s="17"/>
      <c r="AH138" s="17"/>
      <c r="AI138" s="24"/>
      <c r="AJ138" s="24"/>
      <c r="AK138" s="24"/>
      <c r="AL138" s="24"/>
      <c r="AM138" s="24"/>
      <c r="AN138" s="24"/>
    </row>
    <row r="139" ht="15.75" customHeight="1">
      <c r="A139" s="24"/>
      <c r="B139" s="24"/>
      <c r="C139" s="24"/>
      <c r="D139" s="24"/>
      <c r="E139" s="24"/>
      <c r="F139" s="24"/>
      <c r="G139" s="40"/>
      <c r="H139" s="24"/>
      <c r="I139" s="17"/>
      <c r="J139" s="24"/>
      <c r="K139" s="17"/>
      <c r="L139" s="24"/>
      <c r="M139" s="17"/>
      <c r="N139" s="17"/>
      <c r="O139" s="17"/>
      <c r="P139" s="24"/>
      <c r="Q139" s="17"/>
      <c r="R139" s="24"/>
      <c r="S139" s="24"/>
      <c r="T139" s="24"/>
      <c r="U139" s="24"/>
      <c r="V139" s="24"/>
      <c r="W139" s="24"/>
      <c r="X139" s="24"/>
      <c r="Y139" s="24"/>
      <c r="Z139" s="24"/>
      <c r="AA139" s="17"/>
      <c r="AB139" s="17"/>
      <c r="AC139" s="17"/>
      <c r="AD139" s="24"/>
      <c r="AE139" s="24"/>
      <c r="AF139" s="24"/>
      <c r="AG139" s="17"/>
      <c r="AH139" s="17"/>
      <c r="AI139" s="24"/>
      <c r="AJ139" s="24"/>
      <c r="AK139" s="24"/>
      <c r="AL139" s="24"/>
      <c r="AM139" s="24"/>
      <c r="AN139" s="24"/>
    </row>
    <row r="140" ht="15.75" customHeight="1">
      <c r="A140" s="24"/>
      <c r="B140" s="24"/>
      <c r="C140" s="24"/>
      <c r="D140" s="24"/>
      <c r="E140" s="24"/>
      <c r="F140" s="24"/>
      <c r="G140" s="40"/>
      <c r="H140" s="24"/>
      <c r="I140" s="17"/>
      <c r="J140" s="24"/>
      <c r="K140" s="17"/>
      <c r="L140" s="24"/>
      <c r="M140" s="17"/>
      <c r="N140" s="17"/>
      <c r="O140" s="17"/>
      <c r="P140" s="24"/>
      <c r="Q140" s="17"/>
      <c r="R140" s="24"/>
      <c r="S140" s="24"/>
      <c r="T140" s="24"/>
      <c r="U140" s="24"/>
      <c r="V140" s="24"/>
      <c r="W140" s="24"/>
      <c r="X140" s="24"/>
      <c r="Y140" s="24"/>
      <c r="Z140" s="24"/>
      <c r="AA140" s="17"/>
      <c r="AB140" s="17"/>
      <c r="AC140" s="17"/>
      <c r="AD140" s="24"/>
      <c r="AE140" s="24"/>
      <c r="AF140" s="24"/>
      <c r="AG140" s="17"/>
      <c r="AH140" s="17"/>
      <c r="AI140" s="24"/>
      <c r="AJ140" s="24"/>
      <c r="AK140" s="24"/>
      <c r="AL140" s="24"/>
      <c r="AM140" s="24"/>
      <c r="AN140" s="24"/>
    </row>
    <row r="141" ht="15.75" customHeight="1">
      <c r="A141" s="24"/>
      <c r="B141" s="24"/>
      <c r="C141" s="24"/>
      <c r="D141" s="24"/>
      <c r="E141" s="24"/>
      <c r="F141" s="24"/>
      <c r="G141" s="40"/>
      <c r="H141" s="24"/>
      <c r="I141" s="17"/>
      <c r="J141" s="24"/>
      <c r="K141" s="17"/>
      <c r="L141" s="24"/>
      <c r="M141" s="17"/>
      <c r="N141" s="17"/>
      <c r="O141" s="17"/>
      <c r="P141" s="24"/>
      <c r="Q141" s="17"/>
      <c r="R141" s="24"/>
      <c r="S141" s="24"/>
      <c r="T141" s="24"/>
      <c r="U141" s="24"/>
      <c r="V141" s="24"/>
      <c r="W141" s="24"/>
      <c r="X141" s="24"/>
      <c r="Y141" s="24"/>
      <c r="Z141" s="24"/>
      <c r="AA141" s="17"/>
      <c r="AB141" s="17"/>
      <c r="AC141" s="17"/>
      <c r="AD141" s="24"/>
      <c r="AE141" s="24"/>
      <c r="AF141" s="24"/>
      <c r="AG141" s="17"/>
      <c r="AH141" s="17"/>
      <c r="AI141" s="24"/>
      <c r="AJ141" s="24"/>
      <c r="AK141" s="24"/>
      <c r="AL141" s="24"/>
      <c r="AM141" s="24"/>
      <c r="AN141" s="24"/>
    </row>
    <row r="142" ht="15.75" customHeight="1">
      <c r="A142" s="24"/>
      <c r="B142" s="24"/>
      <c r="C142" s="24"/>
      <c r="D142" s="24"/>
      <c r="E142" s="24"/>
      <c r="F142" s="24"/>
      <c r="G142" s="40"/>
      <c r="H142" s="24"/>
      <c r="I142" s="17"/>
      <c r="J142" s="24"/>
      <c r="K142" s="17"/>
      <c r="L142" s="24"/>
      <c r="M142" s="17"/>
      <c r="N142" s="17"/>
      <c r="O142" s="17"/>
      <c r="P142" s="24"/>
      <c r="Q142" s="17"/>
      <c r="R142" s="24"/>
      <c r="S142" s="24"/>
      <c r="T142" s="24"/>
      <c r="U142" s="24"/>
      <c r="V142" s="24"/>
      <c r="W142" s="24"/>
      <c r="X142" s="24"/>
      <c r="Y142" s="24"/>
      <c r="Z142" s="24"/>
      <c r="AA142" s="17"/>
      <c r="AB142" s="17"/>
      <c r="AC142" s="17"/>
      <c r="AD142" s="24"/>
      <c r="AE142" s="24"/>
      <c r="AF142" s="24"/>
      <c r="AG142" s="17"/>
      <c r="AH142" s="17"/>
      <c r="AI142" s="24"/>
      <c r="AJ142" s="24"/>
      <c r="AK142" s="24"/>
      <c r="AL142" s="24"/>
      <c r="AM142" s="24"/>
      <c r="AN142" s="24"/>
    </row>
    <row r="143" ht="15.75" customHeight="1">
      <c r="A143" s="24"/>
      <c r="B143" s="24"/>
      <c r="C143" s="24"/>
      <c r="D143" s="24"/>
      <c r="E143" s="24"/>
      <c r="F143" s="24"/>
      <c r="G143" s="40"/>
      <c r="H143" s="24"/>
      <c r="I143" s="17"/>
      <c r="J143" s="24"/>
      <c r="K143" s="17"/>
      <c r="L143" s="24"/>
      <c r="M143" s="17"/>
      <c r="N143" s="17"/>
      <c r="O143" s="17"/>
      <c r="P143" s="24"/>
      <c r="Q143" s="17"/>
      <c r="R143" s="24"/>
      <c r="S143" s="24"/>
      <c r="T143" s="24"/>
      <c r="U143" s="24"/>
      <c r="V143" s="24"/>
      <c r="W143" s="24"/>
      <c r="X143" s="24"/>
      <c r="Y143" s="24"/>
      <c r="Z143" s="24"/>
      <c r="AA143" s="17"/>
      <c r="AB143" s="17"/>
      <c r="AC143" s="17"/>
      <c r="AD143" s="24"/>
      <c r="AE143" s="24"/>
      <c r="AF143" s="24"/>
      <c r="AG143" s="17"/>
      <c r="AH143" s="17"/>
      <c r="AI143" s="24"/>
      <c r="AJ143" s="24"/>
      <c r="AK143" s="24"/>
      <c r="AL143" s="24"/>
      <c r="AM143" s="24"/>
      <c r="AN143" s="24"/>
    </row>
    <row r="144" ht="15.75" customHeight="1">
      <c r="A144" s="24"/>
      <c r="B144" s="24"/>
      <c r="C144" s="24"/>
      <c r="D144" s="24"/>
      <c r="E144" s="24"/>
      <c r="F144" s="24"/>
      <c r="G144" s="40"/>
      <c r="H144" s="24"/>
      <c r="I144" s="17"/>
      <c r="J144" s="24"/>
      <c r="K144" s="17"/>
      <c r="L144" s="24"/>
      <c r="M144" s="17"/>
      <c r="N144" s="17"/>
      <c r="O144" s="17"/>
      <c r="P144" s="24"/>
      <c r="Q144" s="17"/>
      <c r="R144" s="24"/>
      <c r="S144" s="24"/>
      <c r="T144" s="24"/>
      <c r="U144" s="24"/>
      <c r="V144" s="24"/>
      <c r="W144" s="24"/>
      <c r="X144" s="24"/>
      <c r="Y144" s="24"/>
      <c r="Z144" s="24"/>
      <c r="AA144" s="17"/>
      <c r="AB144" s="17"/>
      <c r="AC144" s="17"/>
      <c r="AD144" s="24"/>
      <c r="AE144" s="24"/>
      <c r="AF144" s="24"/>
      <c r="AG144" s="17"/>
      <c r="AH144" s="17"/>
      <c r="AI144" s="24"/>
      <c r="AJ144" s="24"/>
      <c r="AK144" s="24"/>
      <c r="AL144" s="24"/>
      <c r="AM144" s="24"/>
      <c r="AN144" s="24"/>
    </row>
    <row r="145" ht="15.75" customHeight="1">
      <c r="A145" s="24"/>
      <c r="B145" s="24"/>
      <c r="C145" s="24"/>
      <c r="D145" s="24"/>
      <c r="E145" s="24"/>
      <c r="F145" s="24"/>
      <c r="G145" s="40"/>
      <c r="H145" s="24"/>
      <c r="I145" s="17"/>
      <c r="J145" s="24"/>
      <c r="K145" s="17"/>
      <c r="L145" s="24"/>
      <c r="M145" s="17"/>
      <c r="N145" s="17"/>
      <c r="O145" s="17"/>
      <c r="P145" s="24"/>
      <c r="Q145" s="17"/>
      <c r="R145" s="24"/>
      <c r="S145" s="24"/>
      <c r="T145" s="24"/>
      <c r="U145" s="24"/>
      <c r="V145" s="24"/>
      <c r="W145" s="24"/>
      <c r="X145" s="24"/>
      <c r="Y145" s="24"/>
      <c r="Z145" s="24"/>
      <c r="AA145" s="17"/>
      <c r="AB145" s="17"/>
      <c r="AC145" s="17"/>
      <c r="AD145" s="24"/>
      <c r="AE145" s="24"/>
      <c r="AF145" s="24"/>
      <c r="AG145" s="17"/>
      <c r="AH145" s="17"/>
      <c r="AI145" s="24"/>
      <c r="AJ145" s="24"/>
      <c r="AK145" s="24"/>
      <c r="AL145" s="24"/>
      <c r="AM145" s="24"/>
      <c r="AN145" s="24"/>
    </row>
    <row r="146" ht="15.75" customHeight="1">
      <c r="A146" s="24"/>
      <c r="B146" s="24"/>
      <c r="C146" s="24"/>
      <c r="D146" s="24"/>
      <c r="E146" s="24"/>
      <c r="F146" s="24"/>
      <c r="G146" s="40"/>
      <c r="H146" s="24"/>
      <c r="I146" s="17"/>
      <c r="J146" s="24"/>
      <c r="K146" s="17"/>
      <c r="L146" s="24"/>
      <c r="M146" s="17"/>
      <c r="N146" s="17"/>
      <c r="O146" s="17"/>
      <c r="P146" s="24"/>
      <c r="Q146" s="17"/>
      <c r="R146" s="24"/>
      <c r="S146" s="24"/>
      <c r="T146" s="24"/>
      <c r="U146" s="24"/>
      <c r="V146" s="24"/>
      <c r="W146" s="24"/>
      <c r="X146" s="24"/>
      <c r="Y146" s="24"/>
      <c r="Z146" s="24"/>
      <c r="AA146" s="17"/>
      <c r="AB146" s="17"/>
      <c r="AC146" s="17"/>
      <c r="AD146" s="24"/>
      <c r="AE146" s="24"/>
      <c r="AF146" s="24"/>
      <c r="AG146" s="17"/>
      <c r="AH146" s="17"/>
      <c r="AI146" s="24"/>
      <c r="AJ146" s="24"/>
      <c r="AK146" s="24"/>
      <c r="AL146" s="24"/>
      <c r="AM146" s="24"/>
      <c r="AN146" s="24"/>
    </row>
    <row r="147" ht="15.75" customHeight="1">
      <c r="A147" s="24"/>
      <c r="B147" s="24"/>
      <c r="C147" s="24"/>
      <c r="D147" s="24"/>
      <c r="E147" s="24"/>
      <c r="F147" s="24"/>
      <c r="G147" s="40"/>
      <c r="H147" s="24"/>
      <c r="I147" s="17"/>
      <c r="J147" s="24"/>
      <c r="K147" s="17"/>
      <c r="L147" s="24"/>
      <c r="M147" s="17"/>
      <c r="N147" s="17"/>
      <c r="O147" s="17"/>
      <c r="P147" s="24"/>
      <c r="Q147" s="17"/>
      <c r="R147" s="24"/>
      <c r="S147" s="24"/>
      <c r="T147" s="24"/>
      <c r="U147" s="24"/>
      <c r="V147" s="24"/>
      <c r="W147" s="24"/>
      <c r="X147" s="24"/>
      <c r="Y147" s="24"/>
      <c r="Z147" s="24"/>
      <c r="AA147" s="17"/>
      <c r="AB147" s="17"/>
      <c r="AC147" s="17"/>
      <c r="AD147" s="24"/>
      <c r="AE147" s="24"/>
      <c r="AF147" s="24"/>
      <c r="AG147" s="17"/>
      <c r="AH147" s="17"/>
      <c r="AI147" s="24"/>
      <c r="AJ147" s="24"/>
      <c r="AK147" s="24"/>
      <c r="AL147" s="24"/>
      <c r="AM147" s="24"/>
      <c r="AN147" s="24"/>
    </row>
    <row r="148" ht="15.75" customHeight="1">
      <c r="A148" s="24"/>
      <c r="B148" s="24"/>
      <c r="C148" s="24"/>
      <c r="D148" s="24"/>
      <c r="E148" s="24"/>
      <c r="F148" s="24"/>
      <c r="G148" s="40"/>
      <c r="H148" s="24"/>
      <c r="I148" s="17"/>
      <c r="J148" s="24"/>
      <c r="K148" s="17"/>
      <c r="L148" s="24"/>
      <c r="M148" s="17"/>
      <c r="N148" s="17"/>
      <c r="O148" s="17"/>
      <c r="P148" s="24"/>
      <c r="Q148" s="17"/>
      <c r="R148" s="24"/>
      <c r="S148" s="24"/>
      <c r="T148" s="24"/>
      <c r="U148" s="24"/>
      <c r="V148" s="24"/>
      <c r="W148" s="24"/>
      <c r="X148" s="24"/>
      <c r="Y148" s="24"/>
      <c r="Z148" s="24"/>
      <c r="AA148" s="17"/>
      <c r="AB148" s="17"/>
      <c r="AC148" s="17"/>
      <c r="AD148" s="24"/>
      <c r="AE148" s="24"/>
      <c r="AF148" s="24"/>
      <c r="AG148" s="17"/>
      <c r="AH148" s="17"/>
      <c r="AI148" s="24"/>
      <c r="AJ148" s="24"/>
      <c r="AK148" s="24"/>
      <c r="AL148" s="24"/>
      <c r="AM148" s="24"/>
      <c r="AN148" s="24"/>
    </row>
    <row r="149" ht="15.75" customHeight="1">
      <c r="A149" s="24"/>
      <c r="B149" s="24"/>
      <c r="C149" s="24"/>
      <c r="D149" s="24"/>
      <c r="E149" s="24"/>
      <c r="F149" s="24"/>
      <c r="G149" s="40"/>
      <c r="H149" s="24"/>
      <c r="I149" s="17"/>
      <c r="J149" s="24"/>
      <c r="K149" s="17"/>
      <c r="L149" s="24"/>
      <c r="M149" s="17"/>
      <c r="N149" s="17"/>
      <c r="O149" s="17"/>
      <c r="P149" s="24"/>
      <c r="Q149" s="17"/>
      <c r="R149" s="24"/>
      <c r="S149" s="24"/>
      <c r="T149" s="24"/>
      <c r="U149" s="24"/>
      <c r="V149" s="24"/>
      <c r="W149" s="24"/>
      <c r="X149" s="24"/>
      <c r="Y149" s="24"/>
      <c r="Z149" s="24"/>
      <c r="AA149" s="17"/>
      <c r="AB149" s="17"/>
      <c r="AC149" s="17"/>
      <c r="AD149" s="24"/>
      <c r="AE149" s="24"/>
      <c r="AF149" s="24"/>
      <c r="AG149" s="17"/>
      <c r="AH149" s="17"/>
      <c r="AI149" s="24"/>
      <c r="AJ149" s="24"/>
      <c r="AK149" s="24"/>
      <c r="AL149" s="24"/>
      <c r="AM149" s="24"/>
      <c r="AN149" s="24"/>
    </row>
    <row r="150" ht="15.75" customHeight="1">
      <c r="A150" s="24"/>
      <c r="B150" s="24"/>
      <c r="C150" s="24"/>
      <c r="D150" s="24"/>
      <c r="E150" s="24"/>
      <c r="F150" s="24"/>
      <c r="G150" s="40"/>
      <c r="H150" s="24"/>
      <c r="I150" s="17"/>
      <c r="J150" s="24"/>
      <c r="K150" s="17"/>
      <c r="L150" s="24"/>
      <c r="M150" s="17"/>
      <c r="N150" s="17"/>
      <c r="O150" s="17"/>
      <c r="P150" s="24"/>
      <c r="Q150" s="17"/>
      <c r="R150" s="24"/>
      <c r="S150" s="24"/>
      <c r="T150" s="24"/>
      <c r="U150" s="24"/>
      <c r="V150" s="24"/>
      <c r="W150" s="24"/>
      <c r="X150" s="24"/>
      <c r="Y150" s="24"/>
      <c r="Z150" s="24"/>
      <c r="AA150" s="17"/>
      <c r="AB150" s="17"/>
      <c r="AC150" s="17"/>
      <c r="AD150" s="24"/>
      <c r="AE150" s="24"/>
      <c r="AF150" s="24"/>
      <c r="AG150" s="17"/>
      <c r="AH150" s="17"/>
      <c r="AI150" s="24"/>
      <c r="AJ150" s="24"/>
      <c r="AK150" s="24"/>
      <c r="AL150" s="24"/>
      <c r="AM150" s="24"/>
      <c r="AN150" s="24"/>
    </row>
    <row r="151" ht="15.75" customHeight="1">
      <c r="A151" s="24"/>
      <c r="B151" s="24"/>
      <c r="C151" s="24"/>
      <c r="D151" s="24"/>
      <c r="E151" s="24"/>
      <c r="F151" s="24"/>
      <c r="G151" s="40"/>
      <c r="H151" s="24"/>
      <c r="I151" s="17"/>
      <c r="J151" s="24"/>
      <c r="K151" s="17"/>
      <c r="L151" s="24"/>
      <c r="M151" s="17"/>
      <c r="N151" s="17"/>
      <c r="O151" s="17"/>
      <c r="P151" s="24"/>
      <c r="Q151" s="17"/>
      <c r="R151" s="24"/>
      <c r="S151" s="24"/>
      <c r="T151" s="24"/>
      <c r="U151" s="24"/>
      <c r="V151" s="24"/>
      <c r="W151" s="24"/>
      <c r="X151" s="24"/>
      <c r="Y151" s="24"/>
      <c r="Z151" s="24"/>
      <c r="AA151" s="17"/>
      <c r="AB151" s="17"/>
      <c r="AC151" s="17"/>
      <c r="AD151" s="24"/>
      <c r="AE151" s="24"/>
      <c r="AF151" s="24"/>
      <c r="AG151" s="17"/>
      <c r="AH151" s="17"/>
      <c r="AI151" s="24"/>
      <c r="AJ151" s="24"/>
      <c r="AK151" s="24"/>
      <c r="AL151" s="24"/>
      <c r="AM151" s="24"/>
      <c r="AN151" s="24"/>
    </row>
    <row r="152" ht="15.75" customHeight="1">
      <c r="A152" s="24"/>
      <c r="B152" s="24"/>
      <c r="C152" s="24"/>
      <c r="D152" s="24"/>
      <c r="E152" s="24"/>
      <c r="F152" s="24"/>
      <c r="G152" s="40"/>
      <c r="H152" s="24"/>
      <c r="I152" s="17"/>
      <c r="J152" s="24"/>
      <c r="K152" s="17"/>
      <c r="L152" s="24"/>
      <c r="M152" s="17"/>
      <c r="N152" s="17"/>
      <c r="O152" s="17"/>
      <c r="P152" s="24"/>
      <c r="Q152" s="17"/>
      <c r="R152" s="24"/>
      <c r="S152" s="24"/>
      <c r="T152" s="24"/>
      <c r="U152" s="24"/>
      <c r="V152" s="24"/>
      <c r="W152" s="24"/>
      <c r="X152" s="24"/>
      <c r="Y152" s="24"/>
      <c r="Z152" s="24"/>
      <c r="AA152" s="17"/>
      <c r="AB152" s="17"/>
      <c r="AC152" s="17"/>
      <c r="AD152" s="24"/>
      <c r="AE152" s="24"/>
      <c r="AF152" s="24"/>
      <c r="AG152" s="17"/>
      <c r="AH152" s="17"/>
      <c r="AI152" s="24"/>
      <c r="AJ152" s="24"/>
      <c r="AK152" s="24"/>
      <c r="AL152" s="24"/>
      <c r="AM152" s="24"/>
      <c r="AN152" s="24"/>
    </row>
    <row r="153" ht="15.75" customHeight="1">
      <c r="A153" s="24"/>
      <c r="B153" s="24"/>
      <c r="C153" s="24"/>
      <c r="D153" s="24"/>
      <c r="E153" s="24"/>
      <c r="F153" s="24"/>
      <c r="G153" s="40"/>
      <c r="H153" s="24"/>
      <c r="I153" s="17"/>
      <c r="J153" s="24"/>
      <c r="K153" s="17"/>
      <c r="L153" s="24"/>
      <c r="M153" s="17"/>
      <c r="N153" s="17"/>
      <c r="O153" s="17"/>
      <c r="P153" s="24"/>
      <c r="Q153" s="17"/>
      <c r="R153" s="24"/>
      <c r="S153" s="24"/>
      <c r="T153" s="24"/>
      <c r="U153" s="24"/>
      <c r="V153" s="24"/>
      <c r="W153" s="24"/>
      <c r="X153" s="24"/>
      <c r="Y153" s="24"/>
      <c r="Z153" s="24"/>
      <c r="AA153" s="17"/>
      <c r="AB153" s="17"/>
      <c r="AC153" s="17"/>
      <c r="AD153" s="24"/>
      <c r="AE153" s="24"/>
      <c r="AF153" s="24"/>
      <c r="AG153" s="17"/>
      <c r="AH153" s="17"/>
      <c r="AI153" s="24"/>
      <c r="AJ153" s="24"/>
      <c r="AK153" s="24"/>
      <c r="AL153" s="24"/>
      <c r="AM153" s="24"/>
      <c r="AN153" s="24"/>
    </row>
    <row r="154" ht="15.75" customHeight="1">
      <c r="A154" s="24"/>
      <c r="B154" s="24"/>
      <c r="C154" s="24"/>
      <c r="D154" s="24"/>
      <c r="E154" s="24"/>
      <c r="F154" s="24"/>
      <c r="G154" s="40"/>
      <c r="H154" s="24"/>
      <c r="I154" s="17"/>
      <c r="J154" s="24"/>
      <c r="K154" s="17"/>
      <c r="L154" s="24"/>
      <c r="M154" s="17"/>
      <c r="N154" s="17"/>
      <c r="O154" s="17"/>
      <c r="P154" s="24"/>
      <c r="Q154" s="17"/>
      <c r="R154" s="24"/>
      <c r="S154" s="24"/>
      <c r="T154" s="24"/>
      <c r="U154" s="24"/>
      <c r="V154" s="24"/>
      <c r="W154" s="24"/>
      <c r="X154" s="24"/>
      <c r="Y154" s="24"/>
      <c r="Z154" s="24"/>
      <c r="AA154" s="17"/>
      <c r="AB154" s="17"/>
      <c r="AC154" s="17"/>
      <c r="AD154" s="24"/>
      <c r="AE154" s="24"/>
      <c r="AF154" s="24"/>
      <c r="AG154" s="17"/>
      <c r="AH154" s="17"/>
      <c r="AI154" s="24"/>
      <c r="AJ154" s="24"/>
      <c r="AK154" s="24"/>
      <c r="AL154" s="24"/>
      <c r="AM154" s="24"/>
      <c r="AN154" s="24"/>
    </row>
    <row r="155" ht="15.75" customHeight="1">
      <c r="A155" s="24"/>
      <c r="B155" s="24"/>
      <c r="C155" s="24"/>
      <c r="D155" s="24"/>
      <c r="E155" s="24"/>
      <c r="F155" s="24"/>
      <c r="G155" s="40"/>
      <c r="H155" s="24"/>
      <c r="I155" s="17"/>
      <c r="J155" s="24"/>
      <c r="K155" s="17"/>
      <c r="L155" s="24"/>
      <c r="M155" s="17"/>
      <c r="N155" s="17"/>
      <c r="O155" s="17"/>
      <c r="P155" s="24"/>
      <c r="Q155" s="17"/>
      <c r="R155" s="24"/>
      <c r="S155" s="24"/>
      <c r="T155" s="24"/>
      <c r="U155" s="24"/>
      <c r="V155" s="24"/>
      <c r="W155" s="24"/>
      <c r="X155" s="24"/>
      <c r="Y155" s="24"/>
      <c r="Z155" s="24"/>
      <c r="AA155" s="17"/>
      <c r="AB155" s="17"/>
      <c r="AC155" s="17"/>
      <c r="AD155" s="24"/>
      <c r="AE155" s="24"/>
      <c r="AF155" s="24"/>
      <c r="AG155" s="17"/>
      <c r="AH155" s="17"/>
      <c r="AI155" s="24"/>
      <c r="AJ155" s="24"/>
      <c r="AK155" s="24"/>
      <c r="AL155" s="24"/>
      <c r="AM155" s="24"/>
      <c r="AN155" s="24"/>
    </row>
    <row r="156" ht="15.75" customHeight="1">
      <c r="A156" s="24"/>
      <c r="B156" s="24"/>
      <c r="C156" s="24"/>
      <c r="D156" s="24"/>
      <c r="E156" s="24"/>
      <c r="F156" s="24"/>
      <c r="G156" s="40"/>
      <c r="H156" s="24"/>
      <c r="I156" s="17"/>
      <c r="J156" s="24"/>
      <c r="K156" s="17"/>
      <c r="L156" s="24"/>
      <c r="M156" s="17"/>
      <c r="N156" s="17"/>
      <c r="O156" s="17"/>
      <c r="P156" s="24"/>
      <c r="Q156" s="17"/>
      <c r="R156" s="24"/>
      <c r="S156" s="24"/>
      <c r="T156" s="24"/>
      <c r="U156" s="24"/>
      <c r="V156" s="24"/>
      <c r="W156" s="24"/>
      <c r="X156" s="24"/>
      <c r="Y156" s="24"/>
      <c r="Z156" s="24"/>
      <c r="AA156" s="17"/>
      <c r="AB156" s="17"/>
      <c r="AC156" s="17"/>
      <c r="AD156" s="24"/>
      <c r="AE156" s="24"/>
      <c r="AF156" s="24"/>
      <c r="AG156" s="17"/>
      <c r="AH156" s="17"/>
      <c r="AI156" s="24"/>
      <c r="AJ156" s="24"/>
      <c r="AK156" s="24"/>
      <c r="AL156" s="24"/>
      <c r="AM156" s="24"/>
      <c r="AN156" s="24"/>
    </row>
    <row r="157" ht="15.75" customHeight="1">
      <c r="A157" s="24"/>
      <c r="B157" s="24"/>
      <c r="C157" s="24"/>
      <c r="D157" s="24"/>
      <c r="E157" s="24"/>
      <c r="F157" s="24"/>
      <c r="G157" s="40"/>
      <c r="H157" s="24"/>
      <c r="I157" s="17"/>
      <c r="J157" s="24"/>
      <c r="K157" s="17"/>
      <c r="L157" s="24"/>
      <c r="M157" s="17"/>
      <c r="N157" s="17"/>
      <c r="O157" s="17"/>
      <c r="P157" s="24"/>
      <c r="Q157" s="17"/>
      <c r="R157" s="24"/>
      <c r="S157" s="24"/>
      <c r="T157" s="24"/>
      <c r="U157" s="24"/>
      <c r="V157" s="24"/>
      <c r="W157" s="24"/>
      <c r="X157" s="24"/>
      <c r="Y157" s="24"/>
      <c r="Z157" s="24"/>
      <c r="AA157" s="17"/>
      <c r="AB157" s="17"/>
      <c r="AC157" s="17"/>
      <c r="AD157" s="24"/>
      <c r="AE157" s="24"/>
      <c r="AF157" s="24"/>
      <c r="AG157" s="17"/>
      <c r="AH157" s="17"/>
      <c r="AI157" s="24"/>
      <c r="AJ157" s="24"/>
      <c r="AK157" s="24"/>
      <c r="AL157" s="24"/>
      <c r="AM157" s="24"/>
      <c r="AN157" s="24"/>
    </row>
    <row r="158" ht="15.75" customHeight="1">
      <c r="A158" s="24"/>
      <c r="B158" s="24"/>
      <c r="C158" s="24"/>
      <c r="D158" s="24"/>
      <c r="E158" s="24"/>
      <c r="F158" s="24"/>
      <c r="G158" s="40"/>
      <c r="H158" s="24"/>
      <c r="I158" s="17"/>
      <c r="J158" s="24"/>
      <c r="K158" s="17"/>
      <c r="L158" s="24"/>
      <c r="M158" s="17"/>
      <c r="N158" s="17"/>
      <c r="O158" s="17"/>
      <c r="P158" s="24"/>
      <c r="Q158" s="17"/>
      <c r="R158" s="24"/>
      <c r="S158" s="24"/>
      <c r="T158" s="24"/>
      <c r="U158" s="24"/>
      <c r="V158" s="24"/>
      <c r="W158" s="24"/>
      <c r="X158" s="24"/>
      <c r="Y158" s="24"/>
      <c r="Z158" s="24"/>
      <c r="AA158" s="17"/>
      <c r="AB158" s="17"/>
      <c r="AC158" s="17"/>
      <c r="AD158" s="24"/>
      <c r="AE158" s="24"/>
      <c r="AF158" s="24"/>
      <c r="AG158" s="17"/>
      <c r="AH158" s="17"/>
      <c r="AI158" s="24"/>
      <c r="AJ158" s="24"/>
      <c r="AK158" s="24"/>
      <c r="AL158" s="24"/>
      <c r="AM158" s="24"/>
      <c r="AN158" s="24"/>
    </row>
    <row r="159" ht="15.75" customHeight="1">
      <c r="A159" s="24"/>
      <c r="B159" s="24"/>
      <c r="C159" s="24"/>
      <c r="D159" s="24"/>
      <c r="E159" s="24"/>
      <c r="F159" s="24"/>
      <c r="G159" s="40"/>
      <c r="H159" s="24"/>
      <c r="I159" s="17"/>
      <c r="J159" s="24"/>
      <c r="K159" s="17"/>
      <c r="L159" s="24"/>
      <c r="M159" s="17"/>
      <c r="N159" s="17"/>
      <c r="O159" s="17"/>
      <c r="P159" s="24"/>
      <c r="Q159" s="17"/>
      <c r="R159" s="24"/>
      <c r="S159" s="24"/>
      <c r="T159" s="24"/>
      <c r="U159" s="24"/>
      <c r="V159" s="24"/>
      <c r="W159" s="24"/>
      <c r="X159" s="24"/>
      <c r="Y159" s="24"/>
      <c r="Z159" s="24"/>
      <c r="AA159" s="17"/>
      <c r="AB159" s="17"/>
      <c r="AC159" s="17"/>
      <c r="AD159" s="24"/>
      <c r="AE159" s="24"/>
      <c r="AF159" s="24"/>
      <c r="AG159" s="17"/>
      <c r="AH159" s="17"/>
      <c r="AI159" s="24"/>
      <c r="AJ159" s="24"/>
      <c r="AK159" s="24"/>
      <c r="AL159" s="24"/>
      <c r="AM159" s="24"/>
      <c r="AN159" s="24"/>
    </row>
    <row r="160" ht="15.75" customHeight="1">
      <c r="A160" s="24"/>
      <c r="B160" s="24"/>
      <c r="C160" s="24"/>
      <c r="D160" s="24"/>
      <c r="E160" s="24"/>
      <c r="F160" s="24"/>
      <c r="G160" s="40"/>
      <c r="H160" s="24"/>
      <c r="I160" s="17"/>
      <c r="J160" s="24"/>
      <c r="K160" s="17"/>
      <c r="L160" s="24"/>
      <c r="M160" s="17"/>
      <c r="N160" s="17"/>
      <c r="O160" s="17"/>
      <c r="P160" s="24"/>
      <c r="Q160" s="17"/>
      <c r="R160" s="24"/>
      <c r="S160" s="24"/>
      <c r="T160" s="24"/>
      <c r="U160" s="24"/>
      <c r="V160" s="24"/>
      <c r="W160" s="24"/>
      <c r="X160" s="24"/>
      <c r="Y160" s="24"/>
      <c r="Z160" s="24"/>
      <c r="AA160" s="17"/>
      <c r="AB160" s="17"/>
      <c r="AC160" s="17"/>
      <c r="AD160" s="24"/>
      <c r="AE160" s="24"/>
      <c r="AF160" s="24"/>
      <c r="AG160" s="17"/>
      <c r="AH160" s="17"/>
      <c r="AI160" s="24"/>
      <c r="AJ160" s="24"/>
      <c r="AK160" s="24"/>
      <c r="AL160" s="24"/>
      <c r="AM160" s="24"/>
      <c r="AN160" s="24"/>
    </row>
    <row r="161" ht="15.75" customHeight="1">
      <c r="A161" s="24"/>
      <c r="B161" s="24"/>
      <c r="C161" s="24"/>
      <c r="D161" s="24"/>
      <c r="E161" s="24"/>
      <c r="F161" s="24"/>
      <c r="G161" s="40"/>
      <c r="H161" s="24"/>
      <c r="I161" s="17"/>
      <c r="J161" s="24"/>
      <c r="K161" s="17"/>
      <c r="L161" s="24"/>
      <c r="M161" s="17"/>
      <c r="N161" s="17"/>
      <c r="O161" s="17"/>
      <c r="P161" s="24"/>
      <c r="Q161" s="17"/>
      <c r="R161" s="24"/>
      <c r="S161" s="24"/>
      <c r="T161" s="24"/>
      <c r="U161" s="24"/>
      <c r="V161" s="24"/>
      <c r="W161" s="24"/>
      <c r="X161" s="24"/>
      <c r="Y161" s="24"/>
      <c r="Z161" s="24"/>
      <c r="AA161" s="17"/>
      <c r="AB161" s="17"/>
      <c r="AC161" s="17"/>
      <c r="AD161" s="24"/>
      <c r="AE161" s="24"/>
      <c r="AF161" s="24"/>
      <c r="AG161" s="17"/>
      <c r="AH161" s="17"/>
      <c r="AI161" s="24"/>
      <c r="AJ161" s="24"/>
      <c r="AK161" s="24"/>
      <c r="AL161" s="24"/>
      <c r="AM161" s="24"/>
      <c r="AN161" s="24"/>
    </row>
    <row r="162" ht="15.75" customHeight="1">
      <c r="A162" s="24"/>
      <c r="B162" s="24"/>
      <c r="C162" s="24"/>
      <c r="D162" s="24"/>
      <c r="E162" s="24"/>
      <c r="F162" s="24"/>
      <c r="G162" s="40"/>
      <c r="H162" s="24"/>
      <c r="I162" s="17"/>
      <c r="J162" s="24"/>
      <c r="K162" s="17"/>
      <c r="L162" s="24"/>
      <c r="M162" s="17"/>
      <c r="N162" s="17"/>
      <c r="O162" s="17"/>
      <c r="P162" s="24"/>
      <c r="Q162" s="17"/>
      <c r="R162" s="24"/>
      <c r="S162" s="24"/>
      <c r="T162" s="24"/>
      <c r="U162" s="24"/>
      <c r="V162" s="24"/>
      <c r="W162" s="24"/>
      <c r="X162" s="24"/>
      <c r="Y162" s="24"/>
      <c r="Z162" s="24"/>
      <c r="AA162" s="17"/>
      <c r="AB162" s="17"/>
      <c r="AC162" s="17"/>
      <c r="AD162" s="24"/>
      <c r="AE162" s="24"/>
      <c r="AF162" s="24"/>
      <c r="AG162" s="17"/>
      <c r="AH162" s="17"/>
      <c r="AI162" s="24"/>
      <c r="AJ162" s="24"/>
      <c r="AK162" s="24"/>
      <c r="AL162" s="24"/>
      <c r="AM162" s="24"/>
      <c r="AN162" s="24"/>
    </row>
    <row r="163" ht="15.75" customHeight="1">
      <c r="A163" s="24"/>
      <c r="B163" s="24"/>
      <c r="C163" s="24"/>
      <c r="D163" s="24"/>
      <c r="E163" s="24"/>
      <c r="F163" s="24"/>
      <c r="G163" s="40"/>
      <c r="H163" s="24"/>
      <c r="I163" s="17"/>
      <c r="J163" s="24"/>
      <c r="K163" s="17"/>
      <c r="L163" s="24"/>
      <c r="M163" s="17"/>
      <c r="N163" s="17"/>
      <c r="O163" s="17"/>
      <c r="P163" s="24"/>
      <c r="Q163" s="17"/>
      <c r="R163" s="24"/>
      <c r="S163" s="24"/>
      <c r="T163" s="24"/>
      <c r="U163" s="24"/>
      <c r="V163" s="24"/>
      <c r="W163" s="24"/>
      <c r="X163" s="24"/>
      <c r="Y163" s="24"/>
      <c r="Z163" s="24"/>
      <c r="AA163" s="17"/>
      <c r="AB163" s="17"/>
      <c r="AC163" s="17"/>
      <c r="AD163" s="24"/>
      <c r="AE163" s="24"/>
      <c r="AF163" s="24"/>
      <c r="AG163" s="17"/>
      <c r="AH163" s="17"/>
      <c r="AI163" s="24"/>
      <c r="AJ163" s="24"/>
      <c r="AK163" s="24"/>
      <c r="AL163" s="24"/>
      <c r="AM163" s="24"/>
      <c r="AN163" s="24"/>
    </row>
    <row r="164" ht="15.75" customHeight="1">
      <c r="A164" s="24"/>
      <c r="B164" s="24"/>
      <c r="C164" s="24"/>
      <c r="D164" s="24"/>
      <c r="E164" s="24"/>
      <c r="F164" s="24"/>
      <c r="G164" s="40"/>
      <c r="H164" s="24"/>
      <c r="I164" s="17"/>
      <c r="J164" s="24"/>
      <c r="K164" s="17"/>
      <c r="L164" s="24"/>
      <c r="M164" s="17"/>
      <c r="N164" s="17"/>
      <c r="O164" s="17"/>
      <c r="P164" s="24"/>
      <c r="Q164" s="17"/>
      <c r="R164" s="24"/>
      <c r="S164" s="24"/>
      <c r="T164" s="24"/>
      <c r="U164" s="24"/>
      <c r="V164" s="24"/>
      <c r="W164" s="24"/>
      <c r="X164" s="24"/>
      <c r="Y164" s="24"/>
      <c r="Z164" s="24"/>
      <c r="AA164" s="17"/>
      <c r="AB164" s="17"/>
      <c r="AC164" s="17"/>
      <c r="AD164" s="24"/>
      <c r="AE164" s="24"/>
      <c r="AF164" s="24"/>
      <c r="AG164" s="17"/>
      <c r="AH164" s="17"/>
      <c r="AI164" s="24"/>
      <c r="AJ164" s="24"/>
      <c r="AK164" s="24"/>
      <c r="AL164" s="24"/>
      <c r="AM164" s="24"/>
      <c r="AN164" s="24"/>
    </row>
    <row r="165" ht="15.75" customHeight="1">
      <c r="A165" s="24"/>
      <c r="B165" s="24"/>
      <c r="C165" s="24"/>
      <c r="D165" s="24"/>
      <c r="E165" s="24"/>
      <c r="F165" s="24"/>
      <c r="G165" s="40"/>
      <c r="H165" s="24"/>
      <c r="I165" s="17"/>
      <c r="J165" s="24"/>
      <c r="K165" s="17"/>
      <c r="L165" s="24"/>
      <c r="M165" s="17"/>
      <c r="N165" s="17"/>
      <c r="O165" s="17"/>
      <c r="P165" s="24"/>
      <c r="Q165" s="17"/>
      <c r="R165" s="24"/>
      <c r="S165" s="24"/>
      <c r="T165" s="24"/>
      <c r="U165" s="24"/>
      <c r="V165" s="24"/>
      <c r="W165" s="24"/>
      <c r="X165" s="24"/>
      <c r="Y165" s="24"/>
      <c r="Z165" s="24"/>
      <c r="AA165" s="17"/>
      <c r="AB165" s="17"/>
      <c r="AC165" s="17"/>
      <c r="AD165" s="24"/>
      <c r="AE165" s="24"/>
      <c r="AF165" s="24"/>
      <c r="AG165" s="17"/>
      <c r="AH165" s="17"/>
      <c r="AI165" s="24"/>
      <c r="AJ165" s="24"/>
      <c r="AK165" s="24"/>
      <c r="AL165" s="24"/>
      <c r="AM165" s="24"/>
      <c r="AN165" s="24"/>
    </row>
    <row r="166" ht="15.75" customHeight="1">
      <c r="A166" s="24"/>
      <c r="B166" s="24"/>
      <c r="C166" s="24"/>
      <c r="D166" s="24"/>
      <c r="E166" s="24"/>
      <c r="F166" s="24"/>
      <c r="G166" s="40"/>
      <c r="H166" s="24"/>
      <c r="I166" s="17"/>
      <c r="J166" s="24"/>
      <c r="K166" s="17"/>
      <c r="L166" s="24"/>
      <c r="M166" s="17"/>
      <c r="N166" s="17"/>
      <c r="O166" s="17"/>
      <c r="P166" s="24"/>
      <c r="Q166" s="17"/>
      <c r="R166" s="24"/>
      <c r="S166" s="24"/>
      <c r="T166" s="24"/>
      <c r="U166" s="24"/>
      <c r="V166" s="24"/>
      <c r="W166" s="24"/>
      <c r="X166" s="24"/>
      <c r="Y166" s="24"/>
      <c r="Z166" s="24"/>
      <c r="AA166" s="17"/>
      <c r="AB166" s="17"/>
      <c r="AC166" s="17"/>
      <c r="AD166" s="24"/>
      <c r="AE166" s="24"/>
      <c r="AF166" s="24"/>
      <c r="AG166" s="17"/>
      <c r="AH166" s="17"/>
      <c r="AI166" s="24"/>
      <c r="AJ166" s="24"/>
      <c r="AK166" s="24"/>
      <c r="AL166" s="24"/>
      <c r="AM166" s="24"/>
      <c r="AN166" s="24"/>
    </row>
    <row r="167" ht="15.75" customHeight="1">
      <c r="A167" s="24"/>
      <c r="B167" s="24"/>
      <c r="C167" s="24"/>
      <c r="D167" s="24"/>
      <c r="E167" s="24"/>
      <c r="F167" s="24"/>
      <c r="G167" s="40"/>
      <c r="H167" s="24"/>
      <c r="I167" s="17"/>
      <c r="J167" s="24"/>
      <c r="K167" s="17"/>
      <c r="L167" s="24"/>
      <c r="M167" s="17"/>
      <c r="N167" s="17"/>
      <c r="O167" s="17"/>
      <c r="P167" s="24"/>
      <c r="Q167" s="17"/>
      <c r="R167" s="24"/>
      <c r="S167" s="24"/>
      <c r="T167" s="24"/>
      <c r="U167" s="24"/>
      <c r="V167" s="24"/>
      <c r="W167" s="24"/>
      <c r="X167" s="24"/>
      <c r="Y167" s="24"/>
      <c r="Z167" s="24"/>
      <c r="AA167" s="17"/>
      <c r="AB167" s="17"/>
      <c r="AC167" s="17"/>
      <c r="AD167" s="24"/>
      <c r="AE167" s="24"/>
      <c r="AF167" s="24"/>
      <c r="AG167" s="17"/>
      <c r="AH167" s="17"/>
      <c r="AI167" s="24"/>
      <c r="AJ167" s="24"/>
      <c r="AK167" s="24"/>
      <c r="AL167" s="24"/>
      <c r="AM167" s="24"/>
      <c r="AN167" s="24"/>
    </row>
    <row r="168" ht="15.75" customHeight="1">
      <c r="A168" s="24"/>
      <c r="B168" s="24"/>
      <c r="C168" s="24"/>
      <c r="D168" s="24"/>
      <c r="E168" s="24"/>
      <c r="F168" s="24"/>
      <c r="G168" s="40"/>
      <c r="H168" s="24"/>
      <c r="I168" s="17"/>
      <c r="J168" s="24"/>
      <c r="K168" s="17"/>
      <c r="L168" s="24"/>
      <c r="M168" s="17"/>
      <c r="N168" s="17"/>
      <c r="O168" s="17"/>
      <c r="P168" s="24"/>
      <c r="Q168" s="17"/>
      <c r="R168" s="24"/>
      <c r="S168" s="24"/>
      <c r="T168" s="24"/>
      <c r="U168" s="24"/>
      <c r="V168" s="24"/>
      <c r="W168" s="24"/>
      <c r="X168" s="24"/>
      <c r="Y168" s="24"/>
      <c r="Z168" s="24"/>
      <c r="AA168" s="17"/>
      <c r="AB168" s="17"/>
      <c r="AC168" s="17"/>
      <c r="AD168" s="24"/>
      <c r="AE168" s="24"/>
      <c r="AF168" s="24"/>
      <c r="AG168" s="17"/>
      <c r="AH168" s="17"/>
      <c r="AI168" s="24"/>
      <c r="AJ168" s="24"/>
      <c r="AK168" s="24"/>
      <c r="AL168" s="24"/>
      <c r="AM168" s="24"/>
      <c r="AN168" s="24"/>
    </row>
    <row r="169" ht="15.75" customHeight="1">
      <c r="A169" s="24"/>
      <c r="B169" s="24"/>
      <c r="C169" s="24"/>
      <c r="D169" s="24"/>
      <c r="E169" s="24"/>
      <c r="F169" s="24"/>
      <c r="G169" s="40"/>
      <c r="H169" s="24"/>
      <c r="I169" s="17"/>
      <c r="J169" s="24"/>
      <c r="K169" s="17"/>
      <c r="L169" s="24"/>
      <c r="M169" s="17"/>
      <c r="N169" s="17"/>
      <c r="O169" s="17"/>
      <c r="P169" s="24"/>
      <c r="Q169" s="17"/>
      <c r="R169" s="24"/>
      <c r="S169" s="24"/>
      <c r="T169" s="24"/>
      <c r="U169" s="24"/>
      <c r="V169" s="24"/>
      <c r="W169" s="24"/>
      <c r="X169" s="24"/>
      <c r="Y169" s="24"/>
      <c r="Z169" s="24"/>
      <c r="AA169" s="17"/>
      <c r="AB169" s="17"/>
      <c r="AC169" s="17"/>
      <c r="AD169" s="24"/>
      <c r="AE169" s="24"/>
      <c r="AF169" s="24"/>
      <c r="AG169" s="17"/>
      <c r="AH169" s="17"/>
      <c r="AI169" s="24"/>
      <c r="AJ169" s="24"/>
      <c r="AK169" s="24"/>
      <c r="AL169" s="24"/>
      <c r="AM169" s="24"/>
      <c r="AN169" s="24"/>
    </row>
    <row r="170" ht="15.75" customHeight="1">
      <c r="A170" s="24"/>
      <c r="B170" s="24"/>
      <c r="C170" s="24"/>
      <c r="D170" s="24"/>
      <c r="E170" s="24"/>
      <c r="F170" s="24"/>
      <c r="G170" s="40"/>
      <c r="H170" s="24"/>
      <c r="I170" s="17"/>
      <c r="J170" s="24"/>
      <c r="K170" s="17"/>
      <c r="L170" s="24"/>
      <c r="M170" s="17"/>
      <c r="N170" s="17"/>
      <c r="O170" s="17"/>
      <c r="P170" s="24"/>
      <c r="Q170" s="17"/>
      <c r="R170" s="24"/>
      <c r="S170" s="24"/>
      <c r="T170" s="24"/>
      <c r="U170" s="24"/>
      <c r="V170" s="24"/>
      <c r="W170" s="24"/>
      <c r="X170" s="24"/>
      <c r="Y170" s="24"/>
      <c r="Z170" s="24"/>
      <c r="AA170" s="17"/>
      <c r="AB170" s="17"/>
      <c r="AC170" s="17"/>
      <c r="AD170" s="24"/>
      <c r="AE170" s="24"/>
      <c r="AF170" s="24"/>
      <c r="AG170" s="17"/>
      <c r="AH170" s="17"/>
      <c r="AI170" s="24"/>
      <c r="AJ170" s="24"/>
      <c r="AK170" s="24"/>
      <c r="AL170" s="24"/>
      <c r="AM170" s="24"/>
      <c r="AN170" s="24"/>
    </row>
    <row r="171" ht="15.75" customHeight="1">
      <c r="A171" s="24"/>
      <c r="B171" s="24"/>
      <c r="C171" s="24"/>
      <c r="D171" s="24"/>
      <c r="E171" s="24"/>
      <c r="F171" s="24"/>
      <c r="G171" s="40"/>
      <c r="H171" s="24"/>
      <c r="I171" s="17"/>
      <c r="J171" s="24"/>
      <c r="K171" s="17"/>
      <c r="L171" s="24"/>
      <c r="M171" s="17"/>
      <c r="N171" s="17"/>
      <c r="O171" s="17"/>
      <c r="P171" s="24"/>
      <c r="Q171" s="17"/>
      <c r="R171" s="24"/>
      <c r="S171" s="24"/>
      <c r="T171" s="24"/>
      <c r="U171" s="24"/>
      <c r="V171" s="24"/>
      <c r="W171" s="24"/>
      <c r="X171" s="24"/>
      <c r="Y171" s="24"/>
      <c r="Z171" s="24"/>
      <c r="AA171" s="17"/>
      <c r="AB171" s="17"/>
      <c r="AC171" s="17"/>
      <c r="AD171" s="24"/>
      <c r="AE171" s="24"/>
      <c r="AF171" s="24"/>
      <c r="AG171" s="17"/>
      <c r="AH171" s="17"/>
      <c r="AI171" s="24"/>
      <c r="AJ171" s="24"/>
      <c r="AK171" s="24"/>
      <c r="AL171" s="24"/>
      <c r="AM171" s="24"/>
      <c r="AN171" s="24"/>
    </row>
    <row r="172" ht="15.75" customHeight="1">
      <c r="A172" s="24"/>
      <c r="B172" s="24"/>
      <c r="C172" s="24"/>
      <c r="D172" s="24"/>
      <c r="E172" s="24"/>
      <c r="F172" s="24"/>
      <c r="G172" s="40"/>
      <c r="H172" s="24"/>
      <c r="I172" s="17"/>
      <c r="J172" s="24"/>
      <c r="K172" s="17"/>
      <c r="L172" s="24"/>
      <c r="M172" s="17"/>
      <c r="N172" s="17"/>
      <c r="O172" s="17"/>
      <c r="P172" s="24"/>
      <c r="Q172" s="17"/>
      <c r="R172" s="24"/>
      <c r="S172" s="24"/>
      <c r="T172" s="24"/>
      <c r="U172" s="24"/>
      <c r="V172" s="24"/>
      <c r="W172" s="24"/>
      <c r="X172" s="24"/>
      <c r="Y172" s="24"/>
      <c r="Z172" s="24"/>
      <c r="AA172" s="17"/>
      <c r="AB172" s="17"/>
      <c r="AC172" s="17"/>
      <c r="AD172" s="24"/>
      <c r="AE172" s="24"/>
      <c r="AF172" s="24"/>
      <c r="AG172" s="17"/>
      <c r="AH172" s="17"/>
      <c r="AI172" s="24"/>
      <c r="AJ172" s="24"/>
      <c r="AK172" s="24"/>
      <c r="AL172" s="24"/>
      <c r="AM172" s="24"/>
      <c r="AN172" s="24"/>
    </row>
    <row r="173" ht="15.75" customHeight="1">
      <c r="A173" s="24"/>
      <c r="B173" s="24"/>
      <c r="C173" s="24"/>
      <c r="D173" s="24"/>
      <c r="E173" s="24"/>
      <c r="F173" s="24"/>
      <c r="G173" s="40"/>
      <c r="H173" s="24"/>
      <c r="I173" s="17"/>
      <c r="J173" s="24"/>
      <c r="K173" s="17"/>
      <c r="L173" s="24"/>
      <c r="M173" s="17"/>
      <c r="N173" s="17"/>
      <c r="O173" s="17"/>
      <c r="P173" s="24"/>
      <c r="Q173" s="17"/>
      <c r="R173" s="24"/>
      <c r="S173" s="24"/>
      <c r="T173" s="24"/>
      <c r="U173" s="24"/>
      <c r="V173" s="24"/>
      <c r="W173" s="24"/>
      <c r="X173" s="24"/>
      <c r="Y173" s="24"/>
      <c r="Z173" s="24"/>
      <c r="AA173" s="17"/>
      <c r="AB173" s="17"/>
      <c r="AC173" s="17"/>
      <c r="AD173" s="24"/>
      <c r="AE173" s="24"/>
      <c r="AF173" s="24"/>
      <c r="AG173" s="17"/>
      <c r="AH173" s="17"/>
      <c r="AI173" s="24"/>
      <c r="AJ173" s="24"/>
      <c r="AK173" s="24"/>
      <c r="AL173" s="24"/>
      <c r="AM173" s="24"/>
      <c r="AN173" s="24"/>
    </row>
    <row r="174" ht="15.75" customHeight="1">
      <c r="A174" s="24"/>
      <c r="B174" s="24"/>
      <c r="C174" s="24"/>
      <c r="D174" s="24"/>
      <c r="E174" s="24"/>
      <c r="F174" s="24"/>
      <c r="G174" s="40"/>
      <c r="H174" s="24"/>
      <c r="I174" s="17"/>
      <c r="J174" s="24"/>
      <c r="K174" s="17"/>
      <c r="L174" s="24"/>
      <c r="M174" s="17"/>
      <c r="N174" s="17"/>
      <c r="O174" s="17"/>
      <c r="P174" s="24"/>
      <c r="Q174" s="17"/>
      <c r="R174" s="24"/>
      <c r="S174" s="24"/>
      <c r="T174" s="24"/>
      <c r="U174" s="24"/>
      <c r="V174" s="24"/>
      <c r="W174" s="24"/>
      <c r="X174" s="24"/>
      <c r="Y174" s="24"/>
      <c r="Z174" s="24"/>
      <c r="AA174" s="17"/>
      <c r="AB174" s="17"/>
      <c r="AC174" s="17"/>
      <c r="AD174" s="24"/>
      <c r="AE174" s="24"/>
      <c r="AF174" s="24"/>
      <c r="AG174" s="17"/>
      <c r="AH174" s="17"/>
      <c r="AI174" s="24"/>
      <c r="AJ174" s="24"/>
      <c r="AK174" s="24"/>
      <c r="AL174" s="24"/>
      <c r="AM174" s="24"/>
      <c r="AN174" s="24"/>
    </row>
    <row r="175" ht="15.75" customHeight="1">
      <c r="A175" s="24"/>
      <c r="B175" s="24"/>
      <c r="C175" s="24"/>
      <c r="D175" s="24"/>
      <c r="E175" s="24"/>
      <c r="F175" s="24"/>
      <c r="G175" s="40"/>
      <c r="H175" s="24"/>
      <c r="I175" s="17"/>
      <c r="J175" s="24"/>
      <c r="K175" s="17"/>
      <c r="L175" s="24"/>
      <c r="M175" s="17"/>
      <c r="N175" s="17"/>
      <c r="O175" s="17"/>
      <c r="P175" s="24"/>
      <c r="Q175" s="17"/>
      <c r="R175" s="24"/>
      <c r="S175" s="24"/>
      <c r="T175" s="24"/>
      <c r="U175" s="24"/>
      <c r="V175" s="24"/>
      <c r="W175" s="24"/>
      <c r="X175" s="24"/>
      <c r="Y175" s="24"/>
      <c r="Z175" s="24"/>
      <c r="AA175" s="17"/>
      <c r="AB175" s="17"/>
      <c r="AC175" s="17"/>
      <c r="AD175" s="24"/>
      <c r="AE175" s="24"/>
      <c r="AF175" s="24"/>
      <c r="AG175" s="17"/>
      <c r="AH175" s="17"/>
      <c r="AI175" s="24"/>
      <c r="AJ175" s="24"/>
      <c r="AK175" s="24"/>
      <c r="AL175" s="24"/>
      <c r="AM175" s="24"/>
      <c r="AN175" s="24"/>
    </row>
    <row r="176" ht="15.75" customHeight="1">
      <c r="A176" s="24"/>
      <c r="B176" s="24"/>
      <c r="C176" s="24"/>
      <c r="D176" s="24"/>
      <c r="E176" s="24"/>
      <c r="F176" s="24"/>
      <c r="G176" s="40"/>
      <c r="H176" s="24"/>
      <c r="I176" s="17"/>
      <c r="J176" s="24"/>
      <c r="K176" s="17"/>
      <c r="L176" s="24"/>
      <c r="M176" s="17"/>
      <c r="N176" s="17"/>
      <c r="O176" s="17"/>
      <c r="P176" s="24"/>
      <c r="Q176" s="17"/>
      <c r="R176" s="24"/>
      <c r="S176" s="24"/>
      <c r="T176" s="24"/>
      <c r="U176" s="24"/>
      <c r="V176" s="24"/>
      <c r="W176" s="24"/>
      <c r="X176" s="24"/>
      <c r="Y176" s="24"/>
      <c r="Z176" s="24"/>
      <c r="AA176" s="17"/>
      <c r="AB176" s="17"/>
      <c r="AC176" s="17"/>
      <c r="AD176" s="24"/>
      <c r="AE176" s="24"/>
      <c r="AF176" s="24"/>
      <c r="AG176" s="17"/>
      <c r="AH176" s="17"/>
      <c r="AI176" s="24"/>
      <c r="AJ176" s="24"/>
      <c r="AK176" s="24"/>
      <c r="AL176" s="24"/>
      <c r="AM176" s="24"/>
      <c r="AN176" s="24"/>
    </row>
    <row r="177" ht="15.75" customHeight="1">
      <c r="A177" s="24"/>
      <c r="B177" s="24"/>
      <c r="C177" s="24"/>
      <c r="D177" s="24"/>
      <c r="E177" s="24"/>
      <c r="F177" s="24"/>
      <c r="G177" s="40"/>
      <c r="H177" s="24"/>
      <c r="I177" s="17"/>
      <c r="J177" s="24"/>
      <c r="K177" s="17"/>
      <c r="L177" s="24"/>
      <c r="M177" s="17"/>
      <c r="N177" s="17"/>
      <c r="O177" s="17"/>
      <c r="P177" s="24"/>
      <c r="Q177" s="17"/>
      <c r="R177" s="24"/>
      <c r="S177" s="24"/>
      <c r="T177" s="24"/>
      <c r="U177" s="24"/>
      <c r="V177" s="24"/>
      <c r="W177" s="24"/>
      <c r="X177" s="24"/>
      <c r="Y177" s="24"/>
      <c r="Z177" s="24"/>
      <c r="AA177" s="17"/>
      <c r="AB177" s="17"/>
      <c r="AC177" s="17"/>
      <c r="AD177" s="24"/>
      <c r="AE177" s="24"/>
      <c r="AF177" s="24"/>
      <c r="AG177" s="17"/>
      <c r="AH177" s="17"/>
      <c r="AI177" s="24"/>
      <c r="AJ177" s="24"/>
      <c r="AK177" s="24"/>
      <c r="AL177" s="24"/>
      <c r="AM177" s="24"/>
      <c r="AN177" s="24"/>
    </row>
    <row r="178" ht="15.75" customHeight="1">
      <c r="A178" s="24"/>
      <c r="B178" s="24"/>
      <c r="C178" s="24"/>
      <c r="D178" s="24"/>
      <c r="E178" s="24"/>
      <c r="F178" s="24"/>
      <c r="G178" s="40"/>
      <c r="H178" s="24"/>
      <c r="I178" s="17"/>
      <c r="J178" s="24"/>
      <c r="K178" s="17"/>
      <c r="L178" s="24"/>
      <c r="M178" s="17"/>
      <c r="N178" s="17"/>
      <c r="O178" s="17"/>
      <c r="P178" s="24"/>
      <c r="Q178" s="17"/>
      <c r="R178" s="24"/>
      <c r="S178" s="24"/>
      <c r="T178" s="24"/>
      <c r="U178" s="24"/>
      <c r="V178" s="24"/>
      <c r="W178" s="24"/>
      <c r="X178" s="24"/>
      <c r="Y178" s="24"/>
      <c r="Z178" s="24"/>
      <c r="AA178" s="17"/>
      <c r="AB178" s="17"/>
      <c r="AC178" s="17"/>
      <c r="AD178" s="24"/>
      <c r="AE178" s="24"/>
      <c r="AF178" s="24"/>
      <c r="AG178" s="17"/>
      <c r="AH178" s="17"/>
      <c r="AI178" s="24"/>
      <c r="AJ178" s="24"/>
      <c r="AK178" s="24"/>
      <c r="AL178" s="24"/>
      <c r="AM178" s="24"/>
      <c r="AN178" s="24"/>
    </row>
    <row r="179" ht="15.75" customHeight="1">
      <c r="A179" s="24"/>
      <c r="B179" s="24"/>
      <c r="C179" s="24"/>
      <c r="D179" s="24"/>
      <c r="E179" s="24"/>
      <c r="F179" s="24"/>
      <c r="G179" s="40"/>
      <c r="H179" s="24"/>
      <c r="I179" s="17"/>
      <c r="J179" s="24"/>
      <c r="K179" s="17"/>
      <c r="L179" s="24"/>
      <c r="M179" s="17"/>
      <c r="N179" s="17"/>
      <c r="O179" s="17"/>
      <c r="P179" s="24"/>
      <c r="Q179" s="17"/>
      <c r="R179" s="24"/>
      <c r="S179" s="24"/>
      <c r="T179" s="24"/>
      <c r="U179" s="24"/>
      <c r="V179" s="24"/>
      <c r="W179" s="24"/>
      <c r="X179" s="24"/>
      <c r="Y179" s="24"/>
      <c r="Z179" s="24"/>
      <c r="AA179" s="17"/>
      <c r="AB179" s="17"/>
      <c r="AC179" s="17"/>
      <c r="AD179" s="24"/>
      <c r="AE179" s="24"/>
      <c r="AF179" s="24"/>
      <c r="AG179" s="17"/>
      <c r="AH179" s="17"/>
      <c r="AI179" s="24"/>
      <c r="AJ179" s="24"/>
      <c r="AK179" s="24"/>
      <c r="AL179" s="24"/>
      <c r="AM179" s="24"/>
      <c r="AN179" s="24"/>
    </row>
    <row r="180" ht="15.75" customHeight="1">
      <c r="A180" s="24"/>
      <c r="B180" s="24"/>
      <c r="C180" s="24"/>
      <c r="D180" s="24"/>
      <c r="E180" s="24"/>
      <c r="F180" s="24"/>
      <c r="G180" s="40"/>
      <c r="H180" s="24"/>
      <c r="I180" s="17"/>
      <c r="J180" s="24"/>
      <c r="K180" s="17"/>
      <c r="L180" s="24"/>
      <c r="M180" s="17"/>
      <c r="N180" s="17"/>
      <c r="O180" s="17"/>
      <c r="P180" s="24"/>
      <c r="Q180" s="17"/>
      <c r="R180" s="24"/>
      <c r="S180" s="24"/>
      <c r="T180" s="24"/>
      <c r="U180" s="24"/>
      <c r="V180" s="24"/>
      <c r="W180" s="24"/>
      <c r="X180" s="24"/>
      <c r="Y180" s="24"/>
      <c r="Z180" s="24"/>
      <c r="AA180" s="17"/>
      <c r="AB180" s="17"/>
      <c r="AC180" s="17"/>
      <c r="AD180" s="24"/>
      <c r="AE180" s="24"/>
      <c r="AF180" s="24"/>
      <c r="AG180" s="17"/>
      <c r="AH180" s="17"/>
      <c r="AI180" s="24"/>
      <c r="AJ180" s="24"/>
      <c r="AK180" s="24"/>
      <c r="AL180" s="24"/>
      <c r="AM180" s="24"/>
      <c r="AN180" s="24"/>
    </row>
    <row r="181" ht="15.75" customHeight="1">
      <c r="A181" s="24"/>
      <c r="B181" s="24"/>
      <c r="C181" s="24"/>
      <c r="D181" s="24"/>
      <c r="E181" s="24"/>
      <c r="F181" s="24"/>
      <c r="G181" s="40"/>
      <c r="H181" s="24"/>
      <c r="I181" s="17"/>
      <c r="J181" s="24"/>
      <c r="K181" s="17"/>
      <c r="L181" s="24"/>
      <c r="M181" s="17"/>
      <c r="N181" s="17"/>
      <c r="O181" s="17"/>
      <c r="P181" s="24"/>
      <c r="Q181" s="17"/>
      <c r="R181" s="24"/>
      <c r="S181" s="24"/>
      <c r="T181" s="24"/>
      <c r="U181" s="24"/>
      <c r="V181" s="24"/>
      <c r="W181" s="24"/>
      <c r="X181" s="24"/>
      <c r="Y181" s="24"/>
      <c r="Z181" s="24"/>
      <c r="AA181" s="17"/>
      <c r="AB181" s="17"/>
      <c r="AC181" s="17"/>
      <c r="AD181" s="24"/>
      <c r="AE181" s="24"/>
      <c r="AF181" s="24"/>
      <c r="AG181" s="17"/>
      <c r="AH181" s="17"/>
      <c r="AI181" s="24"/>
      <c r="AJ181" s="24"/>
      <c r="AK181" s="24"/>
      <c r="AL181" s="24"/>
      <c r="AM181" s="24"/>
      <c r="AN181" s="24"/>
    </row>
    <row r="182" ht="15.75" customHeight="1">
      <c r="A182" s="24"/>
      <c r="B182" s="24"/>
      <c r="C182" s="24"/>
      <c r="D182" s="24"/>
      <c r="E182" s="24"/>
      <c r="F182" s="24"/>
      <c r="G182" s="40"/>
      <c r="H182" s="24"/>
      <c r="I182" s="17"/>
      <c r="J182" s="24"/>
      <c r="K182" s="17"/>
      <c r="L182" s="24"/>
      <c r="M182" s="17"/>
      <c r="N182" s="17"/>
      <c r="O182" s="17"/>
      <c r="P182" s="24"/>
      <c r="Q182" s="17"/>
      <c r="R182" s="24"/>
      <c r="S182" s="24"/>
      <c r="T182" s="24"/>
      <c r="U182" s="24"/>
      <c r="V182" s="24"/>
      <c r="W182" s="24"/>
      <c r="X182" s="24"/>
      <c r="Y182" s="24"/>
      <c r="Z182" s="24"/>
      <c r="AA182" s="17"/>
      <c r="AB182" s="17"/>
      <c r="AC182" s="17"/>
      <c r="AD182" s="24"/>
      <c r="AE182" s="24"/>
      <c r="AF182" s="24"/>
      <c r="AG182" s="17"/>
      <c r="AH182" s="17"/>
      <c r="AI182" s="24"/>
      <c r="AJ182" s="24"/>
      <c r="AK182" s="24"/>
      <c r="AL182" s="24"/>
      <c r="AM182" s="24"/>
      <c r="AN182" s="24"/>
    </row>
    <row r="183" ht="15.75" customHeight="1">
      <c r="A183" s="24"/>
      <c r="B183" s="24"/>
      <c r="C183" s="24"/>
      <c r="D183" s="24"/>
      <c r="E183" s="24"/>
      <c r="F183" s="24"/>
      <c r="G183" s="40"/>
      <c r="H183" s="24"/>
      <c r="I183" s="17"/>
      <c r="J183" s="24"/>
      <c r="K183" s="17"/>
      <c r="L183" s="24"/>
      <c r="M183" s="17"/>
      <c r="N183" s="17"/>
      <c r="O183" s="17"/>
      <c r="P183" s="24"/>
      <c r="Q183" s="17"/>
      <c r="R183" s="24"/>
      <c r="S183" s="24"/>
      <c r="T183" s="24"/>
      <c r="U183" s="24"/>
      <c r="V183" s="24"/>
      <c r="W183" s="24"/>
      <c r="X183" s="24"/>
      <c r="Y183" s="24"/>
      <c r="Z183" s="24"/>
      <c r="AA183" s="17"/>
      <c r="AB183" s="17"/>
      <c r="AC183" s="17"/>
      <c r="AD183" s="24"/>
      <c r="AE183" s="24"/>
      <c r="AF183" s="24"/>
      <c r="AG183" s="17"/>
      <c r="AH183" s="17"/>
      <c r="AI183" s="24"/>
      <c r="AJ183" s="24"/>
      <c r="AK183" s="24"/>
      <c r="AL183" s="24"/>
      <c r="AM183" s="24"/>
      <c r="AN183" s="24"/>
    </row>
    <row r="184" ht="15.75" customHeight="1">
      <c r="A184" s="24"/>
      <c r="B184" s="24"/>
      <c r="C184" s="24"/>
      <c r="D184" s="24"/>
      <c r="E184" s="24"/>
      <c r="F184" s="24"/>
      <c r="G184" s="40"/>
      <c r="H184" s="24"/>
      <c r="I184" s="17"/>
      <c r="J184" s="24"/>
      <c r="K184" s="17"/>
      <c r="L184" s="24"/>
      <c r="M184" s="17"/>
      <c r="N184" s="17"/>
      <c r="O184" s="17"/>
      <c r="P184" s="24"/>
      <c r="Q184" s="17"/>
      <c r="R184" s="24"/>
      <c r="S184" s="24"/>
      <c r="T184" s="24"/>
      <c r="U184" s="24"/>
      <c r="V184" s="24"/>
      <c r="W184" s="24"/>
      <c r="X184" s="24"/>
      <c r="Y184" s="24"/>
      <c r="Z184" s="24"/>
      <c r="AA184" s="17"/>
      <c r="AB184" s="17"/>
      <c r="AC184" s="17"/>
      <c r="AD184" s="24"/>
      <c r="AE184" s="24"/>
      <c r="AF184" s="24"/>
      <c r="AG184" s="17"/>
      <c r="AH184" s="17"/>
      <c r="AI184" s="24"/>
      <c r="AJ184" s="24"/>
      <c r="AK184" s="24"/>
      <c r="AL184" s="24"/>
      <c r="AM184" s="24"/>
      <c r="AN184" s="24"/>
    </row>
    <row r="185" ht="15.75" customHeight="1">
      <c r="A185" s="24"/>
      <c r="B185" s="24"/>
      <c r="C185" s="24"/>
      <c r="D185" s="24"/>
      <c r="E185" s="24"/>
      <c r="F185" s="24"/>
      <c r="G185" s="40"/>
      <c r="H185" s="24"/>
      <c r="I185" s="17"/>
      <c r="J185" s="24"/>
      <c r="K185" s="17"/>
      <c r="L185" s="24"/>
      <c r="M185" s="17"/>
      <c r="N185" s="17"/>
      <c r="O185" s="17"/>
      <c r="P185" s="24"/>
      <c r="Q185" s="17"/>
      <c r="R185" s="24"/>
      <c r="S185" s="24"/>
      <c r="T185" s="24"/>
      <c r="U185" s="24"/>
      <c r="V185" s="24"/>
      <c r="W185" s="24"/>
      <c r="X185" s="24"/>
      <c r="Y185" s="24"/>
      <c r="Z185" s="24"/>
      <c r="AA185" s="17"/>
      <c r="AB185" s="17"/>
      <c r="AC185" s="17"/>
      <c r="AD185" s="24"/>
      <c r="AE185" s="24"/>
      <c r="AF185" s="24"/>
      <c r="AG185" s="17"/>
      <c r="AH185" s="17"/>
      <c r="AI185" s="24"/>
      <c r="AJ185" s="24"/>
      <c r="AK185" s="24"/>
      <c r="AL185" s="24"/>
      <c r="AM185" s="24"/>
      <c r="AN185" s="24"/>
    </row>
    <row r="186" ht="15.75" customHeight="1">
      <c r="A186" s="24"/>
      <c r="B186" s="24"/>
      <c r="C186" s="24"/>
      <c r="D186" s="24"/>
      <c r="E186" s="24"/>
      <c r="F186" s="24"/>
      <c r="G186" s="40"/>
      <c r="H186" s="24"/>
      <c r="I186" s="17"/>
      <c r="J186" s="24"/>
      <c r="K186" s="17"/>
      <c r="L186" s="24"/>
      <c r="M186" s="17"/>
      <c r="N186" s="17"/>
      <c r="O186" s="17"/>
      <c r="P186" s="24"/>
      <c r="Q186" s="17"/>
      <c r="R186" s="24"/>
      <c r="S186" s="24"/>
      <c r="T186" s="24"/>
      <c r="U186" s="24"/>
      <c r="V186" s="24"/>
      <c r="W186" s="24"/>
      <c r="X186" s="24"/>
      <c r="Y186" s="24"/>
      <c r="Z186" s="24"/>
      <c r="AA186" s="17"/>
      <c r="AB186" s="17"/>
      <c r="AC186" s="17"/>
      <c r="AD186" s="24"/>
      <c r="AE186" s="24"/>
      <c r="AF186" s="24"/>
      <c r="AG186" s="17"/>
      <c r="AH186" s="17"/>
      <c r="AI186" s="24"/>
      <c r="AJ186" s="24"/>
      <c r="AK186" s="24"/>
      <c r="AL186" s="24"/>
      <c r="AM186" s="24"/>
      <c r="AN186" s="24"/>
    </row>
    <row r="187" ht="15.75" customHeight="1">
      <c r="A187" s="24"/>
      <c r="B187" s="24"/>
      <c r="C187" s="24"/>
      <c r="D187" s="24"/>
      <c r="E187" s="24"/>
      <c r="F187" s="24"/>
      <c r="G187" s="40"/>
      <c r="H187" s="24"/>
      <c r="I187" s="17"/>
      <c r="J187" s="24"/>
      <c r="K187" s="17"/>
      <c r="L187" s="24"/>
      <c r="M187" s="17"/>
      <c r="N187" s="17"/>
      <c r="O187" s="17"/>
      <c r="P187" s="24"/>
      <c r="Q187" s="17"/>
      <c r="R187" s="24"/>
      <c r="S187" s="24"/>
      <c r="T187" s="24"/>
      <c r="U187" s="24"/>
      <c r="V187" s="24"/>
      <c r="W187" s="24"/>
      <c r="X187" s="24"/>
      <c r="Y187" s="24"/>
      <c r="Z187" s="24"/>
      <c r="AA187" s="17"/>
      <c r="AB187" s="17"/>
      <c r="AC187" s="17"/>
      <c r="AD187" s="24"/>
      <c r="AE187" s="24"/>
      <c r="AF187" s="24"/>
      <c r="AG187" s="17"/>
      <c r="AH187" s="17"/>
      <c r="AI187" s="24"/>
      <c r="AJ187" s="24"/>
      <c r="AK187" s="24"/>
      <c r="AL187" s="24"/>
      <c r="AM187" s="24"/>
      <c r="AN187" s="24"/>
    </row>
    <row r="188" ht="15.75" customHeight="1">
      <c r="A188" s="24"/>
      <c r="B188" s="24"/>
      <c r="C188" s="24"/>
      <c r="D188" s="24"/>
      <c r="E188" s="24"/>
      <c r="F188" s="24"/>
      <c r="G188" s="40"/>
      <c r="H188" s="24"/>
      <c r="I188" s="17"/>
      <c r="J188" s="24"/>
      <c r="K188" s="17"/>
      <c r="L188" s="24"/>
      <c r="M188" s="17"/>
      <c r="N188" s="17"/>
      <c r="O188" s="17"/>
      <c r="P188" s="24"/>
      <c r="Q188" s="17"/>
      <c r="R188" s="24"/>
      <c r="S188" s="24"/>
      <c r="T188" s="24"/>
      <c r="U188" s="24"/>
      <c r="V188" s="24"/>
      <c r="W188" s="24"/>
      <c r="X188" s="24"/>
      <c r="Y188" s="24"/>
      <c r="Z188" s="24"/>
      <c r="AA188" s="17"/>
      <c r="AB188" s="17"/>
      <c r="AC188" s="17"/>
      <c r="AD188" s="24"/>
      <c r="AE188" s="24"/>
      <c r="AF188" s="24"/>
      <c r="AG188" s="17"/>
      <c r="AH188" s="17"/>
      <c r="AI188" s="24"/>
      <c r="AJ188" s="24"/>
      <c r="AK188" s="24"/>
      <c r="AL188" s="24"/>
      <c r="AM188" s="24"/>
      <c r="AN188" s="24"/>
    </row>
    <row r="189" ht="15.75" customHeight="1">
      <c r="A189" s="24"/>
      <c r="B189" s="24"/>
      <c r="C189" s="24"/>
      <c r="D189" s="24"/>
      <c r="E189" s="24"/>
      <c r="F189" s="24"/>
      <c r="G189" s="40"/>
      <c r="H189" s="24"/>
      <c r="I189" s="17"/>
      <c r="J189" s="24"/>
      <c r="K189" s="17"/>
      <c r="L189" s="24"/>
      <c r="M189" s="17"/>
      <c r="N189" s="17"/>
      <c r="O189" s="17"/>
      <c r="P189" s="24"/>
      <c r="Q189" s="17"/>
      <c r="R189" s="24"/>
      <c r="S189" s="24"/>
      <c r="T189" s="24"/>
      <c r="U189" s="24"/>
      <c r="V189" s="24"/>
      <c r="W189" s="24"/>
      <c r="X189" s="24"/>
      <c r="Y189" s="24"/>
      <c r="Z189" s="24"/>
      <c r="AA189" s="17"/>
      <c r="AB189" s="17"/>
      <c r="AC189" s="17"/>
      <c r="AD189" s="24"/>
      <c r="AE189" s="24"/>
      <c r="AF189" s="24"/>
      <c r="AG189" s="17"/>
      <c r="AH189" s="17"/>
      <c r="AI189" s="24"/>
      <c r="AJ189" s="24"/>
      <c r="AK189" s="24"/>
      <c r="AL189" s="24"/>
      <c r="AM189" s="24"/>
      <c r="AN189" s="24"/>
    </row>
    <row r="190" ht="15.75" customHeight="1">
      <c r="A190" s="24"/>
      <c r="B190" s="24"/>
      <c r="C190" s="24"/>
      <c r="D190" s="24"/>
      <c r="E190" s="24"/>
      <c r="F190" s="24"/>
      <c r="G190" s="40"/>
      <c r="H190" s="24"/>
      <c r="I190" s="17"/>
      <c r="J190" s="24"/>
      <c r="K190" s="17"/>
      <c r="L190" s="24"/>
      <c r="M190" s="17"/>
      <c r="N190" s="17"/>
      <c r="O190" s="17"/>
      <c r="P190" s="24"/>
      <c r="Q190" s="17"/>
      <c r="R190" s="24"/>
      <c r="S190" s="24"/>
      <c r="T190" s="24"/>
      <c r="U190" s="24"/>
      <c r="V190" s="24"/>
      <c r="W190" s="24"/>
      <c r="X190" s="24"/>
      <c r="Y190" s="24"/>
      <c r="Z190" s="24"/>
      <c r="AA190" s="17"/>
      <c r="AB190" s="17"/>
      <c r="AC190" s="17"/>
      <c r="AD190" s="24"/>
      <c r="AE190" s="24"/>
      <c r="AF190" s="24"/>
      <c r="AG190" s="17"/>
      <c r="AH190" s="17"/>
      <c r="AI190" s="24"/>
      <c r="AJ190" s="24"/>
      <c r="AK190" s="24"/>
      <c r="AL190" s="24"/>
      <c r="AM190" s="24"/>
      <c r="AN190" s="24"/>
    </row>
    <row r="191" ht="15.75" customHeight="1">
      <c r="A191" s="24"/>
      <c r="B191" s="24"/>
      <c r="C191" s="24"/>
      <c r="D191" s="24"/>
      <c r="E191" s="24"/>
      <c r="F191" s="24"/>
      <c r="G191" s="40"/>
      <c r="H191" s="24"/>
      <c r="I191" s="17"/>
      <c r="J191" s="24"/>
      <c r="K191" s="17"/>
      <c r="L191" s="24"/>
      <c r="M191" s="17"/>
      <c r="N191" s="17"/>
      <c r="O191" s="17"/>
      <c r="P191" s="24"/>
      <c r="Q191" s="17"/>
      <c r="R191" s="24"/>
      <c r="S191" s="24"/>
      <c r="T191" s="24"/>
      <c r="U191" s="24"/>
      <c r="V191" s="24"/>
      <c r="W191" s="24"/>
      <c r="X191" s="24"/>
      <c r="Y191" s="24"/>
      <c r="Z191" s="24"/>
      <c r="AA191" s="17"/>
      <c r="AB191" s="17"/>
      <c r="AC191" s="17"/>
      <c r="AD191" s="24"/>
      <c r="AE191" s="24"/>
      <c r="AF191" s="24"/>
      <c r="AG191" s="17"/>
      <c r="AH191" s="17"/>
      <c r="AI191" s="24"/>
      <c r="AJ191" s="24"/>
      <c r="AK191" s="24"/>
      <c r="AL191" s="24"/>
      <c r="AM191" s="24"/>
      <c r="AN191" s="24"/>
    </row>
    <row r="192" ht="15.75" customHeight="1">
      <c r="A192" s="24"/>
      <c r="B192" s="24"/>
      <c r="C192" s="24"/>
      <c r="D192" s="24"/>
      <c r="E192" s="24"/>
      <c r="F192" s="24"/>
      <c r="G192" s="40"/>
      <c r="H192" s="24"/>
      <c r="I192" s="17"/>
      <c r="J192" s="24"/>
      <c r="K192" s="17"/>
      <c r="L192" s="24"/>
      <c r="M192" s="17"/>
      <c r="N192" s="17"/>
      <c r="O192" s="17"/>
      <c r="P192" s="24"/>
      <c r="Q192" s="17"/>
      <c r="R192" s="24"/>
      <c r="S192" s="24"/>
      <c r="T192" s="24"/>
      <c r="U192" s="24"/>
      <c r="V192" s="24"/>
      <c r="W192" s="24"/>
      <c r="X192" s="24"/>
      <c r="Y192" s="24"/>
      <c r="Z192" s="24"/>
      <c r="AA192" s="17"/>
      <c r="AB192" s="17"/>
      <c r="AC192" s="17"/>
      <c r="AD192" s="24"/>
      <c r="AE192" s="24"/>
      <c r="AF192" s="24"/>
      <c r="AG192" s="17"/>
      <c r="AH192" s="17"/>
      <c r="AI192" s="24"/>
      <c r="AJ192" s="24"/>
      <c r="AK192" s="24"/>
      <c r="AL192" s="24"/>
      <c r="AM192" s="24"/>
      <c r="AN192" s="24"/>
    </row>
    <row r="193" ht="15.75" customHeight="1">
      <c r="A193" s="24"/>
      <c r="B193" s="24"/>
      <c r="C193" s="24"/>
      <c r="D193" s="24"/>
      <c r="E193" s="24"/>
      <c r="F193" s="24"/>
      <c r="G193" s="40"/>
      <c r="H193" s="24"/>
      <c r="I193" s="17"/>
      <c r="J193" s="24"/>
      <c r="K193" s="17"/>
      <c r="L193" s="24"/>
      <c r="M193" s="17"/>
      <c r="N193" s="17"/>
      <c r="O193" s="17"/>
      <c r="P193" s="24"/>
      <c r="Q193" s="17"/>
      <c r="R193" s="24"/>
      <c r="S193" s="24"/>
      <c r="T193" s="24"/>
      <c r="U193" s="24"/>
      <c r="V193" s="24"/>
      <c r="W193" s="24"/>
      <c r="X193" s="24"/>
      <c r="Y193" s="24"/>
      <c r="Z193" s="24"/>
      <c r="AA193" s="17"/>
      <c r="AB193" s="17"/>
      <c r="AC193" s="17"/>
      <c r="AD193" s="24"/>
      <c r="AE193" s="24"/>
      <c r="AF193" s="24"/>
      <c r="AG193" s="17"/>
      <c r="AH193" s="17"/>
      <c r="AI193" s="24"/>
      <c r="AJ193" s="24"/>
      <c r="AK193" s="24"/>
      <c r="AL193" s="24"/>
      <c r="AM193" s="24"/>
      <c r="AN193" s="24"/>
    </row>
    <row r="194" ht="15.75" customHeight="1">
      <c r="A194" s="24"/>
      <c r="B194" s="24"/>
      <c r="C194" s="24"/>
      <c r="D194" s="24"/>
      <c r="E194" s="24"/>
      <c r="F194" s="24"/>
      <c r="G194" s="40"/>
      <c r="H194" s="24"/>
      <c r="I194" s="17"/>
      <c r="J194" s="24"/>
      <c r="K194" s="17"/>
      <c r="L194" s="24"/>
      <c r="M194" s="17"/>
      <c r="N194" s="17"/>
      <c r="O194" s="17"/>
      <c r="P194" s="24"/>
      <c r="Q194" s="17"/>
      <c r="R194" s="24"/>
      <c r="S194" s="24"/>
      <c r="T194" s="24"/>
      <c r="U194" s="24"/>
      <c r="V194" s="24"/>
      <c r="W194" s="24"/>
      <c r="X194" s="24"/>
      <c r="Y194" s="24"/>
      <c r="Z194" s="24"/>
      <c r="AA194" s="17"/>
      <c r="AB194" s="17"/>
      <c r="AC194" s="17"/>
      <c r="AD194" s="24"/>
      <c r="AE194" s="24"/>
      <c r="AF194" s="24"/>
      <c r="AG194" s="17"/>
      <c r="AH194" s="17"/>
      <c r="AI194" s="24"/>
      <c r="AJ194" s="24"/>
      <c r="AK194" s="24"/>
      <c r="AL194" s="24"/>
      <c r="AM194" s="24"/>
      <c r="AN194" s="24"/>
    </row>
    <row r="195" ht="15.75" customHeight="1">
      <c r="A195" s="24"/>
      <c r="B195" s="24"/>
      <c r="C195" s="24"/>
      <c r="D195" s="24"/>
      <c r="E195" s="24"/>
      <c r="F195" s="24"/>
      <c r="G195" s="40"/>
      <c r="H195" s="24"/>
      <c r="I195" s="17"/>
      <c r="J195" s="24"/>
      <c r="K195" s="17"/>
      <c r="L195" s="24"/>
      <c r="M195" s="17"/>
      <c r="N195" s="17"/>
      <c r="O195" s="17"/>
      <c r="P195" s="24"/>
      <c r="Q195" s="17"/>
      <c r="R195" s="24"/>
      <c r="S195" s="24"/>
      <c r="T195" s="24"/>
      <c r="U195" s="24"/>
      <c r="V195" s="24"/>
      <c r="W195" s="24"/>
      <c r="X195" s="24"/>
      <c r="Y195" s="24"/>
      <c r="Z195" s="24"/>
      <c r="AA195" s="17"/>
      <c r="AB195" s="17"/>
      <c r="AC195" s="17"/>
      <c r="AD195" s="24"/>
      <c r="AE195" s="24"/>
      <c r="AF195" s="24"/>
      <c r="AG195" s="17"/>
      <c r="AH195" s="17"/>
      <c r="AI195" s="24"/>
      <c r="AJ195" s="24"/>
      <c r="AK195" s="24"/>
      <c r="AL195" s="24"/>
      <c r="AM195" s="24"/>
      <c r="AN195" s="24"/>
    </row>
    <row r="196" ht="15.75" customHeight="1">
      <c r="A196" s="24"/>
      <c r="B196" s="24"/>
      <c r="C196" s="24"/>
      <c r="D196" s="24"/>
      <c r="E196" s="24"/>
      <c r="F196" s="24"/>
      <c r="G196" s="40"/>
      <c r="H196" s="24"/>
      <c r="I196" s="17"/>
      <c r="J196" s="24"/>
      <c r="K196" s="17"/>
      <c r="L196" s="24"/>
      <c r="M196" s="17"/>
      <c r="N196" s="17"/>
      <c r="O196" s="17"/>
      <c r="P196" s="24"/>
      <c r="Q196" s="17"/>
      <c r="R196" s="24"/>
      <c r="S196" s="24"/>
      <c r="T196" s="24"/>
      <c r="U196" s="24"/>
      <c r="V196" s="24"/>
      <c r="W196" s="24"/>
      <c r="X196" s="24"/>
      <c r="Y196" s="24"/>
      <c r="Z196" s="24"/>
      <c r="AA196" s="17"/>
      <c r="AB196" s="17"/>
      <c r="AC196" s="17"/>
      <c r="AD196" s="24"/>
      <c r="AE196" s="24"/>
      <c r="AF196" s="24"/>
      <c r="AG196" s="17"/>
      <c r="AH196" s="17"/>
      <c r="AI196" s="24"/>
      <c r="AJ196" s="24"/>
      <c r="AK196" s="24"/>
      <c r="AL196" s="24"/>
      <c r="AM196" s="24"/>
      <c r="AN196" s="24"/>
    </row>
    <row r="197" ht="15.75" customHeight="1">
      <c r="A197" s="24"/>
      <c r="B197" s="24"/>
      <c r="C197" s="24"/>
      <c r="D197" s="24"/>
      <c r="E197" s="24"/>
      <c r="F197" s="24"/>
      <c r="G197" s="40"/>
      <c r="H197" s="24"/>
      <c r="I197" s="17"/>
      <c r="J197" s="24"/>
      <c r="K197" s="17"/>
      <c r="L197" s="24"/>
      <c r="M197" s="17"/>
      <c r="N197" s="17"/>
      <c r="O197" s="17"/>
      <c r="P197" s="24"/>
      <c r="Q197" s="17"/>
      <c r="R197" s="24"/>
      <c r="S197" s="24"/>
      <c r="T197" s="24"/>
      <c r="U197" s="24"/>
      <c r="V197" s="24"/>
      <c r="W197" s="24"/>
      <c r="X197" s="24"/>
      <c r="Y197" s="24"/>
      <c r="Z197" s="24"/>
      <c r="AA197" s="17"/>
      <c r="AB197" s="17"/>
      <c r="AC197" s="17"/>
      <c r="AD197" s="24"/>
      <c r="AE197" s="24"/>
      <c r="AF197" s="24"/>
      <c r="AG197" s="17"/>
      <c r="AH197" s="17"/>
      <c r="AI197" s="24"/>
      <c r="AJ197" s="24"/>
      <c r="AK197" s="24"/>
      <c r="AL197" s="24"/>
      <c r="AM197" s="24"/>
      <c r="AN197" s="24"/>
    </row>
    <row r="198" ht="15.75" customHeight="1">
      <c r="A198" s="24"/>
      <c r="B198" s="24"/>
      <c r="C198" s="24"/>
      <c r="D198" s="24"/>
      <c r="E198" s="24"/>
      <c r="F198" s="24"/>
      <c r="G198" s="40"/>
      <c r="H198" s="24"/>
      <c r="I198" s="17"/>
      <c r="J198" s="24"/>
      <c r="K198" s="17"/>
      <c r="L198" s="24"/>
      <c r="M198" s="17"/>
      <c r="N198" s="17"/>
      <c r="O198" s="17"/>
      <c r="P198" s="24"/>
      <c r="Q198" s="17"/>
      <c r="R198" s="24"/>
      <c r="S198" s="24"/>
      <c r="T198" s="24"/>
      <c r="U198" s="24"/>
      <c r="V198" s="24"/>
      <c r="W198" s="24"/>
      <c r="X198" s="24"/>
      <c r="Y198" s="24"/>
      <c r="Z198" s="24"/>
      <c r="AA198" s="17"/>
      <c r="AB198" s="17"/>
      <c r="AC198" s="17"/>
      <c r="AD198" s="24"/>
      <c r="AE198" s="24"/>
      <c r="AF198" s="24"/>
      <c r="AG198" s="17"/>
      <c r="AH198" s="17"/>
      <c r="AI198" s="24"/>
      <c r="AJ198" s="24"/>
      <c r="AK198" s="24"/>
      <c r="AL198" s="24"/>
      <c r="AM198" s="24"/>
      <c r="AN198" s="24"/>
    </row>
    <row r="199" ht="15.75" customHeight="1">
      <c r="A199" s="24"/>
      <c r="B199" s="24"/>
      <c r="C199" s="24"/>
      <c r="D199" s="24"/>
      <c r="E199" s="24"/>
      <c r="F199" s="24"/>
      <c r="G199" s="40"/>
      <c r="H199" s="24"/>
      <c r="I199" s="17"/>
      <c r="J199" s="24"/>
      <c r="K199" s="17"/>
      <c r="L199" s="24"/>
      <c r="M199" s="17"/>
      <c r="N199" s="17"/>
      <c r="O199" s="17"/>
      <c r="P199" s="24"/>
      <c r="Q199" s="17"/>
      <c r="R199" s="24"/>
      <c r="S199" s="24"/>
      <c r="T199" s="24"/>
      <c r="U199" s="24"/>
      <c r="V199" s="24"/>
      <c r="W199" s="24"/>
      <c r="X199" s="24"/>
      <c r="Y199" s="24"/>
      <c r="Z199" s="24"/>
      <c r="AA199" s="17"/>
      <c r="AB199" s="17"/>
      <c r="AC199" s="17"/>
      <c r="AD199" s="24"/>
      <c r="AE199" s="24"/>
      <c r="AF199" s="24"/>
      <c r="AG199" s="17"/>
      <c r="AH199" s="17"/>
      <c r="AI199" s="24"/>
      <c r="AJ199" s="24"/>
      <c r="AK199" s="24"/>
      <c r="AL199" s="24"/>
      <c r="AM199" s="24"/>
      <c r="AN199" s="24"/>
    </row>
    <row r="200" ht="15.75" customHeight="1">
      <c r="A200" s="24"/>
      <c r="B200" s="24"/>
      <c r="C200" s="24"/>
      <c r="D200" s="24"/>
      <c r="E200" s="24"/>
      <c r="F200" s="24"/>
      <c r="G200" s="40"/>
      <c r="H200" s="24"/>
      <c r="I200" s="17"/>
      <c r="J200" s="24"/>
      <c r="K200" s="17"/>
      <c r="L200" s="24"/>
      <c r="M200" s="17"/>
      <c r="N200" s="17"/>
      <c r="O200" s="17"/>
      <c r="P200" s="24"/>
      <c r="Q200" s="17"/>
      <c r="R200" s="24"/>
      <c r="S200" s="24"/>
      <c r="T200" s="24"/>
      <c r="U200" s="24"/>
      <c r="V200" s="24"/>
      <c r="W200" s="24"/>
      <c r="X200" s="24"/>
      <c r="Y200" s="24"/>
      <c r="Z200" s="24"/>
      <c r="AA200" s="17"/>
      <c r="AB200" s="17"/>
      <c r="AC200" s="17"/>
      <c r="AD200" s="24"/>
      <c r="AE200" s="24"/>
      <c r="AF200" s="24"/>
      <c r="AG200" s="17"/>
      <c r="AH200" s="17"/>
      <c r="AI200" s="24"/>
      <c r="AJ200" s="24"/>
      <c r="AK200" s="24"/>
      <c r="AL200" s="24"/>
      <c r="AM200" s="24"/>
      <c r="AN200" s="24"/>
    </row>
    <row r="201" ht="15.75" customHeight="1">
      <c r="A201" s="24"/>
      <c r="B201" s="24"/>
      <c r="C201" s="24"/>
      <c r="D201" s="24"/>
      <c r="E201" s="24"/>
      <c r="F201" s="24"/>
      <c r="G201" s="40"/>
      <c r="H201" s="24"/>
      <c r="I201" s="17"/>
      <c r="J201" s="24"/>
      <c r="K201" s="17"/>
      <c r="L201" s="24"/>
      <c r="M201" s="17"/>
      <c r="N201" s="17"/>
      <c r="O201" s="17"/>
      <c r="P201" s="24"/>
      <c r="Q201" s="17"/>
      <c r="R201" s="24"/>
      <c r="S201" s="24"/>
      <c r="T201" s="24"/>
      <c r="U201" s="24"/>
      <c r="V201" s="24"/>
      <c r="W201" s="24"/>
      <c r="X201" s="24"/>
      <c r="Y201" s="24"/>
      <c r="Z201" s="24"/>
      <c r="AA201" s="17"/>
      <c r="AB201" s="17"/>
      <c r="AC201" s="17"/>
      <c r="AD201" s="24"/>
      <c r="AE201" s="24"/>
      <c r="AF201" s="24"/>
      <c r="AG201" s="17"/>
      <c r="AH201" s="17"/>
      <c r="AI201" s="24"/>
      <c r="AJ201" s="24"/>
      <c r="AK201" s="24"/>
      <c r="AL201" s="24"/>
      <c r="AM201" s="24"/>
      <c r="AN201" s="24"/>
    </row>
    <row r="202" ht="15.75" customHeight="1">
      <c r="A202" s="24"/>
      <c r="B202" s="24"/>
      <c r="C202" s="24"/>
      <c r="D202" s="24"/>
      <c r="E202" s="24"/>
      <c r="F202" s="24"/>
      <c r="G202" s="40"/>
      <c r="H202" s="24"/>
      <c r="I202" s="17"/>
      <c r="J202" s="24"/>
      <c r="K202" s="17"/>
      <c r="L202" s="24"/>
      <c r="M202" s="17"/>
      <c r="N202" s="17"/>
      <c r="O202" s="17"/>
      <c r="P202" s="24"/>
      <c r="Q202" s="17"/>
      <c r="R202" s="24"/>
      <c r="S202" s="24"/>
      <c r="T202" s="24"/>
      <c r="U202" s="24"/>
      <c r="V202" s="24"/>
      <c r="W202" s="24"/>
      <c r="X202" s="24"/>
      <c r="Y202" s="24"/>
      <c r="Z202" s="24"/>
      <c r="AA202" s="17"/>
      <c r="AB202" s="17"/>
      <c r="AC202" s="17"/>
      <c r="AD202" s="24"/>
      <c r="AE202" s="24"/>
      <c r="AF202" s="24"/>
      <c r="AG202" s="17"/>
      <c r="AH202" s="17"/>
      <c r="AI202" s="24"/>
      <c r="AJ202" s="24"/>
      <c r="AK202" s="24"/>
      <c r="AL202" s="24"/>
      <c r="AM202" s="24"/>
      <c r="AN202" s="24"/>
    </row>
    <row r="203" ht="15.75" customHeight="1">
      <c r="A203" s="24"/>
      <c r="B203" s="24"/>
      <c r="C203" s="24"/>
      <c r="D203" s="24"/>
      <c r="E203" s="24"/>
      <c r="F203" s="24"/>
      <c r="G203" s="40"/>
      <c r="H203" s="24"/>
      <c r="I203" s="17"/>
      <c r="J203" s="24"/>
      <c r="K203" s="17"/>
      <c r="L203" s="24"/>
      <c r="M203" s="17"/>
      <c r="N203" s="17"/>
      <c r="O203" s="17"/>
      <c r="P203" s="24"/>
      <c r="Q203" s="17"/>
      <c r="R203" s="24"/>
      <c r="S203" s="24"/>
      <c r="T203" s="24"/>
      <c r="U203" s="24"/>
      <c r="V203" s="24"/>
      <c r="W203" s="24"/>
      <c r="X203" s="24"/>
      <c r="Y203" s="24"/>
      <c r="Z203" s="24"/>
      <c r="AA203" s="17"/>
      <c r="AB203" s="17"/>
      <c r="AC203" s="17"/>
      <c r="AD203" s="24"/>
      <c r="AE203" s="24"/>
      <c r="AF203" s="24"/>
      <c r="AG203" s="17"/>
      <c r="AH203" s="17"/>
      <c r="AI203" s="24"/>
      <c r="AJ203" s="24"/>
      <c r="AK203" s="24"/>
      <c r="AL203" s="24"/>
      <c r="AM203" s="24"/>
      <c r="AN203" s="24"/>
    </row>
    <row r="204" ht="15.75" customHeight="1">
      <c r="A204" s="24"/>
      <c r="B204" s="24"/>
      <c r="C204" s="24"/>
      <c r="D204" s="24"/>
      <c r="E204" s="24"/>
      <c r="F204" s="24"/>
      <c r="G204" s="40"/>
      <c r="H204" s="24"/>
      <c r="I204" s="17"/>
      <c r="J204" s="24"/>
      <c r="K204" s="17"/>
      <c r="L204" s="24"/>
      <c r="M204" s="17"/>
      <c r="N204" s="17"/>
      <c r="O204" s="17"/>
      <c r="P204" s="24"/>
      <c r="Q204" s="17"/>
      <c r="R204" s="24"/>
      <c r="S204" s="24"/>
      <c r="T204" s="24"/>
      <c r="U204" s="24"/>
      <c r="V204" s="24"/>
      <c r="W204" s="24"/>
      <c r="X204" s="24"/>
      <c r="Y204" s="24"/>
      <c r="Z204" s="24"/>
      <c r="AA204" s="17"/>
      <c r="AB204" s="17"/>
      <c r="AC204" s="17"/>
      <c r="AD204" s="24"/>
      <c r="AE204" s="24"/>
      <c r="AF204" s="24"/>
      <c r="AG204" s="17"/>
      <c r="AH204" s="17"/>
      <c r="AI204" s="24"/>
      <c r="AJ204" s="24"/>
      <c r="AK204" s="24"/>
      <c r="AL204" s="24"/>
      <c r="AM204" s="24"/>
      <c r="AN204" s="24"/>
    </row>
    <row r="205" ht="15.75" customHeight="1">
      <c r="A205" s="24"/>
      <c r="B205" s="24"/>
      <c r="C205" s="24"/>
      <c r="D205" s="24"/>
      <c r="E205" s="24"/>
      <c r="F205" s="24"/>
      <c r="G205" s="40"/>
      <c r="H205" s="24"/>
      <c r="I205" s="17"/>
      <c r="J205" s="24"/>
      <c r="K205" s="17"/>
      <c r="L205" s="24"/>
      <c r="M205" s="17"/>
      <c r="N205" s="17"/>
      <c r="O205" s="17"/>
      <c r="P205" s="24"/>
      <c r="Q205" s="17"/>
      <c r="R205" s="24"/>
      <c r="S205" s="24"/>
      <c r="T205" s="24"/>
      <c r="U205" s="24"/>
      <c r="V205" s="24"/>
      <c r="W205" s="24"/>
      <c r="X205" s="24"/>
      <c r="Y205" s="24"/>
      <c r="Z205" s="24"/>
      <c r="AA205" s="17"/>
      <c r="AB205" s="17"/>
      <c r="AC205" s="17"/>
      <c r="AD205" s="24"/>
      <c r="AE205" s="24"/>
      <c r="AF205" s="24"/>
      <c r="AG205" s="17"/>
      <c r="AH205" s="17"/>
      <c r="AI205" s="24"/>
      <c r="AJ205" s="24"/>
      <c r="AK205" s="24"/>
      <c r="AL205" s="24"/>
      <c r="AM205" s="24"/>
      <c r="AN205" s="24"/>
    </row>
    <row r="206" ht="15.75" customHeight="1">
      <c r="A206" s="24"/>
      <c r="B206" s="24"/>
      <c r="C206" s="24"/>
      <c r="D206" s="24"/>
      <c r="E206" s="24"/>
      <c r="F206" s="24"/>
      <c r="G206" s="40"/>
      <c r="H206" s="24"/>
      <c r="I206" s="17"/>
      <c r="J206" s="24"/>
      <c r="K206" s="17"/>
      <c r="L206" s="24"/>
      <c r="M206" s="17"/>
      <c r="N206" s="17"/>
      <c r="O206" s="17"/>
      <c r="P206" s="24"/>
      <c r="Q206" s="17"/>
      <c r="R206" s="24"/>
      <c r="S206" s="24"/>
      <c r="T206" s="24"/>
      <c r="U206" s="24"/>
      <c r="V206" s="24"/>
      <c r="W206" s="24"/>
      <c r="X206" s="24"/>
      <c r="Y206" s="24"/>
      <c r="Z206" s="24"/>
      <c r="AA206" s="17"/>
      <c r="AB206" s="17"/>
      <c r="AC206" s="17"/>
      <c r="AD206" s="24"/>
      <c r="AE206" s="24"/>
      <c r="AF206" s="24"/>
      <c r="AG206" s="17"/>
      <c r="AH206" s="17"/>
      <c r="AI206" s="24"/>
      <c r="AJ206" s="24"/>
      <c r="AK206" s="24"/>
      <c r="AL206" s="24"/>
      <c r="AM206" s="24"/>
      <c r="AN206" s="24"/>
    </row>
    <row r="207" ht="15.75" customHeight="1">
      <c r="A207" s="24"/>
      <c r="B207" s="24"/>
      <c r="C207" s="24"/>
      <c r="D207" s="24"/>
      <c r="E207" s="24"/>
      <c r="F207" s="24"/>
      <c r="G207" s="40"/>
      <c r="H207" s="24"/>
      <c r="I207" s="17"/>
      <c r="J207" s="24"/>
      <c r="K207" s="17"/>
      <c r="L207" s="24"/>
      <c r="M207" s="17"/>
      <c r="N207" s="17"/>
      <c r="O207" s="17"/>
      <c r="P207" s="24"/>
      <c r="Q207" s="17"/>
      <c r="R207" s="24"/>
      <c r="S207" s="24"/>
      <c r="T207" s="24"/>
      <c r="U207" s="24"/>
      <c r="V207" s="24"/>
      <c r="W207" s="24"/>
      <c r="X207" s="24"/>
      <c r="Y207" s="24"/>
      <c r="Z207" s="24"/>
      <c r="AA207" s="17"/>
      <c r="AB207" s="17"/>
      <c r="AC207" s="17"/>
      <c r="AD207" s="24"/>
      <c r="AE207" s="24"/>
      <c r="AF207" s="24"/>
      <c r="AG207" s="17"/>
      <c r="AH207" s="17"/>
      <c r="AI207" s="24"/>
      <c r="AJ207" s="24"/>
      <c r="AK207" s="24"/>
      <c r="AL207" s="24"/>
      <c r="AM207" s="24"/>
      <c r="AN207" s="24"/>
    </row>
    <row r="208" ht="15.75" customHeight="1">
      <c r="A208" s="24"/>
      <c r="B208" s="24"/>
      <c r="C208" s="24"/>
      <c r="D208" s="24"/>
      <c r="E208" s="24"/>
      <c r="F208" s="24"/>
      <c r="G208" s="40"/>
      <c r="H208" s="24"/>
      <c r="I208" s="17"/>
      <c r="J208" s="24"/>
      <c r="K208" s="17"/>
      <c r="L208" s="24"/>
      <c r="M208" s="17"/>
      <c r="N208" s="17"/>
      <c r="O208" s="17"/>
      <c r="P208" s="24"/>
      <c r="Q208" s="17"/>
      <c r="R208" s="24"/>
      <c r="S208" s="24"/>
      <c r="T208" s="24"/>
      <c r="U208" s="24"/>
      <c r="V208" s="24"/>
      <c r="W208" s="24"/>
      <c r="X208" s="24"/>
      <c r="Y208" s="24"/>
      <c r="Z208" s="24"/>
      <c r="AA208" s="17"/>
      <c r="AB208" s="17"/>
      <c r="AC208" s="17"/>
      <c r="AD208" s="24"/>
      <c r="AE208" s="24"/>
      <c r="AF208" s="24"/>
      <c r="AG208" s="17"/>
      <c r="AH208" s="17"/>
      <c r="AI208" s="24"/>
      <c r="AJ208" s="24"/>
      <c r="AK208" s="24"/>
      <c r="AL208" s="24"/>
      <c r="AM208" s="24"/>
      <c r="AN208" s="24"/>
    </row>
    <row r="209" ht="15.75" customHeight="1">
      <c r="A209" s="24"/>
      <c r="B209" s="24"/>
      <c r="C209" s="24"/>
      <c r="D209" s="24"/>
      <c r="E209" s="24"/>
      <c r="F209" s="24"/>
      <c r="G209" s="40"/>
      <c r="H209" s="24"/>
      <c r="I209" s="17"/>
      <c r="J209" s="24"/>
      <c r="K209" s="17"/>
      <c r="L209" s="24"/>
      <c r="M209" s="17"/>
      <c r="N209" s="17"/>
      <c r="O209" s="17"/>
      <c r="P209" s="24"/>
      <c r="Q209" s="17"/>
      <c r="R209" s="24"/>
      <c r="S209" s="24"/>
      <c r="T209" s="24"/>
      <c r="U209" s="24"/>
      <c r="V209" s="24"/>
      <c r="W209" s="24"/>
      <c r="X209" s="24"/>
      <c r="Y209" s="24"/>
      <c r="Z209" s="24"/>
      <c r="AA209" s="17"/>
      <c r="AB209" s="17"/>
      <c r="AC209" s="17"/>
      <c r="AD209" s="24"/>
      <c r="AE209" s="24"/>
      <c r="AF209" s="24"/>
      <c r="AG209" s="17"/>
      <c r="AH209" s="17"/>
      <c r="AI209" s="24"/>
      <c r="AJ209" s="24"/>
      <c r="AK209" s="24"/>
      <c r="AL209" s="24"/>
      <c r="AM209" s="24"/>
      <c r="AN209" s="24"/>
    </row>
    <row r="210" ht="15.75" customHeight="1">
      <c r="A210" s="24"/>
      <c r="B210" s="24"/>
      <c r="C210" s="24"/>
      <c r="D210" s="24"/>
      <c r="E210" s="24"/>
      <c r="F210" s="24"/>
      <c r="G210" s="40"/>
      <c r="H210" s="24"/>
      <c r="I210" s="17"/>
      <c r="J210" s="24"/>
      <c r="K210" s="17"/>
      <c r="L210" s="24"/>
      <c r="M210" s="17"/>
      <c r="N210" s="17"/>
      <c r="O210" s="17"/>
      <c r="P210" s="24"/>
      <c r="Q210" s="17"/>
      <c r="R210" s="24"/>
      <c r="S210" s="24"/>
      <c r="T210" s="24"/>
      <c r="U210" s="24"/>
      <c r="V210" s="24"/>
      <c r="W210" s="24"/>
      <c r="X210" s="24"/>
      <c r="Y210" s="24"/>
      <c r="Z210" s="24"/>
      <c r="AA210" s="17"/>
      <c r="AB210" s="17"/>
      <c r="AC210" s="17"/>
      <c r="AD210" s="24"/>
      <c r="AE210" s="24"/>
      <c r="AF210" s="24"/>
      <c r="AG210" s="17"/>
      <c r="AH210" s="17"/>
      <c r="AI210" s="24"/>
      <c r="AJ210" s="24"/>
      <c r="AK210" s="24"/>
      <c r="AL210" s="24"/>
      <c r="AM210" s="24"/>
      <c r="AN210" s="24"/>
    </row>
    <row r="211" ht="15.75" customHeight="1">
      <c r="A211" s="24"/>
      <c r="B211" s="24"/>
      <c r="C211" s="24"/>
      <c r="D211" s="24"/>
      <c r="E211" s="24"/>
      <c r="F211" s="24"/>
      <c r="G211" s="40"/>
      <c r="H211" s="24"/>
      <c r="I211" s="17"/>
      <c r="J211" s="24"/>
      <c r="K211" s="17"/>
      <c r="L211" s="24"/>
      <c r="M211" s="17"/>
      <c r="N211" s="17"/>
      <c r="O211" s="17"/>
      <c r="P211" s="24"/>
      <c r="Q211" s="17"/>
      <c r="R211" s="24"/>
      <c r="S211" s="24"/>
      <c r="T211" s="24"/>
      <c r="U211" s="24"/>
      <c r="V211" s="24"/>
      <c r="W211" s="24"/>
      <c r="X211" s="24"/>
      <c r="Y211" s="24"/>
      <c r="Z211" s="24"/>
      <c r="AA211" s="17"/>
      <c r="AB211" s="17"/>
      <c r="AC211" s="17"/>
      <c r="AD211" s="24"/>
      <c r="AE211" s="24"/>
      <c r="AF211" s="24"/>
      <c r="AG211" s="17"/>
      <c r="AH211" s="17"/>
      <c r="AI211" s="24"/>
      <c r="AJ211" s="24"/>
      <c r="AK211" s="24"/>
      <c r="AL211" s="24"/>
      <c r="AM211" s="24"/>
      <c r="AN211" s="24"/>
    </row>
    <row r="212" ht="15.75" customHeight="1">
      <c r="A212" s="24"/>
      <c r="B212" s="24"/>
      <c r="C212" s="24"/>
      <c r="D212" s="24"/>
      <c r="E212" s="24"/>
      <c r="F212" s="24"/>
      <c r="G212" s="40"/>
      <c r="H212" s="24"/>
      <c r="I212" s="17"/>
      <c r="J212" s="24"/>
      <c r="K212" s="17"/>
      <c r="L212" s="24"/>
      <c r="M212" s="17"/>
      <c r="N212" s="17"/>
      <c r="O212" s="17"/>
      <c r="P212" s="24"/>
      <c r="Q212" s="17"/>
      <c r="R212" s="24"/>
      <c r="S212" s="24"/>
      <c r="T212" s="24"/>
      <c r="U212" s="24"/>
      <c r="V212" s="24"/>
      <c r="W212" s="24"/>
      <c r="X212" s="24"/>
      <c r="Y212" s="24"/>
      <c r="Z212" s="24"/>
      <c r="AA212" s="17"/>
      <c r="AB212" s="17"/>
      <c r="AC212" s="17"/>
      <c r="AD212" s="24"/>
      <c r="AE212" s="24"/>
      <c r="AF212" s="24"/>
      <c r="AG212" s="17"/>
      <c r="AH212" s="17"/>
      <c r="AI212" s="24"/>
      <c r="AJ212" s="24"/>
      <c r="AK212" s="24"/>
      <c r="AL212" s="24"/>
      <c r="AM212" s="24"/>
      <c r="AN212" s="24"/>
    </row>
    <row r="213" ht="15.75" customHeight="1">
      <c r="A213" s="24"/>
      <c r="B213" s="24"/>
      <c r="C213" s="24"/>
      <c r="D213" s="24"/>
      <c r="E213" s="24"/>
      <c r="F213" s="24"/>
      <c r="G213" s="40"/>
      <c r="H213" s="24"/>
      <c r="I213" s="17"/>
      <c r="J213" s="24"/>
      <c r="K213" s="17"/>
      <c r="L213" s="24"/>
      <c r="M213" s="17"/>
      <c r="N213" s="17"/>
      <c r="O213" s="17"/>
      <c r="P213" s="24"/>
      <c r="Q213" s="17"/>
      <c r="R213" s="24"/>
      <c r="S213" s="24"/>
      <c r="T213" s="24"/>
      <c r="U213" s="24"/>
      <c r="V213" s="24"/>
      <c r="W213" s="24"/>
      <c r="X213" s="24"/>
      <c r="Y213" s="24"/>
      <c r="Z213" s="24"/>
      <c r="AA213" s="17"/>
      <c r="AB213" s="17"/>
      <c r="AC213" s="17"/>
      <c r="AD213" s="24"/>
      <c r="AE213" s="24"/>
      <c r="AF213" s="24"/>
      <c r="AG213" s="17"/>
      <c r="AH213" s="17"/>
      <c r="AI213" s="24"/>
      <c r="AJ213" s="24"/>
      <c r="AK213" s="24"/>
      <c r="AL213" s="24"/>
      <c r="AM213" s="24"/>
      <c r="AN213" s="24"/>
    </row>
    <row r="214" ht="15.75" customHeight="1">
      <c r="A214" s="24"/>
      <c r="B214" s="24"/>
      <c r="C214" s="24"/>
      <c r="D214" s="24"/>
      <c r="E214" s="24"/>
      <c r="F214" s="24"/>
      <c r="G214" s="40"/>
      <c r="H214" s="24"/>
      <c r="I214" s="17"/>
      <c r="J214" s="24"/>
      <c r="K214" s="17"/>
      <c r="L214" s="24"/>
      <c r="M214" s="17"/>
      <c r="N214" s="17"/>
      <c r="O214" s="17"/>
      <c r="P214" s="24"/>
      <c r="Q214" s="17"/>
      <c r="R214" s="24"/>
      <c r="S214" s="24"/>
      <c r="T214" s="24"/>
      <c r="U214" s="24"/>
      <c r="V214" s="24"/>
      <c r="W214" s="24"/>
      <c r="X214" s="24"/>
      <c r="Y214" s="24"/>
      <c r="Z214" s="24"/>
      <c r="AA214" s="17"/>
      <c r="AB214" s="17"/>
      <c r="AC214" s="17"/>
      <c r="AD214" s="24"/>
      <c r="AE214" s="24"/>
      <c r="AF214" s="24"/>
      <c r="AG214" s="17"/>
      <c r="AH214" s="17"/>
      <c r="AI214" s="24"/>
      <c r="AJ214" s="24"/>
      <c r="AK214" s="24"/>
      <c r="AL214" s="24"/>
      <c r="AM214" s="24"/>
      <c r="AN214" s="24"/>
    </row>
    <row r="215" ht="15.75" customHeight="1">
      <c r="A215" s="24"/>
      <c r="B215" s="24"/>
      <c r="C215" s="24"/>
      <c r="D215" s="24"/>
      <c r="E215" s="24"/>
      <c r="F215" s="24"/>
      <c r="G215" s="40"/>
      <c r="H215" s="24"/>
      <c r="I215" s="17"/>
      <c r="J215" s="24"/>
      <c r="K215" s="17"/>
      <c r="L215" s="24"/>
      <c r="M215" s="17"/>
      <c r="N215" s="17"/>
      <c r="O215" s="17"/>
      <c r="P215" s="24"/>
      <c r="Q215" s="17"/>
      <c r="R215" s="24"/>
      <c r="S215" s="24"/>
      <c r="T215" s="24"/>
      <c r="U215" s="24"/>
      <c r="V215" s="24"/>
      <c r="W215" s="24"/>
      <c r="X215" s="24"/>
      <c r="Y215" s="24"/>
      <c r="Z215" s="24"/>
      <c r="AA215" s="17"/>
      <c r="AB215" s="17"/>
      <c r="AC215" s="17"/>
      <c r="AD215" s="24"/>
      <c r="AE215" s="24"/>
      <c r="AF215" s="24"/>
      <c r="AG215" s="17"/>
      <c r="AH215" s="17"/>
      <c r="AI215" s="24"/>
      <c r="AJ215" s="24"/>
      <c r="AK215" s="24"/>
      <c r="AL215" s="24"/>
      <c r="AM215" s="24"/>
      <c r="AN215" s="24"/>
    </row>
    <row r="216" ht="15.75" customHeight="1">
      <c r="A216" s="24"/>
      <c r="B216" s="24"/>
      <c r="C216" s="24"/>
      <c r="D216" s="24"/>
      <c r="E216" s="24"/>
      <c r="F216" s="24"/>
      <c r="G216" s="40"/>
      <c r="H216" s="24"/>
      <c r="I216" s="17"/>
      <c r="J216" s="24"/>
      <c r="K216" s="17"/>
      <c r="L216" s="24"/>
      <c r="M216" s="17"/>
      <c r="N216" s="17"/>
      <c r="O216" s="17"/>
      <c r="P216" s="24"/>
      <c r="Q216" s="17"/>
      <c r="R216" s="24"/>
      <c r="S216" s="24"/>
      <c r="T216" s="24"/>
      <c r="U216" s="24"/>
      <c r="V216" s="24"/>
      <c r="W216" s="24"/>
      <c r="X216" s="24"/>
      <c r="Y216" s="24"/>
      <c r="Z216" s="24"/>
      <c r="AA216" s="17"/>
      <c r="AB216" s="17"/>
      <c r="AC216" s="17"/>
      <c r="AD216" s="24"/>
      <c r="AE216" s="24"/>
      <c r="AF216" s="24"/>
      <c r="AG216" s="17"/>
      <c r="AH216" s="17"/>
      <c r="AI216" s="24"/>
      <c r="AJ216" s="24"/>
      <c r="AK216" s="24"/>
      <c r="AL216" s="24"/>
      <c r="AM216" s="24"/>
      <c r="AN216" s="24"/>
    </row>
    <row r="217" ht="15.75" customHeight="1">
      <c r="A217" s="24"/>
      <c r="B217" s="24"/>
      <c r="C217" s="24"/>
      <c r="D217" s="24"/>
      <c r="E217" s="24"/>
      <c r="F217" s="24"/>
      <c r="G217" s="40"/>
      <c r="H217" s="24"/>
      <c r="I217" s="17"/>
      <c r="J217" s="24"/>
      <c r="K217" s="17"/>
      <c r="L217" s="24"/>
      <c r="M217" s="17"/>
      <c r="N217" s="17"/>
      <c r="O217" s="17"/>
      <c r="P217" s="24"/>
      <c r="Q217" s="17"/>
      <c r="R217" s="24"/>
      <c r="S217" s="24"/>
      <c r="T217" s="24"/>
      <c r="U217" s="24"/>
      <c r="V217" s="24"/>
      <c r="W217" s="24"/>
      <c r="X217" s="24"/>
      <c r="Y217" s="24"/>
      <c r="Z217" s="24"/>
      <c r="AA217" s="17"/>
      <c r="AB217" s="17"/>
      <c r="AC217" s="17"/>
      <c r="AD217" s="24"/>
      <c r="AE217" s="24"/>
      <c r="AF217" s="24"/>
      <c r="AG217" s="17"/>
      <c r="AH217" s="17"/>
      <c r="AI217" s="24"/>
      <c r="AJ217" s="24"/>
      <c r="AK217" s="24"/>
      <c r="AL217" s="24"/>
      <c r="AM217" s="24"/>
      <c r="AN217" s="24"/>
    </row>
    <row r="218" ht="15.75" customHeight="1">
      <c r="A218" s="24"/>
      <c r="B218" s="24"/>
      <c r="C218" s="24"/>
      <c r="D218" s="24"/>
      <c r="E218" s="24"/>
      <c r="F218" s="24"/>
      <c r="G218" s="40"/>
      <c r="H218" s="24"/>
      <c r="I218" s="17"/>
      <c r="J218" s="24"/>
      <c r="K218" s="17"/>
      <c r="L218" s="24"/>
      <c r="M218" s="17"/>
      <c r="N218" s="17"/>
      <c r="O218" s="17"/>
      <c r="P218" s="24"/>
      <c r="Q218" s="17"/>
      <c r="R218" s="24"/>
      <c r="S218" s="24"/>
      <c r="T218" s="24"/>
      <c r="U218" s="24"/>
      <c r="V218" s="24"/>
      <c r="W218" s="24"/>
      <c r="X218" s="24"/>
      <c r="Y218" s="24"/>
      <c r="Z218" s="24"/>
      <c r="AA218" s="17"/>
      <c r="AB218" s="17"/>
      <c r="AC218" s="17"/>
      <c r="AD218" s="24"/>
      <c r="AE218" s="24"/>
      <c r="AF218" s="24"/>
      <c r="AG218" s="17"/>
      <c r="AH218" s="17"/>
      <c r="AI218" s="24"/>
      <c r="AJ218" s="24"/>
      <c r="AK218" s="24"/>
      <c r="AL218" s="24"/>
      <c r="AM218" s="24"/>
      <c r="AN218" s="24"/>
    </row>
    <row r="219" ht="15.75" customHeight="1">
      <c r="A219" s="24"/>
      <c r="B219" s="24"/>
      <c r="C219" s="24"/>
      <c r="D219" s="24"/>
      <c r="E219" s="24"/>
      <c r="F219" s="24"/>
      <c r="G219" s="40"/>
      <c r="H219" s="24"/>
      <c r="I219" s="17"/>
      <c r="J219" s="24"/>
      <c r="K219" s="17"/>
      <c r="L219" s="24"/>
      <c r="M219" s="17"/>
      <c r="N219" s="17"/>
      <c r="O219" s="17"/>
      <c r="P219" s="24"/>
      <c r="Q219" s="17"/>
      <c r="R219" s="24"/>
      <c r="S219" s="24"/>
      <c r="T219" s="24"/>
      <c r="U219" s="24"/>
      <c r="V219" s="24"/>
      <c r="W219" s="24"/>
      <c r="X219" s="24"/>
      <c r="Y219" s="24"/>
      <c r="Z219" s="24"/>
      <c r="AA219" s="17"/>
      <c r="AB219" s="17"/>
      <c r="AC219" s="17"/>
      <c r="AD219" s="24"/>
      <c r="AE219" s="24"/>
      <c r="AF219" s="24"/>
      <c r="AG219" s="17"/>
      <c r="AH219" s="17"/>
      <c r="AI219" s="24"/>
      <c r="AJ219" s="24"/>
      <c r="AK219" s="24"/>
      <c r="AL219" s="24"/>
      <c r="AM219" s="24"/>
      <c r="AN219" s="24"/>
    </row>
    <row r="220" ht="15.75" customHeight="1">
      <c r="A220" s="24"/>
      <c r="B220" s="24"/>
      <c r="C220" s="24"/>
      <c r="D220" s="24"/>
      <c r="E220" s="24"/>
      <c r="F220" s="24"/>
      <c r="G220" s="40"/>
      <c r="H220" s="24"/>
      <c r="I220" s="17"/>
      <c r="J220" s="24"/>
      <c r="K220" s="17"/>
      <c r="L220" s="24"/>
      <c r="M220" s="17"/>
      <c r="N220" s="17"/>
      <c r="O220" s="17"/>
      <c r="P220" s="24"/>
      <c r="Q220" s="17"/>
      <c r="R220" s="24"/>
      <c r="S220" s="24"/>
      <c r="T220" s="24"/>
      <c r="U220" s="24"/>
      <c r="V220" s="24"/>
      <c r="W220" s="24"/>
      <c r="X220" s="24"/>
      <c r="Y220" s="24"/>
      <c r="Z220" s="24"/>
      <c r="AA220" s="17"/>
      <c r="AB220" s="17"/>
      <c r="AC220" s="17"/>
      <c r="AD220" s="24"/>
      <c r="AE220" s="24"/>
      <c r="AF220" s="24"/>
      <c r="AG220" s="17"/>
      <c r="AH220" s="17"/>
      <c r="AI220" s="24"/>
      <c r="AJ220" s="24"/>
      <c r="AK220" s="24"/>
      <c r="AL220" s="24"/>
      <c r="AM220" s="24"/>
      <c r="AN220" s="24"/>
    </row>
    <row r="221" ht="15.75" customHeight="1">
      <c r="A221" s="24"/>
      <c r="B221" s="24"/>
      <c r="C221" s="24"/>
      <c r="D221" s="24"/>
      <c r="E221" s="24"/>
      <c r="F221" s="24"/>
      <c r="G221" s="40"/>
      <c r="H221" s="24"/>
      <c r="I221" s="17"/>
      <c r="J221" s="24"/>
      <c r="K221" s="17"/>
      <c r="L221" s="24"/>
      <c r="M221" s="17"/>
      <c r="N221" s="17"/>
      <c r="O221" s="17"/>
      <c r="P221" s="24"/>
      <c r="Q221" s="17"/>
      <c r="R221" s="24"/>
      <c r="S221" s="24"/>
      <c r="T221" s="24"/>
      <c r="U221" s="24"/>
      <c r="V221" s="24"/>
      <c r="W221" s="24"/>
      <c r="X221" s="24"/>
      <c r="Y221" s="24"/>
      <c r="Z221" s="24"/>
      <c r="AA221" s="17"/>
      <c r="AB221" s="17"/>
      <c r="AC221" s="17"/>
      <c r="AD221" s="24"/>
      <c r="AE221" s="24"/>
      <c r="AF221" s="24"/>
      <c r="AG221" s="17"/>
      <c r="AH221" s="17"/>
      <c r="AI221" s="24"/>
      <c r="AJ221" s="24"/>
      <c r="AK221" s="24"/>
      <c r="AL221" s="24"/>
      <c r="AM221" s="24"/>
      <c r="AN221" s="24"/>
    </row>
    <row r="222" ht="15.75" customHeight="1">
      <c r="A222" s="24"/>
      <c r="B222" s="24"/>
      <c r="C222" s="24"/>
      <c r="D222" s="24"/>
      <c r="E222" s="24"/>
      <c r="F222" s="24"/>
      <c r="G222" s="40"/>
      <c r="H222" s="24"/>
      <c r="I222" s="17"/>
      <c r="J222" s="24"/>
      <c r="K222" s="17"/>
      <c r="L222" s="24"/>
      <c r="M222" s="17"/>
      <c r="N222" s="17"/>
      <c r="O222" s="17"/>
      <c r="P222" s="24"/>
      <c r="Q222" s="17"/>
      <c r="R222" s="24"/>
      <c r="S222" s="24"/>
      <c r="T222" s="24"/>
      <c r="U222" s="24"/>
      <c r="V222" s="24"/>
      <c r="W222" s="24"/>
      <c r="X222" s="24"/>
      <c r="Y222" s="24"/>
      <c r="Z222" s="24"/>
      <c r="AA222" s="17"/>
      <c r="AB222" s="17"/>
      <c r="AC222" s="17"/>
      <c r="AD222" s="24"/>
      <c r="AE222" s="24"/>
      <c r="AF222" s="24"/>
      <c r="AG222" s="17"/>
      <c r="AH222" s="17"/>
      <c r="AI222" s="24"/>
      <c r="AJ222" s="24"/>
      <c r="AK222" s="24"/>
      <c r="AL222" s="24"/>
      <c r="AM222" s="24"/>
      <c r="AN222" s="24"/>
    </row>
    <row r="223" ht="15.75" customHeight="1">
      <c r="A223" s="24"/>
      <c r="B223" s="24"/>
      <c r="C223" s="24"/>
      <c r="D223" s="24"/>
      <c r="E223" s="24"/>
      <c r="F223" s="24"/>
      <c r="G223" s="40"/>
      <c r="H223" s="24"/>
      <c r="I223" s="17"/>
      <c r="J223" s="24"/>
      <c r="K223" s="17"/>
      <c r="L223" s="24"/>
      <c r="M223" s="17"/>
      <c r="N223" s="17"/>
      <c r="O223" s="17"/>
      <c r="P223" s="24"/>
      <c r="Q223" s="17"/>
      <c r="R223" s="24"/>
      <c r="S223" s="24"/>
      <c r="T223" s="24"/>
      <c r="U223" s="24"/>
      <c r="V223" s="24"/>
      <c r="W223" s="24"/>
      <c r="X223" s="24"/>
      <c r="Y223" s="24"/>
      <c r="Z223" s="24"/>
      <c r="AA223" s="17"/>
      <c r="AB223" s="17"/>
      <c r="AC223" s="17"/>
      <c r="AD223" s="24"/>
      <c r="AE223" s="24"/>
      <c r="AF223" s="24"/>
      <c r="AG223" s="17"/>
      <c r="AH223" s="17"/>
      <c r="AI223" s="24"/>
      <c r="AJ223" s="24"/>
      <c r="AK223" s="24"/>
      <c r="AL223" s="24"/>
      <c r="AM223" s="24"/>
      <c r="AN223" s="24"/>
    </row>
    <row r="224" ht="15.75" customHeight="1">
      <c r="A224" s="24"/>
      <c r="B224" s="24"/>
      <c r="C224" s="24"/>
      <c r="D224" s="24"/>
      <c r="E224" s="24"/>
      <c r="F224" s="24"/>
      <c r="G224" s="40"/>
      <c r="H224" s="24"/>
      <c r="I224" s="17"/>
      <c r="J224" s="24"/>
      <c r="K224" s="17"/>
      <c r="L224" s="24"/>
      <c r="M224" s="17"/>
      <c r="N224" s="17"/>
      <c r="O224" s="17"/>
      <c r="P224" s="24"/>
      <c r="Q224" s="17"/>
      <c r="R224" s="24"/>
      <c r="S224" s="24"/>
      <c r="T224" s="24"/>
      <c r="U224" s="24"/>
      <c r="V224" s="24"/>
      <c r="W224" s="24"/>
      <c r="X224" s="24"/>
      <c r="Y224" s="24"/>
      <c r="Z224" s="24"/>
      <c r="AA224" s="17"/>
      <c r="AB224" s="17"/>
      <c r="AC224" s="17"/>
      <c r="AD224" s="24"/>
      <c r="AE224" s="24"/>
      <c r="AF224" s="24"/>
      <c r="AG224" s="17"/>
      <c r="AH224" s="17"/>
      <c r="AI224" s="24"/>
      <c r="AJ224" s="24"/>
      <c r="AK224" s="24"/>
      <c r="AL224" s="24"/>
      <c r="AM224" s="24"/>
      <c r="AN224" s="24"/>
    </row>
    <row r="225" ht="15.75" customHeight="1">
      <c r="A225" s="24"/>
      <c r="B225" s="24"/>
      <c r="C225" s="24"/>
      <c r="D225" s="24"/>
      <c r="E225" s="24"/>
      <c r="F225" s="24"/>
      <c r="G225" s="40"/>
      <c r="H225" s="24"/>
      <c r="I225" s="17"/>
      <c r="J225" s="24"/>
      <c r="K225" s="17"/>
      <c r="L225" s="24"/>
      <c r="M225" s="17"/>
      <c r="N225" s="17"/>
      <c r="O225" s="17"/>
      <c r="P225" s="24"/>
      <c r="Q225" s="17"/>
      <c r="R225" s="24"/>
      <c r="S225" s="24"/>
      <c r="T225" s="24"/>
      <c r="U225" s="24"/>
      <c r="V225" s="24"/>
      <c r="W225" s="24"/>
      <c r="X225" s="24"/>
      <c r="Y225" s="24"/>
      <c r="Z225" s="24"/>
      <c r="AA225" s="17"/>
      <c r="AB225" s="17"/>
      <c r="AC225" s="17"/>
      <c r="AD225" s="24"/>
      <c r="AE225" s="24"/>
      <c r="AF225" s="24"/>
      <c r="AG225" s="17"/>
      <c r="AH225" s="17"/>
      <c r="AI225" s="24"/>
      <c r="AJ225" s="24"/>
      <c r="AK225" s="24"/>
      <c r="AL225" s="24"/>
      <c r="AM225" s="24"/>
      <c r="AN225" s="24"/>
    </row>
    <row r="226" ht="15.75" customHeight="1">
      <c r="A226" s="24"/>
      <c r="B226" s="24"/>
      <c r="C226" s="24"/>
      <c r="D226" s="24"/>
      <c r="E226" s="24"/>
      <c r="F226" s="24"/>
      <c r="G226" s="40"/>
      <c r="H226" s="24"/>
      <c r="I226" s="17"/>
      <c r="J226" s="24"/>
      <c r="K226" s="17"/>
      <c r="L226" s="24"/>
      <c r="M226" s="17"/>
      <c r="N226" s="17"/>
      <c r="O226" s="17"/>
      <c r="P226" s="24"/>
      <c r="Q226" s="17"/>
      <c r="R226" s="24"/>
      <c r="S226" s="24"/>
      <c r="T226" s="24"/>
      <c r="U226" s="24"/>
      <c r="V226" s="24"/>
      <c r="W226" s="24"/>
      <c r="X226" s="24"/>
      <c r="Y226" s="24"/>
      <c r="Z226" s="24"/>
      <c r="AA226" s="17"/>
      <c r="AB226" s="17"/>
      <c r="AC226" s="17"/>
      <c r="AD226" s="24"/>
      <c r="AE226" s="24"/>
      <c r="AF226" s="24"/>
      <c r="AG226" s="17"/>
      <c r="AH226" s="17"/>
      <c r="AI226" s="24"/>
      <c r="AJ226" s="24"/>
      <c r="AK226" s="24"/>
      <c r="AL226" s="24"/>
      <c r="AM226" s="24"/>
      <c r="AN226" s="24"/>
    </row>
    <row r="227" ht="15.75" customHeight="1">
      <c r="A227" s="24"/>
      <c r="B227" s="24"/>
      <c r="C227" s="24"/>
      <c r="D227" s="24"/>
      <c r="E227" s="24"/>
      <c r="F227" s="24"/>
      <c r="G227" s="40"/>
      <c r="H227" s="24"/>
      <c r="I227" s="17"/>
      <c r="J227" s="24"/>
      <c r="K227" s="17"/>
      <c r="L227" s="24"/>
      <c r="M227" s="17"/>
      <c r="N227" s="17"/>
      <c r="O227" s="17"/>
      <c r="P227" s="24"/>
      <c r="Q227" s="17"/>
      <c r="R227" s="24"/>
      <c r="S227" s="24"/>
      <c r="T227" s="24"/>
      <c r="U227" s="24"/>
      <c r="V227" s="24"/>
      <c r="W227" s="24"/>
      <c r="X227" s="24"/>
      <c r="Y227" s="24"/>
      <c r="Z227" s="24"/>
      <c r="AA227" s="17"/>
      <c r="AB227" s="17"/>
      <c r="AC227" s="17"/>
      <c r="AD227" s="24"/>
      <c r="AE227" s="24"/>
      <c r="AF227" s="24"/>
      <c r="AG227" s="17"/>
      <c r="AH227" s="17"/>
      <c r="AI227" s="24"/>
      <c r="AJ227" s="24"/>
      <c r="AK227" s="24"/>
      <c r="AL227" s="24"/>
      <c r="AM227" s="24"/>
      <c r="AN227" s="24"/>
    </row>
    <row r="228" ht="15.75" customHeight="1">
      <c r="A228" s="24"/>
      <c r="B228" s="24"/>
      <c r="C228" s="24"/>
      <c r="D228" s="24"/>
      <c r="E228" s="24"/>
      <c r="F228" s="24"/>
      <c r="G228" s="40"/>
      <c r="H228" s="24"/>
      <c r="I228" s="17"/>
      <c r="J228" s="24"/>
      <c r="K228" s="17"/>
      <c r="L228" s="24"/>
      <c r="M228" s="17"/>
      <c r="N228" s="17"/>
      <c r="O228" s="17"/>
      <c r="P228" s="24"/>
      <c r="Q228" s="17"/>
      <c r="R228" s="24"/>
      <c r="S228" s="24"/>
      <c r="T228" s="24"/>
      <c r="U228" s="24"/>
      <c r="V228" s="24"/>
      <c r="W228" s="24"/>
      <c r="X228" s="24"/>
      <c r="Y228" s="24"/>
      <c r="Z228" s="24"/>
      <c r="AA228" s="17"/>
      <c r="AB228" s="17"/>
      <c r="AC228" s="17"/>
      <c r="AD228" s="24"/>
      <c r="AE228" s="24"/>
      <c r="AF228" s="24"/>
      <c r="AG228" s="17"/>
      <c r="AH228" s="17"/>
      <c r="AI228" s="24"/>
      <c r="AJ228" s="24"/>
      <c r="AK228" s="24"/>
      <c r="AL228" s="24"/>
      <c r="AM228" s="24"/>
      <c r="AN228" s="24"/>
    </row>
    <row r="229" ht="15.75" customHeight="1">
      <c r="A229" s="24"/>
      <c r="B229" s="24"/>
      <c r="C229" s="24"/>
      <c r="D229" s="24"/>
      <c r="E229" s="24"/>
      <c r="F229" s="24"/>
      <c r="G229" s="40"/>
      <c r="H229" s="24"/>
      <c r="I229" s="17"/>
      <c r="J229" s="24"/>
      <c r="K229" s="17"/>
      <c r="L229" s="24"/>
      <c r="M229" s="17"/>
      <c r="N229" s="17"/>
      <c r="O229" s="17"/>
      <c r="P229" s="24"/>
      <c r="Q229" s="17"/>
      <c r="R229" s="24"/>
      <c r="S229" s="24"/>
      <c r="T229" s="24"/>
      <c r="U229" s="24"/>
      <c r="V229" s="24"/>
      <c r="W229" s="24"/>
      <c r="X229" s="24"/>
      <c r="Y229" s="24"/>
      <c r="Z229" s="24"/>
      <c r="AA229" s="17"/>
      <c r="AB229" s="17"/>
      <c r="AC229" s="17"/>
      <c r="AD229" s="24"/>
      <c r="AE229" s="24"/>
      <c r="AF229" s="24"/>
      <c r="AG229" s="17"/>
      <c r="AH229" s="17"/>
      <c r="AI229" s="24"/>
      <c r="AJ229" s="24"/>
      <c r="AK229" s="24"/>
      <c r="AL229" s="24"/>
      <c r="AM229" s="24"/>
      <c r="AN229" s="24"/>
    </row>
    <row r="230" ht="15.75" customHeight="1">
      <c r="A230" s="24"/>
      <c r="B230" s="24"/>
      <c r="C230" s="24"/>
      <c r="D230" s="24"/>
      <c r="E230" s="24"/>
      <c r="F230" s="24"/>
      <c r="G230" s="40"/>
      <c r="H230" s="24"/>
      <c r="I230" s="17"/>
      <c r="J230" s="24"/>
      <c r="K230" s="17"/>
      <c r="L230" s="24"/>
      <c r="M230" s="17"/>
      <c r="N230" s="17"/>
      <c r="O230" s="17"/>
      <c r="P230" s="24"/>
      <c r="Q230" s="17"/>
      <c r="R230" s="24"/>
      <c r="S230" s="24"/>
      <c r="T230" s="24"/>
      <c r="U230" s="24"/>
      <c r="V230" s="24"/>
      <c r="W230" s="24"/>
      <c r="X230" s="24"/>
      <c r="Y230" s="24"/>
      <c r="Z230" s="24"/>
      <c r="AA230" s="17"/>
      <c r="AB230" s="17"/>
      <c r="AC230" s="17"/>
      <c r="AD230" s="24"/>
      <c r="AE230" s="24"/>
      <c r="AF230" s="24"/>
      <c r="AG230" s="17"/>
      <c r="AH230" s="17"/>
      <c r="AI230" s="24"/>
      <c r="AJ230" s="24"/>
      <c r="AK230" s="24"/>
      <c r="AL230" s="24"/>
      <c r="AM230" s="24"/>
      <c r="AN230" s="24"/>
    </row>
    <row r="231" ht="15.75" customHeight="1">
      <c r="A231" s="24"/>
      <c r="B231" s="24"/>
      <c r="C231" s="24"/>
      <c r="D231" s="24"/>
      <c r="E231" s="24"/>
      <c r="F231" s="24"/>
      <c r="G231" s="40"/>
      <c r="H231" s="24"/>
      <c r="I231" s="17"/>
      <c r="J231" s="24"/>
      <c r="K231" s="17"/>
      <c r="L231" s="24"/>
      <c r="M231" s="17"/>
      <c r="N231" s="17"/>
      <c r="O231" s="17"/>
      <c r="P231" s="24"/>
      <c r="Q231" s="17"/>
      <c r="R231" s="24"/>
      <c r="S231" s="24"/>
      <c r="T231" s="24"/>
      <c r="U231" s="24"/>
      <c r="V231" s="24"/>
      <c r="W231" s="24"/>
      <c r="X231" s="24"/>
      <c r="Y231" s="24"/>
      <c r="Z231" s="24"/>
      <c r="AA231" s="17"/>
      <c r="AB231" s="17"/>
      <c r="AC231" s="17"/>
      <c r="AD231" s="24"/>
      <c r="AE231" s="24"/>
      <c r="AF231" s="24"/>
      <c r="AG231" s="17"/>
      <c r="AH231" s="17"/>
      <c r="AI231" s="24"/>
      <c r="AJ231" s="24"/>
      <c r="AK231" s="24"/>
      <c r="AL231" s="24"/>
      <c r="AM231" s="24"/>
      <c r="AN231" s="24"/>
    </row>
    <row r="232" ht="15.75" customHeight="1">
      <c r="A232" s="24"/>
      <c r="B232" s="24"/>
      <c r="C232" s="24"/>
      <c r="D232" s="24"/>
      <c r="E232" s="24"/>
      <c r="F232" s="24"/>
      <c r="G232" s="40"/>
      <c r="H232" s="24"/>
      <c r="I232" s="17"/>
      <c r="J232" s="24"/>
      <c r="K232" s="17"/>
      <c r="L232" s="24"/>
      <c r="M232" s="17"/>
      <c r="N232" s="17"/>
      <c r="O232" s="17"/>
      <c r="P232" s="24"/>
      <c r="Q232" s="17"/>
      <c r="R232" s="24"/>
      <c r="S232" s="24"/>
      <c r="T232" s="24"/>
      <c r="U232" s="24"/>
      <c r="V232" s="24"/>
      <c r="W232" s="24"/>
      <c r="X232" s="24"/>
      <c r="Y232" s="24"/>
      <c r="Z232" s="24"/>
      <c r="AA232" s="17"/>
      <c r="AB232" s="17"/>
      <c r="AC232" s="17"/>
      <c r="AD232" s="24"/>
      <c r="AE232" s="24"/>
      <c r="AF232" s="24"/>
      <c r="AG232" s="17"/>
      <c r="AH232" s="17"/>
      <c r="AI232" s="24"/>
      <c r="AJ232" s="24"/>
      <c r="AK232" s="24"/>
      <c r="AL232" s="24"/>
      <c r="AM232" s="24"/>
      <c r="AN232" s="24"/>
    </row>
    <row r="233" ht="15.75" customHeight="1">
      <c r="A233" s="24"/>
      <c r="B233" s="24"/>
      <c r="C233" s="24"/>
      <c r="D233" s="24"/>
      <c r="E233" s="24"/>
      <c r="F233" s="24"/>
      <c r="G233" s="40"/>
      <c r="H233" s="24"/>
      <c r="I233" s="17"/>
      <c r="J233" s="24"/>
      <c r="K233" s="17"/>
      <c r="L233" s="24"/>
      <c r="M233" s="17"/>
      <c r="N233" s="17"/>
      <c r="O233" s="17"/>
      <c r="P233" s="24"/>
      <c r="Q233" s="17"/>
      <c r="R233" s="24"/>
      <c r="S233" s="24"/>
      <c r="T233" s="24"/>
      <c r="U233" s="24"/>
      <c r="V233" s="24"/>
      <c r="W233" s="24"/>
      <c r="X233" s="24"/>
      <c r="Y233" s="24"/>
      <c r="Z233" s="24"/>
      <c r="AA233" s="17"/>
      <c r="AB233" s="17"/>
      <c r="AC233" s="17"/>
      <c r="AD233" s="24"/>
      <c r="AE233" s="24"/>
      <c r="AF233" s="24"/>
      <c r="AG233" s="17"/>
      <c r="AH233" s="17"/>
      <c r="AI233" s="24"/>
      <c r="AJ233" s="24"/>
      <c r="AK233" s="24"/>
      <c r="AL233" s="24"/>
      <c r="AM233" s="24"/>
      <c r="AN233" s="24"/>
    </row>
    <row r="234" ht="15.75" customHeight="1">
      <c r="A234" s="24"/>
      <c r="B234" s="24"/>
      <c r="C234" s="24"/>
      <c r="D234" s="24"/>
      <c r="E234" s="24"/>
      <c r="F234" s="24"/>
      <c r="G234" s="40"/>
      <c r="H234" s="24"/>
      <c r="I234" s="17"/>
      <c r="J234" s="24"/>
      <c r="K234" s="17"/>
      <c r="L234" s="24"/>
      <c r="M234" s="17"/>
      <c r="N234" s="17"/>
      <c r="O234" s="17"/>
      <c r="P234" s="24"/>
      <c r="Q234" s="17"/>
      <c r="R234" s="24"/>
      <c r="S234" s="24"/>
      <c r="T234" s="24"/>
      <c r="U234" s="24"/>
      <c r="V234" s="24"/>
      <c r="W234" s="24"/>
      <c r="X234" s="24"/>
      <c r="Y234" s="24"/>
      <c r="Z234" s="24"/>
      <c r="AA234" s="17"/>
      <c r="AB234" s="17"/>
      <c r="AC234" s="17"/>
      <c r="AD234" s="24"/>
      <c r="AE234" s="24"/>
      <c r="AF234" s="24"/>
      <c r="AG234" s="17"/>
      <c r="AH234" s="17"/>
      <c r="AI234" s="24"/>
      <c r="AJ234" s="24"/>
      <c r="AK234" s="24"/>
      <c r="AL234" s="24"/>
      <c r="AM234" s="24"/>
      <c r="AN234" s="24"/>
    </row>
    <row r="235" ht="15.75" customHeight="1">
      <c r="A235" s="24"/>
      <c r="B235" s="24"/>
      <c r="C235" s="24"/>
      <c r="D235" s="24"/>
      <c r="E235" s="24"/>
      <c r="F235" s="24"/>
      <c r="G235" s="40"/>
      <c r="H235" s="24"/>
      <c r="I235" s="17"/>
      <c r="J235" s="24"/>
      <c r="K235" s="17"/>
      <c r="L235" s="24"/>
      <c r="M235" s="17"/>
      <c r="N235" s="17"/>
      <c r="O235" s="17"/>
      <c r="P235" s="24"/>
      <c r="Q235" s="17"/>
      <c r="R235" s="24"/>
      <c r="S235" s="24"/>
      <c r="T235" s="24"/>
      <c r="U235" s="24"/>
      <c r="V235" s="24"/>
      <c r="W235" s="24"/>
      <c r="X235" s="24"/>
      <c r="Y235" s="24"/>
      <c r="Z235" s="24"/>
      <c r="AA235" s="17"/>
      <c r="AB235" s="17"/>
      <c r="AC235" s="17"/>
      <c r="AD235" s="24"/>
      <c r="AE235" s="24"/>
      <c r="AF235" s="24"/>
      <c r="AG235" s="17"/>
      <c r="AH235" s="17"/>
      <c r="AI235" s="24"/>
      <c r="AJ235" s="24"/>
      <c r="AK235" s="24"/>
      <c r="AL235" s="24"/>
      <c r="AM235" s="24"/>
      <c r="AN235" s="24"/>
    </row>
    <row r="236" ht="15.75" customHeight="1">
      <c r="A236" s="24"/>
      <c r="B236" s="24"/>
      <c r="C236" s="24"/>
      <c r="D236" s="24"/>
      <c r="E236" s="24"/>
      <c r="F236" s="24"/>
      <c r="G236" s="40"/>
      <c r="H236" s="24"/>
      <c r="I236" s="17"/>
      <c r="J236" s="24"/>
      <c r="K236" s="17"/>
      <c r="L236" s="24"/>
      <c r="M236" s="17"/>
      <c r="N236" s="17"/>
      <c r="O236" s="17"/>
      <c r="P236" s="24"/>
      <c r="Q236" s="17"/>
      <c r="R236" s="24"/>
      <c r="S236" s="24"/>
      <c r="T236" s="24"/>
      <c r="U236" s="24"/>
      <c r="V236" s="24"/>
      <c r="W236" s="24"/>
      <c r="X236" s="24"/>
      <c r="Y236" s="24"/>
      <c r="Z236" s="24"/>
      <c r="AA236" s="17"/>
      <c r="AB236" s="17"/>
      <c r="AC236" s="17"/>
      <c r="AD236" s="24"/>
      <c r="AE236" s="24"/>
      <c r="AF236" s="24"/>
      <c r="AG236" s="17"/>
      <c r="AH236" s="17"/>
      <c r="AI236" s="24"/>
      <c r="AJ236" s="24"/>
      <c r="AK236" s="24"/>
      <c r="AL236" s="24"/>
      <c r="AM236" s="24"/>
      <c r="AN236" s="24"/>
    </row>
    <row r="237" ht="15.75" customHeight="1">
      <c r="A237" s="24"/>
      <c r="B237" s="24"/>
      <c r="C237" s="24"/>
      <c r="D237" s="24"/>
      <c r="E237" s="24"/>
      <c r="F237" s="24"/>
      <c r="G237" s="40"/>
      <c r="H237" s="24"/>
      <c r="I237" s="17"/>
      <c r="J237" s="24"/>
      <c r="K237" s="17"/>
      <c r="L237" s="24"/>
      <c r="M237" s="17"/>
      <c r="N237" s="17"/>
      <c r="O237" s="17"/>
      <c r="P237" s="24"/>
      <c r="Q237" s="17"/>
      <c r="R237" s="24"/>
      <c r="S237" s="24"/>
      <c r="T237" s="24"/>
      <c r="U237" s="24"/>
      <c r="V237" s="24"/>
      <c r="W237" s="24"/>
      <c r="X237" s="24"/>
      <c r="Y237" s="24"/>
      <c r="Z237" s="24"/>
      <c r="AA237" s="17"/>
      <c r="AB237" s="17"/>
      <c r="AC237" s="17"/>
      <c r="AD237" s="24"/>
      <c r="AE237" s="24"/>
      <c r="AF237" s="24"/>
      <c r="AG237" s="17"/>
      <c r="AH237" s="17"/>
      <c r="AI237" s="24"/>
      <c r="AJ237" s="24"/>
      <c r="AK237" s="24"/>
      <c r="AL237" s="24"/>
      <c r="AM237" s="24"/>
      <c r="AN237" s="24"/>
    </row>
    <row r="238" ht="15.75" customHeight="1">
      <c r="A238" s="24"/>
      <c r="B238" s="24"/>
      <c r="C238" s="24"/>
      <c r="D238" s="24"/>
      <c r="E238" s="24"/>
      <c r="F238" s="24"/>
      <c r="G238" s="40"/>
      <c r="H238" s="24"/>
      <c r="I238" s="17"/>
      <c r="J238" s="24"/>
      <c r="K238" s="17"/>
      <c r="L238" s="24"/>
      <c r="M238" s="17"/>
      <c r="N238" s="17"/>
      <c r="O238" s="17"/>
      <c r="P238" s="24"/>
      <c r="Q238" s="17"/>
      <c r="R238" s="24"/>
      <c r="S238" s="24"/>
      <c r="T238" s="24"/>
      <c r="U238" s="24"/>
      <c r="V238" s="24"/>
      <c r="W238" s="24"/>
      <c r="X238" s="24"/>
      <c r="Y238" s="24"/>
      <c r="Z238" s="24"/>
      <c r="AA238" s="17"/>
      <c r="AB238" s="17"/>
      <c r="AC238" s="17"/>
      <c r="AD238" s="24"/>
      <c r="AE238" s="24"/>
      <c r="AF238" s="24"/>
      <c r="AG238" s="17"/>
      <c r="AH238" s="17"/>
      <c r="AI238" s="24"/>
      <c r="AJ238" s="24"/>
      <c r="AK238" s="24"/>
      <c r="AL238" s="24"/>
      <c r="AM238" s="24"/>
      <c r="AN238" s="24"/>
    </row>
    <row r="239" ht="15.75" customHeight="1">
      <c r="A239" s="24"/>
      <c r="B239" s="24"/>
      <c r="C239" s="24"/>
      <c r="D239" s="24"/>
      <c r="E239" s="24"/>
      <c r="F239" s="24"/>
      <c r="G239" s="40"/>
      <c r="H239" s="24"/>
      <c r="I239" s="17"/>
      <c r="J239" s="24"/>
      <c r="K239" s="17"/>
      <c r="L239" s="24"/>
      <c r="M239" s="17"/>
      <c r="N239" s="17"/>
      <c r="O239" s="17"/>
      <c r="P239" s="24"/>
      <c r="Q239" s="17"/>
      <c r="R239" s="24"/>
      <c r="S239" s="24"/>
      <c r="T239" s="24"/>
      <c r="U239" s="24"/>
      <c r="V239" s="24"/>
      <c r="W239" s="24"/>
      <c r="X239" s="24"/>
      <c r="Y239" s="24"/>
      <c r="Z239" s="24"/>
      <c r="AA239" s="17"/>
      <c r="AB239" s="17"/>
      <c r="AC239" s="17"/>
      <c r="AD239" s="24"/>
      <c r="AE239" s="24"/>
      <c r="AF239" s="24"/>
      <c r="AG239" s="17"/>
      <c r="AH239" s="17"/>
      <c r="AI239" s="24"/>
      <c r="AJ239" s="24"/>
      <c r="AK239" s="24"/>
      <c r="AL239" s="24"/>
      <c r="AM239" s="24"/>
      <c r="AN239" s="24"/>
    </row>
    <row r="240" ht="15.75" customHeight="1">
      <c r="A240" s="24"/>
      <c r="B240" s="24"/>
      <c r="C240" s="24"/>
      <c r="D240" s="24"/>
      <c r="E240" s="24"/>
      <c r="F240" s="24"/>
      <c r="G240" s="40"/>
      <c r="H240" s="24"/>
      <c r="I240" s="17"/>
      <c r="J240" s="24"/>
      <c r="K240" s="17"/>
      <c r="L240" s="24"/>
      <c r="M240" s="17"/>
      <c r="N240" s="17"/>
      <c r="O240" s="17"/>
      <c r="P240" s="24"/>
      <c r="Q240" s="17"/>
      <c r="R240" s="24"/>
      <c r="S240" s="24"/>
      <c r="T240" s="24"/>
      <c r="U240" s="24"/>
      <c r="V240" s="24"/>
      <c r="W240" s="24"/>
      <c r="X240" s="24"/>
      <c r="Y240" s="24"/>
      <c r="Z240" s="24"/>
      <c r="AA240" s="17"/>
      <c r="AB240" s="17"/>
      <c r="AC240" s="17"/>
      <c r="AD240" s="24"/>
      <c r="AE240" s="24"/>
      <c r="AF240" s="24"/>
      <c r="AG240" s="17"/>
      <c r="AH240" s="17"/>
      <c r="AI240" s="24"/>
      <c r="AJ240" s="24"/>
      <c r="AK240" s="24"/>
      <c r="AL240" s="24"/>
      <c r="AM240" s="24"/>
      <c r="AN240" s="24"/>
    </row>
    <row r="241" ht="15.75" customHeight="1">
      <c r="A241" s="24"/>
      <c r="B241" s="24"/>
      <c r="C241" s="24"/>
      <c r="D241" s="24"/>
      <c r="E241" s="24"/>
      <c r="F241" s="24"/>
      <c r="G241" s="40"/>
      <c r="H241" s="24"/>
      <c r="I241" s="17"/>
      <c r="J241" s="24"/>
      <c r="K241" s="17"/>
      <c r="L241" s="24"/>
      <c r="M241" s="17"/>
      <c r="N241" s="17"/>
      <c r="O241" s="17"/>
      <c r="P241" s="24"/>
      <c r="Q241" s="17"/>
      <c r="R241" s="24"/>
      <c r="S241" s="24"/>
      <c r="T241" s="24"/>
      <c r="U241" s="24"/>
      <c r="V241" s="24"/>
      <c r="W241" s="24"/>
      <c r="X241" s="24"/>
      <c r="Y241" s="24"/>
      <c r="Z241" s="24"/>
      <c r="AA241" s="17"/>
      <c r="AB241" s="17"/>
      <c r="AC241" s="17"/>
      <c r="AD241" s="24"/>
      <c r="AE241" s="24"/>
      <c r="AF241" s="24"/>
      <c r="AG241" s="17"/>
      <c r="AH241" s="17"/>
      <c r="AI241" s="24"/>
      <c r="AJ241" s="24"/>
      <c r="AK241" s="24"/>
      <c r="AL241" s="24"/>
      <c r="AM241" s="24"/>
      <c r="AN241" s="24"/>
    </row>
    <row r="242" ht="15.75" customHeight="1">
      <c r="A242" s="24"/>
      <c r="B242" s="24"/>
      <c r="C242" s="24"/>
      <c r="D242" s="24"/>
      <c r="E242" s="24"/>
      <c r="F242" s="24"/>
      <c r="G242" s="40"/>
      <c r="H242" s="24"/>
      <c r="I242" s="17"/>
      <c r="J242" s="24"/>
      <c r="K242" s="17"/>
      <c r="L242" s="24"/>
      <c r="M242" s="17"/>
      <c r="N242" s="17"/>
      <c r="O242" s="17"/>
      <c r="P242" s="24"/>
      <c r="Q242" s="17"/>
      <c r="R242" s="24"/>
      <c r="S242" s="24"/>
      <c r="T242" s="24"/>
      <c r="U242" s="24"/>
      <c r="V242" s="24"/>
      <c r="W242" s="24"/>
      <c r="X242" s="24"/>
      <c r="Y242" s="24"/>
      <c r="Z242" s="24"/>
      <c r="AA242" s="17"/>
      <c r="AB242" s="17"/>
      <c r="AC242" s="17"/>
      <c r="AD242" s="24"/>
      <c r="AE242" s="24"/>
      <c r="AF242" s="24"/>
      <c r="AG242" s="17"/>
      <c r="AH242" s="17"/>
      <c r="AI242" s="24"/>
      <c r="AJ242" s="24"/>
      <c r="AK242" s="24"/>
      <c r="AL242" s="24"/>
      <c r="AM242" s="24"/>
      <c r="AN242" s="24"/>
    </row>
    <row r="243" ht="15.75" customHeight="1">
      <c r="A243" s="24"/>
      <c r="B243" s="24"/>
      <c r="C243" s="24"/>
      <c r="D243" s="24"/>
      <c r="E243" s="24"/>
      <c r="F243" s="24"/>
      <c r="G243" s="40"/>
      <c r="H243" s="24"/>
      <c r="I243" s="17"/>
      <c r="J243" s="24"/>
      <c r="K243" s="17"/>
      <c r="L243" s="24"/>
      <c r="M243" s="17"/>
      <c r="N243" s="17"/>
      <c r="O243" s="17"/>
      <c r="P243" s="24"/>
      <c r="Q243" s="17"/>
      <c r="R243" s="24"/>
      <c r="S243" s="24"/>
      <c r="T243" s="24"/>
      <c r="U243" s="24"/>
      <c r="V243" s="24"/>
      <c r="W243" s="24"/>
      <c r="X243" s="24"/>
      <c r="Y243" s="24"/>
      <c r="Z243" s="24"/>
      <c r="AA243" s="17"/>
      <c r="AB243" s="17"/>
      <c r="AC243" s="17"/>
      <c r="AD243" s="24"/>
      <c r="AE243" s="24"/>
      <c r="AF243" s="24"/>
      <c r="AG243" s="17"/>
      <c r="AH243" s="17"/>
      <c r="AI243" s="24"/>
      <c r="AJ243" s="24"/>
      <c r="AK243" s="24"/>
      <c r="AL243" s="24"/>
      <c r="AM243" s="24"/>
      <c r="AN243" s="24"/>
    </row>
    <row r="244" ht="15.75" customHeight="1">
      <c r="A244" s="24"/>
      <c r="B244" s="24"/>
      <c r="C244" s="24"/>
      <c r="D244" s="24"/>
      <c r="E244" s="24"/>
      <c r="F244" s="24"/>
      <c r="G244" s="40"/>
      <c r="H244" s="24"/>
      <c r="I244" s="17"/>
      <c r="J244" s="24"/>
      <c r="K244" s="17"/>
      <c r="L244" s="24"/>
      <c r="M244" s="17"/>
      <c r="N244" s="17"/>
      <c r="O244" s="17"/>
      <c r="P244" s="24"/>
      <c r="Q244" s="17"/>
      <c r="R244" s="24"/>
      <c r="S244" s="24"/>
      <c r="T244" s="24"/>
      <c r="U244" s="24"/>
      <c r="V244" s="24"/>
      <c r="W244" s="24"/>
      <c r="X244" s="24"/>
      <c r="Y244" s="24"/>
      <c r="Z244" s="24"/>
      <c r="AA244" s="17"/>
      <c r="AB244" s="17"/>
      <c r="AC244" s="17"/>
      <c r="AD244" s="24"/>
      <c r="AE244" s="24"/>
      <c r="AF244" s="24"/>
      <c r="AG244" s="17"/>
      <c r="AH244" s="17"/>
      <c r="AI244" s="24"/>
      <c r="AJ244" s="24"/>
      <c r="AK244" s="24"/>
      <c r="AL244" s="24"/>
      <c r="AM244" s="24"/>
      <c r="AN244" s="24"/>
    </row>
    <row r="245" ht="15.75" customHeight="1">
      <c r="A245" s="24"/>
      <c r="B245" s="24"/>
      <c r="C245" s="24"/>
      <c r="D245" s="24"/>
      <c r="E245" s="24"/>
      <c r="F245" s="24"/>
      <c r="G245" s="40"/>
      <c r="H245" s="24"/>
      <c r="I245" s="17"/>
      <c r="J245" s="24"/>
      <c r="K245" s="17"/>
      <c r="L245" s="24"/>
      <c r="M245" s="17"/>
      <c r="N245" s="17"/>
      <c r="O245" s="17"/>
      <c r="P245" s="24"/>
      <c r="Q245" s="17"/>
      <c r="R245" s="24"/>
      <c r="S245" s="24"/>
      <c r="T245" s="24"/>
      <c r="U245" s="24"/>
      <c r="V245" s="24"/>
      <c r="W245" s="24"/>
      <c r="X245" s="24"/>
      <c r="Y245" s="24"/>
      <c r="Z245" s="24"/>
      <c r="AA245" s="17"/>
      <c r="AB245" s="17"/>
      <c r="AC245" s="17"/>
      <c r="AD245" s="24"/>
      <c r="AE245" s="24"/>
      <c r="AF245" s="24"/>
      <c r="AG245" s="17"/>
      <c r="AH245" s="17"/>
      <c r="AI245" s="24"/>
      <c r="AJ245" s="24"/>
      <c r="AK245" s="24"/>
      <c r="AL245" s="24"/>
      <c r="AM245" s="24"/>
      <c r="AN245" s="24"/>
    </row>
    <row r="246" ht="15.75" customHeight="1">
      <c r="A246" s="24"/>
      <c r="B246" s="24"/>
      <c r="C246" s="24"/>
      <c r="D246" s="24"/>
      <c r="E246" s="24"/>
      <c r="F246" s="24"/>
      <c r="G246" s="40"/>
      <c r="H246" s="24"/>
      <c r="I246" s="17"/>
      <c r="J246" s="24"/>
      <c r="K246" s="17"/>
      <c r="L246" s="24"/>
      <c r="M246" s="17"/>
      <c r="N246" s="17"/>
      <c r="O246" s="17"/>
      <c r="P246" s="24"/>
      <c r="Q246" s="17"/>
      <c r="R246" s="24"/>
      <c r="S246" s="24"/>
      <c r="T246" s="24"/>
      <c r="U246" s="24"/>
      <c r="V246" s="24"/>
      <c r="W246" s="24"/>
      <c r="X246" s="24"/>
      <c r="Y246" s="24"/>
      <c r="Z246" s="24"/>
      <c r="AA246" s="17"/>
      <c r="AB246" s="17"/>
      <c r="AC246" s="17"/>
      <c r="AD246" s="24"/>
      <c r="AE246" s="24"/>
      <c r="AF246" s="24"/>
      <c r="AG246" s="17"/>
      <c r="AH246" s="17"/>
      <c r="AI246" s="24"/>
      <c r="AJ246" s="24"/>
      <c r="AK246" s="24"/>
      <c r="AL246" s="24"/>
      <c r="AM246" s="24"/>
      <c r="AN246" s="24"/>
    </row>
    <row r="247" ht="15.75" customHeight="1">
      <c r="A247" s="24"/>
      <c r="B247" s="24"/>
      <c r="C247" s="24"/>
      <c r="D247" s="24"/>
      <c r="E247" s="24"/>
      <c r="F247" s="24"/>
      <c r="G247" s="40"/>
      <c r="H247" s="24"/>
      <c r="I247" s="17"/>
      <c r="J247" s="24"/>
      <c r="K247" s="17"/>
      <c r="L247" s="24"/>
      <c r="M247" s="17"/>
      <c r="N247" s="17"/>
      <c r="O247" s="17"/>
      <c r="P247" s="24"/>
      <c r="Q247" s="17"/>
      <c r="R247" s="24"/>
      <c r="S247" s="24"/>
      <c r="T247" s="24"/>
      <c r="U247" s="24"/>
      <c r="V247" s="24"/>
      <c r="W247" s="24"/>
      <c r="X247" s="24"/>
      <c r="Y247" s="24"/>
      <c r="Z247" s="24"/>
      <c r="AA247" s="17"/>
      <c r="AB247" s="17"/>
      <c r="AC247" s="17"/>
      <c r="AD247" s="24"/>
      <c r="AE247" s="24"/>
      <c r="AF247" s="24"/>
      <c r="AG247" s="17"/>
      <c r="AH247" s="17"/>
      <c r="AI247" s="24"/>
      <c r="AJ247" s="24"/>
      <c r="AK247" s="24"/>
      <c r="AL247" s="24"/>
      <c r="AM247" s="24"/>
      <c r="AN247" s="24"/>
    </row>
    <row r="248" ht="15.75" customHeight="1">
      <c r="A248" s="24"/>
      <c r="B248" s="24"/>
      <c r="C248" s="24"/>
      <c r="D248" s="24"/>
      <c r="E248" s="24"/>
      <c r="F248" s="24"/>
      <c r="G248" s="40"/>
      <c r="H248" s="24"/>
      <c r="I248" s="17"/>
      <c r="J248" s="24"/>
      <c r="K248" s="17"/>
      <c r="L248" s="24"/>
      <c r="M248" s="17"/>
      <c r="N248" s="17"/>
      <c r="O248" s="17"/>
      <c r="P248" s="24"/>
      <c r="Q248" s="17"/>
      <c r="R248" s="24"/>
      <c r="S248" s="24"/>
      <c r="T248" s="24"/>
      <c r="U248" s="24"/>
      <c r="V248" s="24"/>
      <c r="W248" s="24"/>
      <c r="X248" s="24"/>
      <c r="Y248" s="24"/>
      <c r="Z248" s="24"/>
      <c r="AA248" s="17"/>
      <c r="AB248" s="17"/>
      <c r="AC248" s="17"/>
      <c r="AD248" s="24"/>
      <c r="AE248" s="24"/>
      <c r="AF248" s="24"/>
      <c r="AG248" s="17"/>
      <c r="AH248" s="17"/>
      <c r="AI248" s="24"/>
      <c r="AJ248" s="24"/>
      <c r="AK248" s="24"/>
      <c r="AL248" s="24"/>
      <c r="AM248" s="24"/>
      <c r="AN248" s="24"/>
    </row>
    <row r="249" ht="15.75" customHeight="1">
      <c r="A249" s="24"/>
      <c r="B249" s="24"/>
      <c r="C249" s="24"/>
      <c r="D249" s="24"/>
      <c r="E249" s="24"/>
      <c r="F249" s="24"/>
      <c r="G249" s="40"/>
      <c r="H249" s="24"/>
      <c r="I249" s="17"/>
      <c r="J249" s="24"/>
      <c r="K249" s="17"/>
      <c r="L249" s="24"/>
      <c r="M249" s="17"/>
      <c r="N249" s="17"/>
      <c r="O249" s="17"/>
      <c r="P249" s="24"/>
      <c r="Q249" s="17"/>
      <c r="R249" s="24"/>
      <c r="S249" s="24"/>
      <c r="T249" s="24"/>
      <c r="U249" s="24"/>
      <c r="V249" s="24"/>
      <c r="W249" s="24"/>
      <c r="X249" s="24"/>
      <c r="Y249" s="24"/>
      <c r="Z249" s="24"/>
      <c r="AA249" s="17"/>
      <c r="AB249" s="17"/>
      <c r="AC249" s="17"/>
      <c r="AD249" s="24"/>
      <c r="AE249" s="24"/>
      <c r="AF249" s="24"/>
      <c r="AG249" s="17"/>
      <c r="AH249" s="17"/>
      <c r="AI249" s="24"/>
      <c r="AJ249" s="24"/>
      <c r="AK249" s="24"/>
      <c r="AL249" s="24"/>
      <c r="AM249" s="24"/>
      <c r="AN249" s="24"/>
    </row>
    <row r="250" ht="15.75" customHeight="1">
      <c r="A250" s="24"/>
      <c r="B250" s="24"/>
      <c r="C250" s="24"/>
      <c r="D250" s="24"/>
      <c r="E250" s="24"/>
      <c r="F250" s="24"/>
      <c r="G250" s="40"/>
      <c r="H250" s="24"/>
      <c r="I250" s="17"/>
      <c r="J250" s="24"/>
      <c r="K250" s="17"/>
      <c r="L250" s="24"/>
      <c r="M250" s="17"/>
      <c r="N250" s="17"/>
      <c r="O250" s="17"/>
      <c r="P250" s="24"/>
      <c r="Q250" s="17"/>
      <c r="R250" s="24"/>
      <c r="S250" s="24"/>
      <c r="T250" s="24"/>
      <c r="U250" s="24"/>
      <c r="V250" s="24"/>
      <c r="W250" s="24"/>
      <c r="X250" s="24"/>
      <c r="Y250" s="24"/>
      <c r="Z250" s="24"/>
      <c r="AA250" s="17"/>
      <c r="AB250" s="17"/>
      <c r="AC250" s="17"/>
      <c r="AD250" s="24"/>
      <c r="AE250" s="24"/>
      <c r="AF250" s="24"/>
      <c r="AG250" s="17"/>
      <c r="AH250" s="17"/>
      <c r="AI250" s="24"/>
      <c r="AJ250" s="24"/>
      <c r="AK250" s="24"/>
      <c r="AL250" s="24"/>
      <c r="AM250" s="24"/>
      <c r="AN250" s="24"/>
    </row>
    <row r="251" ht="15.75" customHeight="1">
      <c r="A251" s="24"/>
      <c r="B251" s="24"/>
      <c r="C251" s="24"/>
      <c r="D251" s="24"/>
      <c r="E251" s="24"/>
      <c r="F251" s="24"/>
      <c r="G251" s="40"/>
      <c r="H251" s="24"/>
      <c r="I251" s="17"/>
      <c r="J251" s="24"/>
      <c r="K251" s="17"/>
      <c r="L251" s="24"/>
      <c r="M251" s="17"/>
      <c r="N251" s="17"/>
      <c r="O251" s="17"/>
      <c r="P251" s="24"/>
      <c r="Q251" s="17"/>
      <c r="R251" s="24"/>
      <c r="S251" s="24"/>
      <c r="T251" s="24"/>
      <c r="U251" s="24"/>
      <c r="V251" s="24"/>
      <c r="W251" s="24"/>
      <c r="X251" s="24"/>
      <c r="Y251" s="24"/>
      <c r="Z251" s="24"/>
      <c r="AA251" s="17"/>
      <c r="AB251" s="17"/>
      <c r="AC251" s="17"/>
      <c r="AD251" s="24"/>
      <c r="AE251" s="24"/>
      <c r="AF251" s="24"/>
      <c r="AG251" s="17"/>
      <c r="AH251" s="17"/>
      <c r="AI251" s="24"/>
      <c r="AJ251" s="24"/>
      <c r="AK251" s="24"/>
      <c r="AL251" s="24"/>
      <c r="AM251" s="24"/>
      <c r="AN251" s="24"/>
    </row>
    <row r="252" ht="15.75" customHeight="1">
      <c r="A252" s="24"/>
      <c r="B252" s="24"/>
      <c r="C252" s="24"/>
      <c r="D252" s="24"/>
      <c r="E252" s="24"/>
      <c r="F252" s="24"/>
      <c r="G252" s="40"/>
      <c r="H252" s="24"/>
      <c r="I252" s="17"/>
      <c r="J252" s="24"/>
      <c r="K252" s="17"/>
      <c r="L252" s="24"/>
      <c r="M252" s="17"/>
      <c r="N252" s="17"/>
      <c r="O252" s="17"/>
      <c r="P252" s="24"/>
      <c r="Q252" s="17"/>
      <c r="R252" s="24"/>
      <c r="S252" s="24"/>
      <c r="T252" s="24"/>
      <c r="U252" s="24"/>
      <c r="V252" s="24"/>
      <c r="W252" s="24"/>
      <c r="X252" s="24"/>
      <c r="Y252" s="24"/>
      <c r="Z252" s="24"/>
      <c r="AA252" s="17"/>
      <c r="AB252" s="17"/>
      <c r="AC252" s="17"/>
      <c r="AD252" s="24"/>
      <c r="AE252" s="24"/>
      <c r="AF252" s="24"/>
      <c r="AG252" s="17"/>
      <c r="AH252" s="17"/>
      <c r="AI252" s="24"/>
      <c r="AJ252" s="24"/>
      <c r="AK252" s="24"/>
      <c r="AL252" s="24"/>
      <c r="AM252" s="24"/>
      <c r="AN252" s="24"/>
    </row>
    <row r="253" ht="15.75" customHeight="1">
      <c r="A253" s="24"/>
      <c r="B253" s="24"/>
      <c r="C253" s="24"/>
      <c r="D253" s="24"/>
      <c r="E253" s="24"/>
      <c r="F253" s="24"/>
      <c r="G253" s="40"/>
      <c r="H253" s="24"/>
      <c r="I253" s="17"/>
      <c r="J253" s="24"/>
      <c r="K253" s="17"/>
      <c r="L253" s="24"/>
      <c r="M253" s="17"/>
      <c r="N253" s="17"/>
      <c r="O253" s="17"/>
      <c r="P253" s="24"/>
      <c r="Q253" s="17"/>
      <c r="R253" s="24"/>
      <c r="S253" s="24"/>
      <c r="T253" s="24"/>
      <c r="U253" s="24"/>
      <c r="V253" s="24"/>
      <c r="W253" s="24"/>
      <c r="X253" s="24"/>
      <c r="Y253" s="24"/>
      <c r="Z253" s="24"/>
      <c r="AA253" s="17"/>
      <c r="AB253" s="17"/>
      <c r="AC253" s="17"/>
      <c r="AD253" s="24"/>
      <c r="AE253" s="24"/>
      <c r="AF253" s="24"/>
      <c r="AG253" s="17"/>
      <c r="AH253" s="17"/>
      <c r="AI253" s="24"/>
      <c r="AJ253" s="24"/>
      <c r="AK253" s="24"/>
      <c r="AL253" s="24"/>
      <c r="AM253" s="24"/>
      <c r="AN253" s="24"/>
    </row>
    <row r="254" ht="15.75" customHeight="1">
      <c r="A254" s="24"/>
      <c r="B254" s="24"/>
      <c r="C254" s="24"/>
      <c r="D254" s="24"/>
      <c r="E254" s="24"/>
      <c r="F254" s="24"/>
      <c r="G254" s="40"/>
      <c r="H254" s="24"/>
      <c r="I254" s="17"/>
      <c r="J254" s="24"/>
      <c r="K254" s="17"/>
      <c r="L254" s="24"/>
      <c r="M254" s="17"/>
      <c r="N254" s="17"/>
      <c r="O254" s="17"/>
      <c r="P254" s="24"/>
      <c r="Q254" s="17"/>
      <c r="R254" s="24"/>
      <c r="S254" s="24"/>
      <c r="T254" s="24"/>
      <c r="U254" s="24"/>
      <c r="V254" s="24"/>
      <c r="W254" s="24"/>
      <c r="X254" s="24"/>
      <c r="Y254" s="24"/>
      <c r="Z254" s="24"/>
      <c r="AA254" s="17"/>
      <c r="AB254" s="17"/>
      <c r="AC254" s="17"/>
      <c r="AD254" s="24"/>
      <c r="AE254" s="24"/>
      <c r="AF254" s="24"/>
      <c r="AG254" s="17"/>
      <c r="AH254" s="17"/>
      <c r="AI254" s="24"/>
      <c r="AJ254" s="24"/>
      <c r="AK254" s="24"/>
      <c r="AL254" s="24"/>
      <c r="AM254" s="24"/>
      <c r="AN254" s="24"/>
    </row>
    <row r="255" ht="15.75" customHeight="1">
      <c r="A255" s="24"/>
      <c r="B255" s="24"/>
      <c r="C255" s="24"/>
      <c r="D255" s="24"/>
      <c r="E255" s="24"/>
      <c r="F255" s="24"/>
      <c r="G255" s="40"/>
      <c r="H255" s="24"/>
      <c r="I255" s="17"/>
      <c r="J255" s="24"/>
      <c r="K255" s="17"/>
      <c r="L255" s="24"/>
      <c r="M255" s="17"/>
      <c r="N255" s="17"/>
      <c r="O255" s="17"/>
      <c r="P255" s="24"/>
      <c r="Q255" s="17"/>
      <c r="R255" s="24"/>
      <c r="S255" s="24"/>
      <c r="T255" s="24"/>
      <c r="U255" s="24"/>
      <c r="V255" s="24"/>
      <c r="W255" s="24"/>
      <c r="X255" s="24"/>
      <c r="Y255" s="24"/>
      <c r="Z255" s="24"/>
      <c r="AA255" s="17"/>
      <c r="AB255" s="17"/>
      <c r="AC255" s="17"/>
      <c r="AD255" s="24"/>
      <c r="AE255" s="24"/>
      <c r="AF255" s="24"/>
      <c r="AG255" s="17"/>
      <c r="AH255" s="17"/>
      <c r="AI255" s="24"/>
      <c r="AJ255" s="24"/>
      <c r="AK255" s="24"/>
      <c r="AL255" s="24"/>
      <c r="AM255" s="24"/>
      <c r="AN255" s="24"/>
    </row>
    <row r="256" ht="15.75" customHeight="1">
      <c r="A256" s="24"/>
      <c r="B256" s="24"/>
      <c r="C256" s="24"/>
      <c r="D256" s="24"/>
      <c r="E256" s="24"/>
      <c r="F256" s="24"/>
      <c r="G256" s="40"/>
      <c r="H256" s="24"/>
      <c r="I256" s="17"/>
      <c r="J256" s="24"/>
      <c r="K256" s="17"/>
      <c r="L256" s="24"/>
      <c r="M256" s="17"/>
      <c r="N256" s="17"/>
      <c r="O256" s="17"/>
      <c r="P256" s="24"/>
      <c r="Q256" s="17"/>
      <c r="R256" s="24"/>
      <c r="S256" s="24"/>
      <c r="T256" s="24"/>
      <c r="U256" s="24"/>
      <c r="V256" s="24"/>
      <c r="W256" s="24"/>
      <c r="X256" s="24"/>
      <c r="Y256" s="24"/>
      <c r="Z256" s="24"/>
      <c r="AA256" s="17"/>
      <c r="AB256" s="17"/>
      <c r="AC256" s="17"/>
      <c r="AD256" s="24"/>
      <c r="AE256" s="24"/>
      <c r="AF256" s="24"/>
      <c r="AG256" s="17"/>
      <c r="AH256" s="17"/>
      <c r="AI256" s="24"/>
      <c r="AJ256" s="24"/>
      <c r="AK256" s="24"/>
      <c r="AL256" s="24"/>
      <c r="AM256" s="24"/>
      <c r="AN256" s="24"/>
    </row>
    <row r="257" ht="15.75" customHeight="1">
      <c r="A257" s="24"/>
      <c r="B257" s="24"/>
      <c r="C257" s="24"/>
      <c r="D257" s="24"/>
      <c r="E257" s="24"/>
      <c r="F257" s="24"/>
      <c r="G257" s="40"/>
      <c r="H257" s="24"/>
      <c r="I257" s="17"/>
      <c r="J257" s="24"/>
      <c r="K257" s="17"/>
      <c r="L257" s="24"/>
      <c r="M257" s="17"/>
      <c r="N257" s="17"/>
      <c r="O257" s="17"/>
      <c r="P257" s="24"/>
      <c r="Q257" s="17"/>
      <c r="R257" s="24"/>
      <c r="S257" s="24"/>
      <c r="T257" s="24"/>
      <c r="U257" s="24"/>
      <c r="V257" s="24"/>
      <c r="W257" s="24"/>
      <c r="X257" s="24"/>
      <c r="Y257" s="24"/>
      <c r="Z257" s="24"/>
      <c r="AA257" s="17"/>
      <c r="AB257" s="17"/>
      <c r="AC257" s="17"/>
      <c r="AD257" s="24"/>
      <c r="AE257" s="24"/>
      <c r="AF257" s="24"/>
      <c r="AG257" s="17"/>
      <c r="AH257" s="17"/>
      <c r="AI257" s="24"/>
      <c r="AJ257" s="24"/>
      <c r="AK257" s="24"/>
      <c r="AL257" s="24"/>
      <c r="AM257" s="24"/>
      <c r="AN257" s="24"/>
    </row>
    <row r="258" ht="15.75" customHeight="1">
      <c r="A258" s="24"/>
      <c r="B258" s="24"/>
      <c r="C258" s="24"/>
      <c r="D258" s="24"/>
      <c r="E258" s="24"/>
      <c r="F258" s="24"/>
      <c r="G258" s="40"/>
      <c r="H258" s="24"/>
      <c r="I258" s="17"/>
      <c r="J258" s="24"/>
      <c r="K258" s="17"/>
      <c r="L258" s="24"/>
      <c r="M258" s="17"/>
      <c r="N258" s="17"/>
      <c r="O258" s="17"/>
      <c r="P258" s="24"/>
      <c r="Q258" s="17"/>
      <c r="R258" s="24"/>
      <c r="S258" s="24"/>
      <c r="T258" s="24"/>
      <c r="U258" s="24"/>
      <c r="V258" s="24"/>
      <c r="W258" s="24"/>
      <c r="X258" s="24"/>
      <c r="Y258" s="24"/>
      <c r="Z258" s="24"/>
      <c r="AA258" s="17"/>
      <c r="AB258" s="17"/>
      <c r="AC258" s="17"/>
      <c r="AD258" s="24"/>
      <c r="AE258" s="24"/>
      <c r="AF258" s="24"/>
      <c r="AG258" s="17"/>
      <c r="AH258" s="17"/>
      <c r="AI258" s="24"/>
      <c r="AJ258" s="24"/>
      <c r="AK258" s="24"/>
      <c r="AL258" s="24"/>
      <c r="AM258" s="24"/>
      <c r="AN258" s="24"/>
    </row>
    <row r="259" ht="15.75" customHeight="1">
      <c r="A259" s="24"/>
      <c r="B259" s="24"/>
      <c r="C259" s="24"/>
      <c r="D259" s="24"/>
      <c r="E259" s="24"/>
      <c r="F259" s="24"/>
      <c r="G259" s="40"/>
      <c r="H259" s="24"/>
      <c r="I259" s="17"/>
      <c r="J259" s="24"/>
      <c r="K259" s="17"/>
      <c r="L259" s="24"/>
      <c r="M259" s="17"/>
      <c r="N259" s="17"/>
      <c r="O259" s="17"/>
      <c r="P259" s="24"/>
      <c r="Q259" s="17"/>
      <c r="R259" s="24"/>
      <c r="S259" s="24"/>
      <c r="T259" s="24"/>
      <c r="U259" s="24"/>
      <c r="V259" s="24"/>
      <c r="W259" s="24"/>
      <c r="X259" s="24"/>
      <c r="Y259" s="24"/>
      <c r="Z259" s="24"/>
      <c r="AA259" s="17"/>
      <c r="AB259" s="17"/>
      <c r="AC259" s="17"/>
      <c r="AD259" s="24"/>
      <c r="AE259" s="24"/>
      <c r="AF259" s="24"/>
      <c r="AG259" s="17"/>
      <c r="AH259" s="17"/>
      <c r="AI259" s="24"/>
      <c r="AJ259" s="24"/>
      <c r="AK259" s="24"/>
      <c r="AL259" s="24"/>
      <c r="AM259" s="24"/>
      <c r="AN259" s="24"/>
    </row>
    <row r="260" ht="15.75" customHeight="1">
      <c r="A260" s="24"/>
      <c r="B260" s="24"/>
      <c r="C260" s="24"/>
      <c r="D260" s="24"/>
      <c r="E260" s="24"/>
      <c r="F260" s="24"/>
      <c r="G260" s="40"/>
      <c r="H260" s="24"/>
      <c r="I260" s="17"/>
      <c r="J260" s="24"/>
      <c r="K260" s="17"/>
      <c r="L260" s="24"/>
      <c r="M260" s="17"/>
      <c r="N260" s="17"/>
      <c r="O260" s="17"/>
      <c r="P260" s="24"/>
      <c r="Q260" s="17"/>
      <c r="R260" s="24"/>
      <c r="S260" s="24"/>
      <c r="T260" s="24"/>
      <c r="U260" s="24"/>
      <c r="V260" s="24"/>
      <c r="W260" s="24"/>
      <c r="X260" s="24"/>
      <c r="Y260" s="24"/>
      <c r="Z260" s="24"/>
      <c r="AA260" s="17"/>
      <c r="AB260" s="17"/>
      <c r="AC260" s="17"/>
      <c r="AD260" s="24"/>
      <c r="AE260" s="24"/>
      <c r="AF260" s="24"/>
      <c r="AG260" s="17"/>
      <c r="AH260" s="17"/>
      <c r="AI260" s="24"/>
      <c r="AJ260" s="24"/>
      <c r="AK260" s="24"/>
      <c r="AL260" s="24"/>
      <c r="AM260" s="24"/>
      <c r="AN260" s="24"/>
    </row>
    <row r="261" ht="15.75" customHeight="1">
      <c r="A261" s="24"/>
      <c r="B261" s="24"/>
      <c r="C261" s="24"/>
      <c r="D261" s="24"/>
      <c r="E261" s="24"/>
      <c r="F261" s="24"/>
      <c r="G261" s="40"/>
      <c r="H261" s="24"/>
      <c r="I261" s="17"/>
      <c r="J261" s="24"/>
      <c r="K261" s="17"/>
      <c r="L261" s="24"/>
      <c r="M261" s="17"/>
      <c r="N261" s="17"/>
      <c r="O261" s="17"/>
      <c r="P261" s="24"/>
      <c r="Q261" s="17"/>
      <c r="R261" s="24"/>
      <c r="S261" s="24"/>
      <c r="T261" s="24"/>
      <c r="U261" s="24"/>
      <c r="V261" s="24"/>
      <c r="W261" s="24"/>
      <c r="X261" s="24"/>
      <c r="Y261" s="24"/>
      <c r="Z261" s="24"/>
      <c r="AA261" s="17"/>
      <c r="AB261" s="17"/>
      <c r="AC261" s="17"/>
      <c r="AD261" s="24"/>
      <c r="AE261" s="24"/>
      <c r="AF261" s="24"/>
      <c r="AG261" s="17"/>
      <c r="AH261" s="17"/>
      <c r="AI261" s="24"/>
      <c r="AJ261" s="24"/>
      <c r="AK261" s="24"/>
      <c r="AL261" s="24"/>
      <c r="AM261" s="24"/>
      <c r="AN261" s="24"/>
    </row>
    <row r="262" ht="15.75" customHeight="1">
      <c r="A262" s="24"/>
      <c r="B262" s="24"/>
      <c r="C262" s="24"/>
      <c r="D262" s="24"/>
      <c r="E262" s="24"/>
      <c r="F262" s="24"/>
      <c r="G262" s="40"/>
      <c r="H262" s="24"/>
      <c r="I262" s="17"/>
      <c r="J262" s="24"/>
      <c r="K262" s="17"/>
      <c r="L262" s="24"/>
      <c r="M262" s="17"/>
      <c r="N262" s="17"/>
      <c r="O262" s="17"/>
      <c r="P262" s="24"/>
      <c r="Q262" s="17"/>
      <c r="R262" s="24"/>
      <c r="S262" s="24"/>
      <c r="T262" s="24"/>
      <c r="U262" s="24"/>
      <c r="V262" s="24"/>
      <c r="W262" s="24"/>
      <c r="X262" s="24"/>
      <c r="Y262" s="24"/>
      <c r="Z262" s="24"/>
      <c r="AA262" s="17"/>
      <c r="AB262" s="17"/>
      <c r="AC262" s="17"/>
      <c r="AD262" s="24"/>
      <c r="AE262" s="24"/>
      <c r="AF262" s="24"/>
      <c r="AG262" s="17"/>
      <c r="AH262" s="17"/>
      <c r="AI262" s="24"/>
      <c r="AJ262" s="24"/>
      <c r="AK262" s="24"/>
      <c r="AL262" s="24"/>
      <c r="AM262" s="24"/>
      <c r="AN262" s="24"/>
    </row>
    <row r="263" ht="15.75" customHeight="1">
      <c r="A263" s="24"/>
      <c r="B263" s="24"/>
      <c r="C263" s="24"/>
      <c r="D263" s="24"/>
      <c r="E263" s="24"/>
      <c r="F263" s="24"/>
      <c r="G263" s="40"/>
      <c r="H263" s="24"/>
      <c r="I263" s="17"/>
      <c r="J263" s="24"/>
      <c r="K263" s="17"/>
      <c r="L263" s="24"/>
      <c r="M263" s="17"/>
      <c r="N263" s="17"/>
      <c r="O263" s="17"/>
      <c r="P263" s="24"/>
      <c r="Q263" s="17"/>
      <c r="R263" s="24"/>
      <c r="S263" s="24"/>
      <c r="T263" s="24"/>
      <c r="U263" s="24"/>
      <c r="V263" s="24"/>
      <c r="W263" s="24"/>
      <c r="X263" s="24"/>
      <c r="Y263" s="24"/>
      <c r="Z263" s="24"/>
      <c r="AA263" s="17"/>
      <c r="AB263" s="17"/>
      <c r="AC263" s="17"/>
      <c r="AD263" s="24"/>
      <c r="AE263" s="24"/>
      <c r="AF263" s="24"/>
      <c r="AG263" s="17"/>
      <c r="AH263" s="17"/>
      <c r="AI263" s="24"/>
      <c r="AJ263" s="24"/>
      <c r="AK263" s="24"/>
      <c r="AL263" s="24"/>
      <c r="AM263" s="24"/>
      <c r="AN263" s="24"/>
    </row>
    <row r="264" ht="15.75" customHeight="1">
      <c r="A264" s="24"/>
      <c r="B264" s="24"/>
      <c r="C264" s="24"/>
      <c r="D264" s="24"/>
      <c r="E264" s="24"/>
      <c r="F264" s="24"/>
      <c r="G264" s="40"/>
      <c r="H264" s="24"/>
      <c r="I264" s="17"/>
      <c r="J264" s="24"/>
      <c r="K264" s="17"/>
      <c r="L264" s="24"/>
      <c r="M264" s="17"/>
      <c r="N264" s="17"/>
      <c r="O264" s="17"/>
      <c r="P264" s="24"/>
      <c r="Q264" s="17"/>
      <c r="R264" s="24"/>
      <c r="S264" s="24"/>
      <c r="T264" s="24"/>
      <c r="U264" s="24"/>
      <c r="V264" s="24"/>
      <c r="W264" s="24"/>
      <c r="X264" s="24"/>
      <c r="Y264" s="24"/>
      <c r="Z264" s="24"/>
      <c r="AA264" s="17"/>
      <c r="AB264" s="17"/>
      <c r="AC264" s="17"/>
      <c r="AD264" s="24"/>
      <c r="AE264" s="24"/>
      <c r="AF264" s="24"/>
      <c r="AG264" s="17"/>
      <c r="AH264" s="17"/>
      <c r="AI264" s="24"/>
      <c r="AJ264" s="24"/>
      <c r="AK264" s="24"/>
      <c r="AL264" s="24"/>
      <c r="AM264" s="24"/>
      <c r="AN264" s="24"/>
    </row>
    <row r="265" ht="15.75" customHeight="1">
      <c r="A265" s="24"/>
      <c r="B265" s="24"/>
      <c r="C265" s="24"/>
      <c r="D265" s="24"/>
      <c r="E265" s="24"/>
      <c r="F265" s="24"/>
      <c r="G265" s="40"/>
      <c r="H265" s="24"/>
      <c r="I265" s="17"/>
      <c r="J265" s="24"/>
      <c r="K265" s="17"/>
      <c r="L265" s="24"/>
      <c r="M265" s="17"/>
      <c r="N265" s="17"/>
      <c r="O265" s="17"/>
      <c r="P265" s="24"/>
      <c r="Q265" s="17"/>
      <c r="R265" s="24"/>
      <c r="S265" s="24"/>
      <c r="T265" s="24"/>
      <c r="U265" s="24"/>
      <c r="V265" s="24"/>
      <c r="W265" s="24"/>
      <c r="X265" s="24"/>
      <c r="Y265" s="24"/>
      <c r="Z265" s="24"/>
      <c r="AA265" s="17"/>
      <c r="AB265" s="17"/>
      <c r="AC265" s="17"/>
      <c r="AD265" s="24"/>
      <c r="AE265" s="24"/>
      <c r="AF265" s="24"/>
      <c r="AG265" s="17"/>
      <c r="AH265" s="17"/>
      <c r="AI265" s="24"/>
      <c r="AJ265" s="24"/>
      <c r="AK265" s="24"/>
      <c r="AL265" s="24"/>
      <c r="AM265" s="24"/>
      <c r="AN265" s="24"/>
    </row>
    <row r="266" ht="15.75" customHeight="1">
      <c r="A266" s="24"/>
      <c r="B266" s="24"/>
      <c r="C266" s="24"/>
      <c r="D266" s="24"/>
      <c r="E266" s="24"/>
      <c r="F266" s="24"/>
      <c r="G266" s="40"/>
      <c r="H266" s="24"/>
      <c r="I266" s="17"/>
      <c r="J266" s="24"/>
      <c r="K266" s="17"/>
      <c r="L266" s="24"/>
      <c r="M266" s="17"/>
      <c r="N266" s="17"/>
      <c r="O266" s="17"/>
      <c r="P266" s="24"/>
      <c r="Q266" s="17"/>
      <c r="R266" s="24"/>
      <c r="S266" s="24"/>
      <c r="T266" s="24"/>
      <c r="U266" s="24"/>
      <c r="V266" s="24"/>
      <c r="W266" s="24"/>
      <c r="X266" s="24"/>
      <c r="Y266" s="24"/>
      <c r="Z266" s="24"/>
      <c r="AA266" s="17"/>
      <c r="AB266" s="17"/>
      <c r="AC266" s="17"/>
      <c r="AD266" s="24"/>
      <c r="AE266" s="24"/>
      <c r="AF266" s="24"/>
      <c r="AG266" s="17"/>
      <c r="AH266" s="17"/>
      <c r="AI266" s="24"/>
      <c r="AJ266" s="24"/>
      <c r="AK266" s="24"/>
      <c r="AL266" s="24"/>
      <c r="AM266" s="24"/>
      <c r="AN266" s="24"/>
    </row>
    <row r="267" ht="15.75" customHeight="1">
      <c r="A267" s="24"/>
      <c r="B267" s="24"/>
      <c r="C267" s="24"/>
      <c r="D267" s="24"/>
      <c r="E267" s="24"/>
      <c r="F267" s="24"/>
      <c r="G267" s="40"/>
      <c r="H267" s="24"/>
      <c r="I267" s="17"/>
      <c r="J267" s="24"/>
      <c r="K267" s="17"/>
      <c r="L267" s="24"/>
      <c r="M267" s="17"/>
      <c r="N267" s="17"/>
      <c r="O267" s="17"/>
      <c r="P267" s="24"/>
      <c r="Q267" s="17"/>
      <c r="R267" s="24"/>
      <c r="S267" s="24"/>
      <c r="T267" s="24"/>
      <c r="U267" s="24"/>
      <c r="V267" s="24"/>
      <c r="W267" s="24"/>
      <c r="X267" s="24"/>
      <c r="Y267" s="24"/>
      <c r="Z267" s="24"/>
      <c r="AA267" s="17"/>
      <c r="AB267" s="17"/>
      <c r="AC267" s="17"/>
      <c r="AD267" s="24"/>
      <c r="AE267" s="24"/>
      <c r="AF267" s="24"/>
      <c r="AG267" s="17"/>
      <c r="AH267" s="17"/>
      <c r="AI267" s="24"/>
      <c r="AJ267" s="24"/>
      <c r="AK267" s="24"/>
      <c r="AL267" s="24"/>
      <c r="AM267" s="24"/>
      <c r="AN267" s="24"/>
    </row>
    <row r="268" ht="15.75" customHeight="1">
      <c r="A268" s="24"/>
      <c r="B268" s="24"/>
      <c r="C268" s="24"/>
      <c r="D268" s="24"/>
      <c r="E268" s="24"/>
      <c r="F268" s="24"/>
      <c r="G268" s="40"/>
      <c r="H268" s="24"/>
      <c r="I268" s="17"/>
      <c r="J268" s="24"/>
      <c r="K268" s="17"/>
      <c r="L268" s="24"/>
      <c r="M268" s="17"/>
      <c r="N268" s="17"/>
      <c r="O268" s="17"/>
      <c r="P268" s="24"/>
      <c r="Q268" s="17"/>
      <c r="R268" s="24"/>
      <c r="S268" s="24"/>
      <c r="T268" s="24"/>
      <c r="U268" s="24"/>
      <c r="V268" s="24"/>
      <c r="W268" s="24"/>
      <c r="X268" s="24"/>
      <c r="Y268" s="24"/>
      <c r="Z268" s="24"/>
      <c r="AA268" s="17"/>
      <c r="AB268" s="17"/>
      <c r="AC268" s="17"/>
      <c r="AD268" s="24"/>
      <c r="AE268" s="24"/>
      <c r="AF268" s="24"/>
      <c r="AG268" s="17"/>
      <c r="AH268" s="17"/>
      <c r="AI268" s="24"/>
      <c r="AJ268" s="24"/>
      <c r="AK268" s="24"/>
      <c r="AL268" s="24"/>
      <c r="AM268" s="24"/>
      <c r="AN268" s="24"/>
    </row>
    <row r="269" ht="15.75" customHeight="1">
      <c r="A269" s="24"/>
      <c r="B269" s="24"/>
      <c r="C269" s="24"/>
      <c r="D269" s="24"/>
      <c r="E269" s="24"/>
      <c r="F269" s="24"/>
      <c r="G269" s="40"/>
      <c r="H269" s="24"/>
      <c r="I269" s="17"/>
      <c r="J269" s="24"/>
      <c r="K269" s="17"/>
      <c r="L269" s="24"/>
      <c r="M269" s="17"/>
      <c r="N269" s="17"/>
      <c r="O269" s="17"/>
      <c r="P269" s="24"/>
      <c r="Q269" s="17"/>
      <c r="R269" s="24"/>
      <c r="S269" s="24"/>
      <c r="T269" s="24"/>
      <c r="U269" s="24"/>
      <c r="V269" s="24"/>
      <c r="W269" s="24"/>
      <c r="X269" s="24"/>
      <c r="Y269" s="24"/>
      <c r="Z269" s="24"/>
      <c r="AA269" s="17"/>
      <c r="AB269" s="17"/>
      <c r="AC269" s="17"/>
      <c r="AD269" s="24"/>
      <c r="AE269" s="24"/>
      <c r="AF269" s="24"/>
      <c r="AG269" s="17"/>
      <c r="AH269" s="17"/>
      <c r="AI269" s="24"/>
      <c r="AJ269" s="24"/>
      <c r="AK269" s="24"/>
      <c r="AL269" s="24"/>
      <c r="AM269" s="24"/>
      <c r="AN269" s="24"/>
    </row>
    <row r="270" ht="15.75" customHeight="1">
      <c r="A270" s="24"/>
      <c r="B270" s="24"/>
      <c r="C270" s="24"/>
      <c r="D270" s="24"/>
      <c r="E270" s="24"/>
      <c r="F270" s="24"/>
      <c r="G270" s="40"/>
      <c r="H270" s="24"/>
      <c r="I270" s="17"/>
      <c r="J270" s="24"/>
      <c r="K270" s="17"/>
      <c r="L270" s="24"/>
      <c r="M270" s="17"/>
      <c r="N270" s="17"/>
      <c r="O270" s="17"/>
      <c r="P270" s="24"/>
      <c r="Q270" s="17"/>
      <c r="R270" s="24"/>
      <c r="S270" s="24"/>
      <c r="T270" s="24"/>
      <c r="U270" s="24"/>
      <c r="V270" s="24"/>
      <c r="W270" s="24"/>
      <c r="X270" s="24"/>
      <c r="Y270" s="24"/>
      <c r="Z270" s="24"/>
      <c r="AA270" s="17"/>
      <c r="AB270" s="17"/>
      <c r="AC270" s="17"/>
      <c r="AD270" s="24"/>
      <c r="AE270" s="24"/>
      <c r="AF270" s="24"/>
      <c r="AG270" s="17"/>
      <c r="AH270" s="17"/>
      <c r="AI270" s="24"/>
      <c r="AJ270" s="24"/>
      <c r="AK270" s="24"/>
      <c r="AL270" s="24"/>
      <c r="AM270" s="24"/>
      <c r="AN270" s="24"/>
    </row>
    <row r="271" ht="15.75" customHeight="1">
      <c r="A271" s="24"/>
      <c r="B271" s="24"/>
      <c r="C271" s="24"/>
      <c r="D271" s="24"/>
      <c r="E271" s="24"/>
      <c r="F271" s="24"/>
      <c r="G271" s="40"/>
      <c r="H271" s="24"/>
      <c r="I271" s="17"/>
      <c r="J271" s="24"/>
      <c r="K271" s="17"/>
      <c r="L271" s="24"/>
      <c r="M271" s="17"/>
      <c r="N271" s="17"/>
      <c r="O271" s="17"/>
      <c r="P271" s="24"/>
      <c r="Q271" s="17"/>
      <c r="R271" s="24"/>
      <c r="S271" s="24"/>
      <c r="T271" s="24"/>
      <c r="U271" s="24"/>
      <c r="V271" s="24"/>
      <c r="W271" s="24"/>
      <c r="X271" s="24"/>
      <c r="Y271" s="24"/>
      <c r="Z271" s="24"/>
      <c r="AA271" s="17"/>
      <c r="AB271" s="17"/>
      <c r="AC271" s="17"/>
      <c r="AD271" s="24"/>
      <c r="AE271" s="24"/>
      <c r="AF271" s="24"/>
      <c r="AG271" s="17"/>
      <c r="AH271" s="17"/>
      <c r="AI271" s="24"/>
      <c r="AJ271" s="24"/>
      <c r="AK271" s="24"/>
      <c r="AL271" s="24"/>
      <c r="AM271" s="24"/>
      <c r="AN271" s="24"/>
    </row>
    <row r="272" ht="15.75" customHeight="1">
      <c r="A272" s="24"/>
      <c r="B272" s="24"/>
      <c r="C272" s="24"/>
      <c r="D272" s="24"/>
      <c r="E272" s="24"/>
      <c r="F272" s="24"/>
      <c r="G272" s="40"/>
      <c r="H272" s="24"/>
      <c r="I272" s="17"/>
      <c r="J272" s="24"/>
      <c r="K272" s="17"/>
      <c r="L272" s="24"/>
      <c r="M272" s="17"/>
      <c r="N272" s="17"/>
      <c r="O272" s="17"/>
      <c r="P272" s="24"/>
      <c r="Q272" s="17"/>
      <c r="R272" s="24"/>
      <c r="S272" s="24"/>
      <c r="T272" s="24"/>
      <c r="U272" s="24"/>
      <c r="V272" s="24"/>
      <c r="W272" s="24"/>
      <c r="X272" s="24"/>
      <c r="Y272" s="24"/>
      <c r="Z272" s="24"/>
      <c r="AA272" s="17"/>
      <c r="AB272" s="17"/>
      <c r="AC272" s="17"/>
      <c r="AD272" s="24"/>
      <c r="AE272" s="24"/>
      <c r="AF272" s="24"/>
      <c r="AG272" s="17"/>
      <c r="AH272" s="17"/>
      <c r="AI272" s="24"/>
      <c r="AJ272" s="24"/>
      <c r="AK272" s="24"/>
      <c r="AL272" s="24"/>
      <c r="AM272" s="24"/>
      <c r="AN272" s="24"/>
    </row>
    <row r="273" ht="15.75" customHeight="1">
      <c r="A273" s="24"/>
      <c r="B273" s="24"/>
      <c r="C273" s="24"/>
      <c r="D273" s="24"/>
      <c r="E273" s="24"/>
      <c r="F273" s="24"/>
      <c r="G273" s="40"/>
      <c r="H273" s="24"/>
      <c r="I273" s="17"/>
      <c r="J273" s="24"/>
      <c r="K273" s="17"/>
      <c r="L273" s="24"/>
      <c r="M273" s="17"/>
      <c r="N273" s="17"/>
      <c r="O273" s="17"/>
      <c r="P273" s="24"/>
      <c r="Q273" s="17"/>
      <c r="R273" s="24"/>
      <c r="S273" s="24"/>
      <c r="T273" s="24"/>
      <c r="U273" s="24"/>
      <c r="V273" s="24"/>
      <c r="W273" s="24"/>
      <c r="X273" s="24"/>
      <c r="Y273" s="24"/>
      <c r="Z273" s="24"/>
      <c r="AA273" s="17"/>
      <c r="AB273" s="17"/>
      <c r="AC273" s="17"/>
      <c r="AD273" s="24"/>
      <c r="AE273" s="24"/>
      <c r="AF273" s="24"/>
      <c r="AG273" s="17"/>
      <c r="AH273" s="17"/>
      <c r="AI273" s="24"/>
      <c r="AJ273" s="24"/>
      <c r="AK273" s="24"/>
      <c r="AL273" s="24"/>
      <c r="AM273" s="24"/>
      <c r="AN273" s="24"/>
    </row>
    <row r="274" ht="15.75" customHeight="1">
      <c r="A274" s="24"/>
      <c r="B274" s="24"/>
      <c r="C274" s="24"/>
      <c r="D274" s="24"/>
      <c r="E274" s="24"/>
      <c r="F274" s="24"/>
      <c r="G274" s="40"/>
      <c r="H274" s="24"/>
      <c r="I274" s="17"/>
      <c r="J274" s="24"/>
      <c r="K274" s="17"/>
      <c r="L274" s="24"/>
      <c r="M274" s="17"/>
      <c r="N274" s="17"/>
      <c r="O274" s="17"/>
      <c r="P274" s="24"/>
      <c r="Q274" s="17"/>
      <c r="R274" s="24"/>
      <c r="S274" s="24"/>
      <c r="T274" s="24"/>
      <c r="U274" s="24"/>
      <c r="V274" s="24"/>
      <c r="W274" s="24"/>
      <c r="X274" s="24"/>
      <c r="Y274" s="24"/>
      <c r="Z274" s="24"/>
      <c r="AA274" s="17"/>
      <c r="AB274" s="17"/>
      <c r="AC274" s="17"/>
      <c r="AD274" s="24"/>
      <c r="AE274" s="24"/>
      <c r="AF274" s="24"/>
      <c r="AG274" s="17"/>
      <c r="AH274" s="17"/>
      <c r="AI274" s="24"/>
      <c r="AJ274" s="24"/>
      <c r="AK274" s="24"/>
      <c r="AL274" s="24"/>
      <c r="AM274" s="24"/>
      <c r="AN274" s="24"/>
    </row>
    <row r="275" ht="15.75" customHeight="1">
      <c r="A275" s="24"/>
      <c r="B275" s="24"/>
      <c r="C275" s="24"/>
      <c r="D275" s="24"/>
      <c r="E275" s="24"/>
      <c r="F275" s="24"/>
      <c r="G275" s="40"/>
      <c r="H275" s="24"/>
      <c r="I275" s="17"/>
      <c r="J275" s="24"/>
      <c r="K275" s="17"/>
      <c r="L275" s="24"/>
      <c r="M275" s="17"/>
      <c r="N275" s="17"/>
      <c r="O275" s="17"/>
      <c r="P275" s="24"/>
      <c r="Q275" s="17"/>
      <c r="R275" s="24"/>
      <c r="S275" s="24"/>
      <c r="T275" s="24"/>
      <c r="U275" s="24"/>
      <c r="V275" s="24"/>
      <c r="W275" s="24"/>
      <c r="X275" s="24"/>
      <c r="Y275" s="24"/>
      <c r="Z275" s="24"/>
      <c r="AA275" s="17"/>
      <c r="AB275" s="17"/>
      <c r="AC275" s="17"/>
      <c r="AD275" s="24"/>
      <c r="AE275" s="24"/>
      <c r="AF275" s="24"/>
      <c r="AG275" s="17"/>
      <c r="AH275" s="17"/>
      <c r="AI275" s="24"/>
      <c r="AJ275" s="24"/>
      <c r="AK275" s="24"/>
      <c r="AL275" s="24"/>
      <c r="AM275" s="24"/>
      <c r="AN275" s="24"/>
    </row>
    <row r="276" ht="15.75" customHeight="1">
      <c r="A276" s="24"/>
      <c r="B276" s="24"/>
      <c r="C276" s="24"/>
      <c r="D276" s="24"/>
      <c r="E276" s="24"/>
      <c r="F276" s="24"/>
      <c r="G276" s="40"/>
      <c r="H276" s="24"/>
      <c r="I276" s="17"/>
      <c r="J276" s="24"/>
      <c r="K276" s="17"/>
      <c r="L276" s="24"/>
      <c r="M276" s="17"/>
      <c r="N276" s="17"/>
      <c r="O276" s="17"/>
      <c r="P276" s="24"/>
      <c r="Q276" s="17"/>
      <c r="R276" s="24"/>
      <c r="S276" s="24"/>
      <c r="T276" s="24"/>
      <c r="U276" s="24"/>
      <c r="V276" s="24"/>
      <c r="W276" s="24"/>
      <c r="X276" s="24"/>
      <c r="Y276" s="24"/>
      <c r="Z276" s="24"/>
      <c r="AA276" s="17"/>
      <c r="AB276" s="17"/>
      <c r="AC276" s="17"/>
      <c r="AD276" s="24"/>
      <c r="AE276" s="24"/>
      <c r="AF276" s="24"/>
      <c r="AG276" s="17"/>
      <c r="AH276" s="17"/>
      <c r="AI276" s="24"/>
      <c r="AJ276" s="24"/>
      <c r="AK276" s="24"/>
      <c r="AL276" s="24"/>
      <c r="AM276" s="24"/>
      <c r="AN276" s="24"/>
    </row>
    <row r="277" ht="15.75" customHeight="1">
      <c r="A277" s="24"/>
      <c r="B277" s="24"/>
      <c r="C277" s="24"/>
      <c r="D277" s="24"/>
      <c r="E277" s="24"/>
      <c r="F277" s="24"/>
      <c r="G277" s="40"/>
      <c r="H277" s="24"/>
      <c r="I277" s="17"/>
      <c r="J277" s="24"/>
      <c r="K277" s="17"/>
      <c r="L277" s="24"/>
      <c r="M277" s="17"/>
      <c r="N277" s="17"/>
      <c r="O277" s="17"/>
      <c r="P277" s="24"/>
      <c r="Q277" s="17"/>
      <c r="R277" s="24"/>
      <c r="S277" s="24"/>
      <c r="T277" s="24"/>
      <c r="U277" s="24"/>
      <c r="V277" s="24"/>
      <c r="W277" s="24"/>
      <c r="X277" s="24"/>
      <c r="Y277" s="24"/>
      <c r="Z277" s="24"/>
      <c r="AA277" s="17"/>
      <c r="AB277" s="17"/>
      <c r="AC277" s="17"/>
      <c r="AD277" s="24"/>
      <c r="AE277" s="24"/>
      <c r="AF277" s="24"/>
      <c r="AG277" s="17"/>
      <c r="AH277" s="17"/>
      <c r="AI277" s="24"/>
      <c r="AJ277" s="24"/>
      <c r="AK277" s="24"/>
      <c r="AL277" s="24"/>
      <c r="AM277" s="24"/>
      <c r="AN277" s="24"/>
    </row>
    <row r="278" ht="15.75" customHeight="1">
      <c r="A278" s="24"/>
      <c r="B278" s="24"/>
      <c r="C278" s="24"/>
      <c r="D278" s="24"/>
      <c r="E278" s="24"/>
      <c r="F278" s="24"/>
      <c r="G278" s="40"/>
      <c r="H278" s="24"/>
      <c r="I278" s="17"/>
      <c r="J278" s="24"/>
      <c r="K278" s="17"/>
      <c r="L278" s="24"/>
      <c r="M278" s="17"/>
      <c r="N278" s="17"/>
      <c r="O278" s="17"/>
      <c r="P278" s="24"/>
      <c r="Q278" s="17"/>
      <c r="R278" s="24"/>
      <c r="S278" s="24"/>
      <c r="T278" s="24"/>
      <c r="U278" s="24"/>
      <c r="V278" s="24"/>
      <c r="W278" s="24"/>
      <c r="X278" s="24"/>
      <c r="Y278" s="24"/>
      <c r="Z278" s="24"/>
      <c r="AA278" s="17"/>
      <c r="AB278" s="17"/>
      <c r="AC278" s="17"/>
      <c r="AD278" s="24"/>
      <c r="AE278" s="24"/>
      <c r="AF278" s="24"/>
      <c r="AG278" s="17"/>
      <c r="AH278" s="17"/>
      <c r="AI278" s="24"/>
      <c r="AJ278" s="24"/>
      <c r="AK278" s="24"/>
      <c r="AL278" s="24"/>
      <c r="AM278" s="24"/>
      <c r="AN278" s="24"/>
    </row>
    <row r="279" ht="15.75" customHeight="1">
      <c r="A279" s="24"/>
      <c r="B279" s="24"/>
      <c r="C279" s="24"/>
      <c r="D279" s="24"/>
      <c r="E279" s="24"/>
      <c r="F279" s="24"/>
      <c r="G279" s="40"/>
      <c r="H279" s="24"/>
      <c r="I279" s="17"/>
      <c r="J279" s="24"/>
      <c r="K279" s="17"/>
      <c r="L279" s="24"/>
      <c r="M279" s="17"/>
      <c r="N279" s="17"/>
      <c r="O279" s="17"/>
      <c r="P279" s="24"/>
      <c r="Q279" s="17"/>
      <c r="R279" s="24"/>
      <c r="S279" s="24"/>
      <c r="T279" s="24"/>
      <c r="U279" s="24"/>
      <c r="V279" s="24"/>
      <c r="W279" s="24"/>
      <c r="X279" s="24"/>
      <c r="Y279" s="24"/>
      <c r="Z279" s="24"/>
      <c r="AA279" s="17"/>
      <c r="AB279" s="17"/>
      <c r="AC279" s="17"/>
      <c r="AD279" s="24"/>
      <c r="AE279" s="24"/>
      <c r="AF279" s="24"/>
      <c r="AG279" s="17"/>
      <c r="AH279" s="17"/>
      <c r="AI279" s="24"/>
      <c r="AJ279" s="24"/>
      <c r="AK279" s="24"/>
      <c r="AL279" s="24"/>
      <c r="AM279" s="24"/>
      <c r="AN279" s="24"/>
    </row>
    <row r="280" ht="15.75" customHeight="1">
      <c r="A280" s="24"/>
      <c r="B280" s="24"/>
      <c r="C280" s="24"/>
      <c r="D280" s="24"/>
      <c r="E280" s="24"/>
      <c r="F280" s="24"/>
      <c r="G280" s="40"/>
      <c r="H280" s="24"/>
      <c r="I280" s="17"/>
      <c r="J280" s="24"/>
      <c r="K280" s="17"/>
      <c r="L280" s="24"/>
      <c r="M280" s="17"/>
      <c r="N280" s="17"/>
      <c r="O280" s="17"/>
      <c r="P280" s="24"/>
      <c r="Q280" s="17"/>
      <c r="R280" s="24"/>
      <c r="S280" s="24"/>
      <c r="T280" s="24"/>
      <c r="U280" s="24"/>
      <c r="V280" s="24"/>
      <c r="W280" s="24"/>
      <c r="X280" s="24"/>
      <c r="Y280" s="24"/>
      <c r="Z280" s="24"/>
      <c r="AA280" s="17"/>
      <c r="AB280" s="17"/>
      <c r="AC280" s="17"/>
      <c r="AD280" s="24"/>
      <c r="AE280" s="24"/>
      <c r="AF280" s="24"/>
      <c r="AG280" s="17"/>
      <c r="AH280" s="17"/>
      <c r="AI280" s="24"/>
      <c r="AJ280" s="24"/>
      <c r="AK280" s="24"/>
      <c r="AL280" s="24"/>
      <c r="AM280" s="24"/>
      <c r="AN280" s="24"/>
    </row>
    <row r="281" ht="15.75" customHeight="1">
      <c r="A281" s="24"/>
      <c r="B281" s="24"/>
      <c r="C281" s="24"/>
      <c r="D281" s="24"/>
      <c r="E281" s="24"/>
      <c r="F281" s="24"/>
      <c r="G281" s="40"/>
      <c r="H281" s="24"/>
      <c r="I281" s="17"/>
      <c r="J281" s="24"/>
      <c r="K281" s="17"/>
      <c r="L281" s="24"/>
      <c r="M281" s="17"/>
      <c r="N281" s="17"/>
      <c r="O281" s="17"/>
      <c r="P281" s="24"/>
      <c r="Q281" s="17"/>
      <c r="R281" s="24"/>
      <c r="S281" s="24"/>
      <c r="T281" s="24"/>
      <c r="U281" s="24"/>
      <c r="V281" s="24"/>
      <c r="W281" s="24"/>
      <c r="X281" s="24"/>
      <c r="Y281" s="24"/>
      <c r="Z281" s="24"/>
      <c r="AA281" s="17"/>
      <c r="AB281" s="17"/>
      <c r="AC281" s="17"/>
      <c r="AD281" s="24"/>
      <c r="AE281" s="24"/>
      <c r="AF281" s="24"/>
      <c r="AG281" s="17"/>
      <c r="AH281" s="17"/>
      <c r="AI281" s="24"/>
      <c r="AJ281" s="24"/>
      <c r="AK281" s="24"/>
      <c r="AL281" s="24"/>
      <c r="AM281" s="24"/>
      <c r="AN281" s="24"/>
    </row>
    <row r="282" ht="15.75" customHeight="1">
      <c r="A282" s="24"/>
      <c r="B282" s="24"/>
      <c r="C282" s="24"/>
      <c r="D282" s="24"/>
      <c r="E282" s="24"/>
      <c r="F282" s="24"/>
      <c r="G282" s="40"/>
      <c r="H282" s="24"/>
      <c r="I282" s="17"/>
      <c r="J282" s="24"/>
      <c r="K282" s="17"/>
      <c r="L282" s="24"/>
      <c r="M282" s="17"/>
      <c r="N282" s="17"/>
      <c r="O282" s="17"/>
      <c r="P282" s="24"/>
      <c r="Q282" s="17"/>
      <c r="R282" s="24"/>
      <c r="S282" s="24"/>
      <c r="T282" s="24"/>
      <c r="U282" s="24"/>
      <c r="V282" s="24"/>
      <c r="W282" s="24"/>
      <c r="X282" s="24"/>
      <c r="Y282" s="24"/>
      <c r="Z282" s="24"/>
      <c r="AA282" s="17"/>
      <c r="AB282" s="17"/>
      <c r="AC282" s="17"/>
      <c r="AD282" s="24"/>
      <c r="AE282" s="24"/>
      <c r="AF282" s="24"/>
      <c r="AG282" s="17"/>
      <c r="AH282" s="17"/>
      <c r="AI282" s="24"/>
      <c r="AJ282" s="24"/>
      <c r="AK282" s="24"/>
      <c r="AL282" s="24"/>
      <c r="AM282" s="24"/>
      <c r="AN282" s="24"/>
    </row>
    <row r="283" ht="15.75" customHeight="1">
      <c r="A283" s="24"/>
      <c r="B283" s="24"/>
      <c r="C283" s="24"/>
      <c r="D283" s="24"/>
      <c r="E283" s="24"/>
      <c r="F283" s="24"/>
      <c r="G283" s="40"/>
      <c r="H283" s="24"/>
      <c r="I283" s="17"/>
      <c r="J283" s="24"/>
      <c r="K283" s="17"/>
      <c r="L283" s="24"/>
      <c r="M283" s="17"/>
      <c r="N283" s="17"/>
      <c r="O283" s="17"/>
      <c r="P283" s="24"/>
      <c r="Q283" s="17"/>
      <c r="R283" s="24"/>
      <c r="S283" s="24"/>
      <c r="T283" s="24"/>
      <c r="U283" s="24"/>
      <c r="V283" s="24"/>
      <c r="W283" s="24"/>
      <c r="X283" s="24"/>
      <c r="Y283" s="24"/>
      <c r="Z283" s="24"/>
      <c r="AA283" s="17"/>
      <c r="AB283" s="17"/>
      <c r="AC283" s="17"/>
      <c r="AD283" s="24"/>
      <c r="AE283" s="24"/>
      <c r="AF283" s="24"/>
      <c r="AG283" s="17"/>
      <c r="AH283" s="17"/>
      <c r="AI283" s="24"/>
      <c r="AJ283" s="24"/>
      <c r="AK283" s="24"/>
      <c r="AL283" s="24"/>
      <c r="AM283" s="24"/>
      <c r="AN283" s="24"/>
    </row>
    <row r="284" ht="15.75" customHeight="1">
      <c r="A284" s="24"/>
      <c r="B284" s="24"/>
      <c r="C284" s="24"/>
      <c r="D284" s="24"/>
      <c r="E284" s="24"/>
      <c r="F284" s="24"/>
      <c r="G284" s="40"/>
      <c r="H284" s="24"/>
      <c r="I284" s="17"/>
      <c r="J284" s="24"/>
      <c r="K284" s="17"/>
      <c r="L284" s="24"/>
      <c r="M284" s="17"/>
      <c r="N284" s="17"/>
      <c r="O284" s="17"/>
      <c r="P284" s="24"/>
      <c r="Q284" s="17"/>
      <c r="R284" s="24"/>
      <c r="S284" s="24"/>
      <c r="T284" s="24"/>
      <c r="U284" s="24"/>
      <c r="V284" s="24"/>
      <c r="W284" s="24"/>
      <c r="X284" s="24"/>
      <c r="Y284" s="24"/>
      <c r="Z284" s="24"/>
      <c r="AA284" s="17"/>
      <c r="AB284" s="17"/>
      <c r="AC284" s="17"/>
      <c r="AD284" s="24"/>
      <c r="AE284" s="24"/>
      <c r="AF284" s="24"/>
      <c r="AG284" s="17"/>
      <c r="AH284" s="17"/>
      <c r="AI284" s="24"/>
      <c r="AJ284" s="24"/>
      <c r="AK284" s="24"/>
      <c r="AL284" s="24"/>
      <c r="AM284" s="24"/>
      <c r="AN284" s="24"/>
    </row>
    <row r="285" ht="15.75" customHeight="1">
      <c r="A285" s="24"/>
      <c r="B285" s="24"/>
      <c r="C285" s="24"/>
      <c r="D285" s="24"/>
      <c r="E285" s="24"/>
      <c r="F285" s="24"/>
      <c r="G285" s="40"/>
      <c r="H285" s="24"/>
      <c r="I285" s="17"/>
      <c r="J285" s="24"/>
      <c r="K285" s="17"/>
      <c r="L285" s="24"/>
      <c r="M285" s="17"/>
      <c r="N285" s="17"/>
      <c r="O285" s="17"/>
      <c r="P285" s="24"/>
      <c r="Q285" s="17"/>
      <c r="R285" s="24"/>
      <c r="S285" s="24"/>
      <c r="T285" s="24"/>
      <c r="U285" s="24"/>
      <c r="V285" s="24"/>
      <c r="W285" s="24"/>
      <c r="X285" s="24"/>
      <c r="Y285" s="24"/>
      <c r="Z285" s="24"/>
      <c r="AA285" s="17"/>
      <c r="AB285" s="17"/>
      <c r="AC285" s="17"/>
      <c r="AD285" s="24"/>
      <c r="AE285" s="24"/>
      <c r="AF285" s="24"/>
      <c r="AG285" s="17"/>
      <c r="AH285" s="17"/>
      <c r="AI285" s="24"/>
      <c r="AJ285" s="24"/>
      <c r="AK285" s="24"/>
      <c r="AL285" s="24"/>
      <c r="AM285" s="24"/>
      <c r="AN285" s="24"/>
    </row>
    <row r="286" ht="15.75" customHeight="1">
      <c r="A286" s="24"/>
      <c r="B286" s="24"/>
      <c r="C286" s="24"/>
      <c r="D286" s="24"/>
      <c r="E286" s="24"/>
      <c r="F286" s="24"/>
      <c r="G286" s="40"/>
      <c r="H286" s="24"/>
      <c r="I286" s="17"/>
      <c r="J286" s="24"/>
      <c r="K286" s="17"/>
      <c r="L286" s="24"/>
      <c r="M286" s="17"/>
      <c r="N286" s="17"/>
      <c r="O286" s="17"/>
      <c r="P286" s="24"/>
      <c r="Q286" s="17"/>
      <c r="R286" s="24"/>
      <c r="S286" s="24"/>
      <c r="T286" s="24"/>
      <c r="U286" s="24"/>
      <c r="V286" s="24"/>
      <c r="W286" s="24"/>
      <c r="X286" s="24"/>
      <c r="Y286" s="24"/>
      <c r="Z286" s="24"/>
      <c r="AA286" s="17"/>
      <c r="AB286" s="17"/>
      <c r="AC286" s="17"/>
      <c r="AD286" s="24"/>
      <c r="AE286" s="24"/>
      <c r="AF286" s="24"/>
      <c r="AG286" s="17"/>
      <c r="AH286" s="17"/>
      <c r="AI286" s="24"/>
      <c r="AJ286" s="24"/>
      <c r="AK286" s="24"/>
      <c r="AL286" s="24"/>
      <c r="AM286" s="24"/>
      <c r="AN286" s="24"/>
    </row>
    <row r="287" ht="15.75" customHeight="1">
      <c r="A287" s="24"/>
      <c r="B287" s="24"/>
      <c r="C287" s="24"/>
      <c r="D287" s="24"/>
      <c r="E287" s="24"/>
      <c r="F287" s="24"/>
      <c r="G287" s="40"/>
      <c r="H287" s="24"/>
      <c r="I287" s="17"/>
      <c r="J287" s="24"/>
      <c r="K287" s="17"/>
      <c r="L287" s="24"/>
      <c r="M287" s="17"/>
      <c r="N287" s="17"/>
      <c r="O287" s="17"/>
      <c r="P287" s="24"/>
      <c r="Q287" s="17"/>
      <c r="R287" s="24"/>
      <c r="S287" s="24"/>
      <c r="T287" s="24"/>
      <c r="U287" s="24"/>
      <c r="V287" s="24"/>
      <c r="W287" s="24"/>
      <c r="X287" s="24"/>
      <c r="Y287" s="24"/>
      <c r="Z287" s="24"/>
      <c r="AA287" s="17"/>
      <c r="AB287" s="17"/>
      <c r="AC287" s="17"/>
      <c r="AD287" s="24"/>
      <c r="AE287" s="24"/>
      <c r="AF287" s="24"/>
      <c r="AG287" s="17"/>
      <c r="AH287" s="17"/>
      <c r="AI287" s="24"/>
      <c r="AJ287" s="24"/>
      <c r="AK287" s="24"/>
      <c r="AL287" s="24"/>
      <c r="AM287" s="24"/>
      <c r="AN287" s="24"/>
    </row>
    <row r="288" ht="15.75" customHeight="1">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ht="15.75" customHeight="1">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ht="15.75" customHeight="1">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ht="15.75" customHeight="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ht="15.75" customHeight="1">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ht="15.75" customHeight="1">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ht="15.75" customHeight="1">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ht="15.75" customHeight="1">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ht="15.75" customHeight="1">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ht="15.75" customHeight="1">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ht="15.75" customHeight="1">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ht="15.75" customHeight="1">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ht="15.75" customHeight="1">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ht="15.75" customHeight="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ht="15.75" customHeight="1">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ht="15.75" customHeight="1">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ht="15.75" customHeight="1">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ht="15.75" customHeight="1">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ht="15.75" customHeight="1">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ht="15.75" customHeight="1">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ht="15.75" customHeight="1">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ht="15.75" customHeight="1">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ht="15.75" customHeight="1">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ht="15.75" customHeight="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ht="15.75" customHeight="1">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ht="15.75" customHeight="1">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ht="15.75" customHeight="1">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ht="15.75" customHeight="1">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ht="15.75" customHeight="1">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ht="15.75" customHeight="1">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ht="15.75" customHeight="1">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ht="15.75" customHeight="1">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ht="15.75" customHeight="1">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ht="15.75" customHeight="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ht="15.75" customHeight="1">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ht="15.75" customHeight="1">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ht="15.75" customHeight="1">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ht="15.75" customHeight="1">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ht="15.75" customHeight="1">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ht="15.75" customHeight="1">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ht="15.75" customHeight="1">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ht="15.75" customHeight="1">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ht="15.75" customHeight="1">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ht="15.75" customHeight="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ht="15.75" customHeight="1">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ht="15.75" customHeight="1">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ht="15.75" customHeight="1">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ht="15.75" customHeight="1">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ht="15.75" customHeight="1">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ht="15.75" customHeight="1">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ht="15.75" customHeight="1">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ht="15.75" customHeight="1">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ht="15.75" customHeight="1">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ht="15.75" customHeight="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ht="15.75" customHeight="1">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ht="15.75" customHeight="1">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ht="15.75" customHeight="1">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ht="15.75" customHeight="1">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ht="15.75" customHeight="1">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ht="15.75" customHeight="1">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ht="15.75" customHeight="1">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ht="15.75" customHeight="1">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ht="15.75" customHeight="1">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ht="15.75" customHeight="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ht="15.75" customHeight="1">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ht="15.75" customHeight="1">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ht="15.75" customHeight="1">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ht="15.75" customHeight="1">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ht="15.75" customHeight="1">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ht="15.75" customHeight="1">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ht="15.75" customHeight="1">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ht="15.75" customHeight="1">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ht="15.75" customHeight="1">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ht="15.75" customHeight="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ht="15.75" customHeight="1">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ht="15.75" customHeight="1">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ht="15.75" customHeight="1">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ht="15.75" customHeight="1">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ht="15.75" customHeight="1">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ht="15.75" customHeight="1">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ht="15.75" customHeight="1">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ht="15.75" customHeight="1">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ht="15.75" customHeight="1">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ht="15.75" customHeight="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ht="15.75" customHeight="1">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ht="15.75" customHeight="1">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ht="15.75" customHeight="1">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ht="15.75" customHeight="1">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ht="15.75" customHeight="1">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ht="15.75" customHeight="1">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ht="15.75" customHeight="1">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ht="15.75" customHeight="1">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ht="15.75" customHeight="1">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ht="15.75" customHeight="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ht="15.75" customHeight="1">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ht="15.75" customHeight="1">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ht="15.75" customHeight="1">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ht="15.75" customHeight="1">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ht="15.75" customHeight="1">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ht="15.75" customHeight="1">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ht="15.75" customHeight="1">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ht="15.75" customHeight="1">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ht="15.75" customHeight="1">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ht="15.75" customHeight="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ht="15.75" customHeight="1">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ht="15.75" customHeight="1">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ht="15.75" customHeight="1">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ht="15.75" customHeight="1">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ht="15.75" customHeight="1">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ht="15.75" customHeight="1">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ht="15.75" customHeight="1">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ht="15.75" customHeight="1">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ht="15.75" customHeight="1">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ht="15.75" customHeight="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ht="15.75" customHeight="1">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ht="15.75" customHeight="1">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ht="15.75" customHeight="1">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ht="15.75" customHeight="1">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ht="15.75" customHeight="1">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ht="15.75" customHeight="1">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ht="15.75" customHeight="1">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ht="15.75" customHeight="1">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ht="15.75" customHeight="1">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ht="15.75" customHeight="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ht="15.75" customHeight="1">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ht="15.75" customHeight="1">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ht="15.75" customHeight="1">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ht="15.75" customHeight="1">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ht="15.75" customHeight="1">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ht="15.75" customHeight="1">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ht="15.75" customHeight="1">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ht="15.75" customHeight="1">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ht="15.75" customHeight="1">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ht="15.75" customHeight="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ht="15.75" customHeight="1">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ht="15.75" customHeight="1">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ht="15.75" customHeight="1">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ht="15.75" customHeight="1">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ht="15.75" customHeight="1">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ht="15.75" customHeight="1">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ht="15.75" customHeight="1">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ht="15.75" customHeight="1">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ht="15.75" customHeight="1">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ht="15.75" customHeight="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ht="15.75" customHeight="1">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ht="15.75" customHeight="1">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ht="15.75" customHeight="1">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ht="15.75" customHeight="1">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ht="15.75" customHeight="1">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ht="15.75" customHeight="1">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ht="15.75" customHeight="1">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ht="15.75" customHeight="1">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ht="15.75" customHeight="1">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ht="15.75" customHeight="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ht="15.75" customHeight="1">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ht="15.75" customHeight="1">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ht="15.75" customHeight="1">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ht="15.75" customHeight="1">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ht="15.75" customHeight="1">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ht="15.75" customHeight="1">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ht="15.75" customHeight="1">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ht="15.75" customHeight="1">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ht="15.75" customHeight="1">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ht="15.75" customHeight="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ht="15.75" customHeight="1">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ht="15.75" customHeight="1">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ht="15.75" customHeight="1">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ht="15.75" customHeight="1">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ht="15.75" customHeight="1">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ht="15.75" customHeight="1">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ht="15.75" customHeight="1">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ht="15.75" customHeight="1">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ht="15.75" customHeight="1">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ht="15.75" customHeight="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ht="15.75" customHeight="1">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ht="15.75" customHeight="1">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ht="15.75" customHeight="1">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ht="15.75" customHeight="1">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ht="15.75" customHeight="1">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ht="15.75" customHeight="1">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ht="15.75" customHeight="1">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ht="15.75" customHeight="1">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ht="15.75" customHeight="1">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ht="15.75" customHeight="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ht="15.75" customHeight="1">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ht="15.75" customHeight="1">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ht="15.75" customHeight="1">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ht="15.75" customHeight="1">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ht="15.75" customHeight="1">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ht="15.75" customHeight="1">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ht="15.75" customHeight="1">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ht="15.75" customHeight="1">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ht="15.75" customHeight="1">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ht="15.75" customHeight="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ht="15.75" customHeight="1">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ht="15.75" customHeight="1">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ht="15.75" customHeight="1">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ht="15.75" customHeight="1">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ht="15.75" customHeight="1">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ht="15.75" customHeight="1">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ht="15.75" customHeight="1">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ht="15.75" customHeight="1">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ht="15.75" customHeight="1">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ht="15.75" customHeight="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ht="15.75" customHeight="1">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ht="15.75" customHeight="1">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ht="15.75" customHeight="1">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ht="15.75" customHeight="1">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ht="15.75" customHeight="1">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ht="15.75" customHeight="1">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ht="15.75" customHeight="1">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ht="15.75" customHeight="1">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ht="15.75" customHeight="1">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ht="15.75" customHeight="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ht="15.75" customHeight="1">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ht="15.75" customHeight="1">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ht="15.75" customHeight="1">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ht="15.75" customHeight="1">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ht="15.75" customHeight="1">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ht="15.75" customHeight="1">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ht="15.75" customHeight="1">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ht="15.75" customHeight="1">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ht="15.75" customHeight="1">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ht="15.75" customHeight="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ht="15.75" customHeight="1">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ht="15.75" customHeight="1">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ht="15.75" customHeight="1">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ht="15.75" customHeight="1">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ht="15.75" customHeight="1">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ht="15.75" customHeight="1">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ht="15.75" customHeight="1">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ht="15.75" customHeight="1">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ht="15.75" customHeight="1">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ht="15.75" customHeight="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ht="15.75" customHeight="1">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ht="15.75" customHeight="1">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ht="15.75" customHeight="1">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ht="15.75" customHeight="1">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ht="15.75" customHeight="1">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ht="15.75" customHeight="1">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ht="15.75" customHeight="1">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ht="15.75" customHeight="1">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ht="15.75" customHeight="1">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ht="15.75" customHeight="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ht="15.75" customHeight="1">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ht="15.75" customHeight="1">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ht="15.75" customHeight="1">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ht="15.75" customHeight="1">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ht="15.75" customHeight="1">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ht="15.75" customHeight="1">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ht="15.75" customHeight="1">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ht="15.75" customHeight="1">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ht="15.75" customHeight="1">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ht="15.75" customHeight="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ht="15.75" customHeight="1">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ht="15.75" customHeight="1">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ht="15.75" customHeight="1">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ht="15.75" customHeight="1">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ht="15.75" customHeight="1">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ht="15.75" customHeight="1">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ht="15.75" customHeight="1">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ht="15.75" customHeight="1">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ht="15.75" customHeight="1">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ht="15.75" customHeight="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ht="15.75" customHeight="1">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ht="15.75" customHeight="1">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ht="15.75" customHeight="1">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ht="15.75" customHeight="1">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ht="15.75" customHeight="1">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ht="15.75" customHeight="1">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ht="15.75" customHeight="1">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ht="15.75" customHeight="1">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ht="15.75" customHeight="1">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ht="15.75" customHeight="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ht="15.75" customHeight="1">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ht="15.75" customHeight="1">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ht="15.75" customHeight="1">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ht="15.75" customHeight="1">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ht="15.75" customHeight="1">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ht="15.75" customHeight="1">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ht="15.75" customHeight="1">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ht="15.75" customHeight="1">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ht="15.75" customHeight="1">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ht="15.75" customHeight="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ht="15.75" customHeight="1">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ht="15.75" customHeight="1">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ht="15.75" customHeight="1">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ht="15.75" customHeight="1">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ht="15.75" customHeight="1">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ht="15.75" customHeight="1">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ht="15.75" customHeight="1">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ht="15.75" customHeight="1">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ht="15.75" customHeight="1">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ht="15.75" customHeight="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ht="15.75" customHeight="1">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ht="15.75" customHeight="1">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ht="15.75" customHeight="1">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ht="15.75" customHeight="1">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ht="15.75" customHeight="1">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ht="15.75" customHeight="1">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ht="15.75" customHeight="1">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ht="15.75" customHeight="1">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ht="15.75" customHeight="1">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ht="15.75" customHeight="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ht="15.75" customHeight="1">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ht="15.75" customHeight="1">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ht="15.75" customHeight="1">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ht="15.75" customHeight="1">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ht="15.75" customHeight="1">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ht="15.75" customHeight="1">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ht="15.75" customHeight="1">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ht="15.75" customHeight="1">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ht="15.75" customHeight="1">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ht="15.75" customHeight="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ht="15.75" customHeight="1">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ht="15.75" customHeight="1">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ht="15.75" customHeight="1">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ht="15.75" customHeight="1">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ht="15.75" customHeight="1">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ht="15.75" customHeight="1">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ht="15.75" customHeight="1">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ht="15.75" customHeight="1">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ht="15.75" customHeight="1">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ht="15.75" customHeight="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ht="15.75" customHeight="1">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ht="15.75" customHeight="1">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ht="15.75" customHeight="1">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ht="15.75" customHeight="1">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ht="15.75" customHeight="1">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ht="15.75" customHeight="1">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ht="15.75" customHeight="1">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ht="15.75" customHeight="1">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ht="15.75" customHeight="1">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ht="15.75" customHeight="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ht="15.75" customHeight="1">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ht="15.75" customHeight="1">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ht="15.75" customHeight="1">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ht="15.75" customHeight="1">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ht="15.75" customHeight="1">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ht="15.75" customHeight="1">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ht="15.75" customHeight="1">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ht="15.75" customHeight="1">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ht="15.75" customHeight="1">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ht="15.75" customHeight="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ht="15.75" customHeight="1">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ht="15.75" customHeight="1">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ht="15.75" customHeight="1">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ht="15.75" customHeight="1">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ht="15.75" customHeight="1">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ht="15.75" customHeight="1">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ht="15.75" customHeight="1">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ht="15.75" customHeight="1">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ht="15.75" customHeight="1">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ht="15.75" customHeight="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ht="15.75" customHeight="1">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ht="15.75" customHeight="1">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ht="15.75" customHeight="1">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ht="15.75" customHeight="1">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ht="15.75" customHeight="1">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ht="15.75" customHeight="1">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ht="15.75" customHeight="1">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ht="15.75" customHeight="1">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ht="15.75" customHeight="1">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ht="15.75" customHeight="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ht="15.75" customHeight="1">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ht="15.75" customHeight="1">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ht="15.75" customHeight="1">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ht="15.75" customHeight="1">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ht="15.75" customHeight="1">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ht="15.75" customHeight="1">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ht="15.75" customHeight="1">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ht="15.75" customHeight="1">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ht="15.75" customHeight="1">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ht="15.75" customHeight="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ht="15.75" customHeight="1">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ht="15.75" customHeight="1">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ht="15.75" customHeight="1">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ht="15.75" customHeight="1">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ht="15.75" customHeight="1">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ht="15.75" customHeight="1">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ht="15.75" customHeight="1">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ht="15.75" customHeight="1">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ht="15.75" customHeight="1">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ht="15.75" customHeight="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ht="15.75" customHeight="1">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ht="15.75" customHeight="1">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ht="15.75" customHeight="1">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ht="15.75" customHeight="1">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ht="15.75" customHeight="1">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ht="15.75" customHeight="1">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ht="15.75" customHeight="1">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ht="15.75" customHeight="1">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ht="15.75" customHeight="1">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ht="15.75" customHeight="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ht="15.75" customHeight="1">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ht="15.75" customHeight="1">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ht="15.75" customHeight="1">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ht="15.75" customHeight="1">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ht="15.75" customHeight="1">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ht="15.75" customHeight="1">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ht="15.75" customHeight="1">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ht="15.75" customHeight="1">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ht="15.75" customHeight="1">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ht="15.75" customHeight="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ht="15.75" customHeight="1">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ht="15.75" customHeight="1">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ht="15.75" customHeight="1">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ht="15.75" customHeight="1">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ht="15.75" customHeight="1">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ht="15.75" customHeight="1">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ht="15.75" customHeight="1">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ht="15.75" customHeight="1">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ht="15.75" customHeight="1">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ht="15.75" customHeight="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ht="15.75" customHeight="1">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ht="15.75" customHeight="1">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ht="15.75" customHeight="1">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ht="15.75" customHeight="1">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ht="15.75" customHeight="1">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ht="15.75" customHeight="1">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ht="15.75" customHeight="1">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ht="15.75" customHeight="1">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ht="15.75" customHeight="1">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ht="15.75" customHeight="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ht="15.75" customHeight="1">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ht="15.75" customHeight="1">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ht="15.75" customHeight="1">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ht="15.75" customHeight="1">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ht="15.75" customHeight="1">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ht="15.75" customHeight="1">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ht="15.75" customHeight="1">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ht="15.75" customHeight="1">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ht="15.75" customHeight="1">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ht="15.75" customHeight="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ht="15.75" customHeight="1">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ht="15.75" customHeight="1">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ht="15.75" customHeight="1">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ht="15.75" customHeight="1">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ht="15.75" customHeight="1">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ht="15.75" customHeight="1">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ht="15.75" customHeight="1">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ht="15.75" customHeight="1">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ht="15.75" customHeight="1">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ht="15.75" customHeight="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ht="15.75" customHeight="1">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ht="15.75" customHeight="1">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ht="15.75" customHeight="1">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ht="15.75" customHeight="1">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ht="15.75" customHeight="1">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ht="15.75" customHeight="1">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ht="15.75" customHeight="1">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ht="15.75" customHeight="1">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ht="15.75" customHeight="1">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ht="15.75" customHeight="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ht="15.75" customHeight="1">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ht="15.75" customHeight="1">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ht="15.75" customHeight="1">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ht="15.75" customHeight="1">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ht="15.75" customHeight="1">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ht="15.75" customHeight="1">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ht="15.75" customHeight="1">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ht="15.75" customHeight="1">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ht="15.75" customHeight="1">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ht="15.75" customHeight="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ht="15.75" customHeight="1">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ht="15.75" customHeight="1">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ht="15.75" customHeight="1">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ht="15.75" customHeight="1">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ht="15.75" customHeight="1">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ht="15.75" customHeight="1">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ht="15.75" customHeight="1">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ht="15.75" customHeight="1">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ht="15.75" customHeight="1">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ht="15.75" customHeight="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ht="15.75" customHeight="1">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ht="15.75" customHeight="1">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ht="15.75" customHeight="1">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ht="15.75" customHeight="1">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ht="15.75" customHeight="1">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ht="15.75" customHeight="1">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ht="15.75" customHeight="1">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ht="15.75" customHeight="1">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ht="15.75" customHeight="1">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ht="15.75" customHeight="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ht="15.75" customHeight="1">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ht="15.75" customHeight="1">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ht="15.75" customHeight="1">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ht="15.75" customHeight="1">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ht="15.75" customHeight="1">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ht="15.75" customHeight="1">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ht="15.75" customHeight="1">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ht="15.75" customHeight="1">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ht="15.75" customHeight="1">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ht="15.75" customHeight="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ht="15.75" customHeight="1">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ht="15.75" customHeight="1">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ht="15.75" customHeight="1">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ht="15.75" customHeight="1">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ht="15.75" customHeight="1">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ht="15.75" customHeight="1">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ht="15.75" customHeight="1">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ht="15.75" customHeight="1">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ht="15.75" customHeight="1">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ht="15.75" customHeight="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ht="15.75" customHeight="1">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ht="15.75" customHeight="1">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ht="15.75" customHeight="1">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ht="15.75" customHeight="1">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ht="15.75" customHeight="1">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ht="15.75" customHeight="1">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ht="15.75" customHeight="1">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ht="15.75" customHeight="1">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ht="15.75" customHeight="1">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ht="15.75" customHeight="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ht="15.75" customHeight="1">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ht="15.75" customHeight="1">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ht="15.75" customHeight="1">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ht="15.75" customHeight="1">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ht="15.75" customHeight="1">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ht="15.75" customHeight="1">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ht="15.75" customHeight="1">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ht="15.75" customHeight="1">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ht="15.75" customHeight="1">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ht="15.75" customHeight="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ht="15.75" customHeight="1">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ht="15.75" customHeight="1">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ht="15.75" customHeight="1">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ht="15.75" customHeight="1">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ht="15.75" customHeight="1">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ht="15.75" customHeight="1">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ht="15.75" customHeight="1">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ht="15.75" customHeight="1">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ht="15.75" customHeight="1">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ht="15.75" customHeight="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ht="15.75" customHeight="1">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ht="15.75" customHeight="1">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ht="15.75" customHeight="1">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ht="15.75" customHeight="1">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ht="15.75" customHeight="1">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ht="15.75" customHeight="1">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ht="15.75" customHeight="1">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ht="15.75" customHeight="1">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ht="15.75" customHeight="1">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ht="15.75" customHeight="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ht="15.75" customHeight="1">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ht="15.75" customHeight="1">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ht="15.75" customHeight="1">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ht="15.75" customHeight="1">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ht="15.75" customHeight="1">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ht="15.75" customHeight="1">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ht="15.75" customHeight="1">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ht="15.75" customHeight="1">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ht="15.75" customHeight="1">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ht="15.75" customHeight="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ht="15.75" customHeight="1">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ht="15.75" customHeight="1">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ht="15.75" customHeight="1">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ht="15.75" customHeight="1">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ht="15.75" customHeight="1">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ht="15.75" customHeight="1">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ht="15.75" customHeight="1">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ht="15.75" customHeight="1">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ht="15.75" customHeight="1">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ht="15.75" customHeight="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ht="15.75" customHeight="1">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ht="15.75" customHeight="1">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ht="15.75" customHeight="1">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ht="15.75" customHeight="1">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ht="15.75" customHeight="1">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ht="15.75" customHeight="1">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ht="15.75" customHeight="1">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ht="15.75" customHeight="1">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ht="15.75" customHeight="1">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ht="15.75" customHeight="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ht="15.75" customHeight="1">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ht="15.75" customHeight="1">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ht="15.75" customHeight="1">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ht="15.75" customHeight="1">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ht="15.75" customHeight="1">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ht="15.75" customHeight="1">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ht="15.75" customHeight="1">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ht="15.75" customHeight="1">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ht="15.75" customHeight="1">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ht="15.75" customHeight="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ht="15.75" customHeight="1">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ht="15.75" customHeight="1">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ht="15.75" customHeight="1">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ht="15.75" customHeight="1">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ht="15.75" customHeight="1">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ht="15.75" customHeight="1">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ht="15.75" customHeight="1">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ht="15.75" customHeight="1">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ht="15.75" customHeight="1">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ht="15.75" customHeight="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ht="15.75" customHeight="1">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ht="15.75" customHeight="1">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ht="15.75" customHeight="1">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ht="15.75" customHeight="1">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ht="15.75" customHeight="1">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ht="15.75" customHeight="1">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ht="15.75" customHeight="1">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ht="15.75" customHeight="1">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ht="15.75" customHeight="1">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ht="15.75" customHeight="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ht="15.75" customHeight="1">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ht="15.75" customHeight="1">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ht="15.75" customHeight="1">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ht="15.75" customHeight="1">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ht="15.75" customHeight="1">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ht="15.75" customHeight="1">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ht="15.75" customHeight="1">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ht="15.75" customHeight="1">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ht="15.75" customHeight="1">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ht="15.75" customHeight="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ht="15.75" customHeight="1">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ht="15.75" customHeight="1">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ht="15.75" customHeight="1">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ht="15.75" customHeight="1">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ht="15.75" customHeight="1">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ht="15.75" customHeight="1">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ht="15.75" customHeight="1">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ht="15.75" customHeight="1">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ht="15.75" customHeight="1">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ht="15.75" customHeight="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ht="15.75" customHeight="1">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ht="15.75" customHeight="1">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ht="15.75" customHeight="1">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ht="15.75" customHeight="1">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ht="15.75" customHeight="1">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ht="15.75" customHeight="1">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ht="15.75" customHeight="1">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ht="15.75" customHeight="1">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ht="15.75" customHeight="1">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ht="15.75" customHeight="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ht="15.75" customHeight="1">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ht="15.75" customHeight="1">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ht="15.75" customHeight="1">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ht="15.75" customHeight="1">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ht="15.75" customHeight="1">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ht="15.75" customHeight="1">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ht="15.75" customHeight="1">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ht="15.75" customHeight="1">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ht="15.75" customHeight="1">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ht="15.75" customHeight="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ht="15.75" customHeight="1">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ht="15.75" customHeight="1">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ht="15.75" customHeight="1">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ht="15.75" customHeight="1">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ht="15.75" customHeight="1">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ht="15.75" customHeight="1">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ht="15.75" customHeight="1">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ht="15.75" customHeight="1">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ht="15.75" customHeight="1">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ht="15.75" customHeight="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ht="15.75" customHeight="1">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ht="15.75" customHeight="1">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ht="15.75" customHeight="1">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ht="15.75" customHeight="1">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ht="15.75" customHeight="1">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ht="15.75" customHeight="1">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ht="15.75" customHeight="1">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ht="15.75" customHeight="1">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ht="15.75" customHeight="1">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ht="15.75" customHeight="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ht="15.75" customHeight="1">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ht="15.75" customHeight="1">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ht="15.75" customHeight="1">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ht="15.75" customHeight="1">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ht="15.75" customHeight="1">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ht="15.75" customHeight="1">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ht="15.75" customHeight="1">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ht="15.75" customHeight="1">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ht="15.75" customHeight="1">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ht="15.75" customHeight="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ht="15.75" customHeight="1">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ht="15.75" customHeight="1">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ht="15.75" customHeight="1">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ht="15.75" customHeight="1">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ht="15.75" customHeight="1">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ht="15.75" customHeight="1">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ht="15.75" customHeight="1">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ht="15.75" customHeight="1">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ht="15.75" customHeight="1">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ht="15.75" customHeight="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ht="15.75" customHeight="1">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ht="15.75" customHeight="1">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ht="15.75" customHeight="1">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ht="15.75" customHeight="1">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ht="15.75" customHeight="1">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ht="15.75" customHeight="1">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ht="15.75" customHeight="1">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ht="15.75" customHeight="1">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ht="15.75" customHeight="1">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ht="15.75" customHeight="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ht="15.75" customHeight="1">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ht="15.75" customHeight="1">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ht="15.75" customHeight="1">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ht="15.75" customHeight="1">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ht="15.75" customHeight="1">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ht="15.75" customHeight="1">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ht="15.75" customHeight="1">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ht="15.75" customHeight="1">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ht="15.75" customHeight="1">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ht="15.75" customHeight="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ht="15.75" customHeight="1">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ht="15.75" customHeight="1">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ht="15.75" customHeight="1">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ht="15.75" customHeight="1">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ht="15.75" customHeight="1">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ht="15.75" customHeight="1">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ht="15.75" customHeight="1">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ht="15.75" customHeight="1">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ht="15.75" customHeight="1">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sheetData>
  <autoFilter ref="$A$1:$AN$91"/>
  <dataValidations>
    <dataValidation type="list" allowBlank="1" showErrorMessage="1" sqref="AE88:AE91">
      <formula1>"2026,2025,2024,2023,2022,2021,Sebelum 2021,Tidak Tersedia"</formula1>
    </dataValidation>
    <dataValidation type="list" allowBlank="1" showErrorMessage="1" sqref="AD88:AD91">
      <formula1>"Bulanan,Triwulanan,Semesteran,Tahunan,Tidak Tersedia"</formula1>
    </dataValidation>
  </dataValidations>
  <hyperlinks>
    <hyperlink r:id="rId1" ref="P2"/>
    <hyperlink r:id="rId2" ref="S2"/>
    <hyperlink r:id="rId3" ref="M3"/>
    <hyperlink r:id="rId4" ref="S3"/>
    <hyperlink r:id="rId5" ref="M4"/>
    <hyperlink r:id="rId6" ref="P4"/>
    <hyperlink r:id="rId7" ref="S4"/>
    <hyperlink r:id="rId8" ref="O5"/>
    <hyperlink r:id="rId9" ref="S5"/>
    <hyperlink r:id="rId10" ref="P6"/>
    <hyperlink r:id="rId11" ref="S6"/>
    <hyperlink r:id="rId12" ref="M7"/>
    <hyperlink r:id="rId13" ref="O7"/>
    <hyperlink r:id="rId14" ref="N8"/>
    <hyperlink r:id="rId15" ref="N9"/>
    <hyperlink r:id="rId16" ref="O10"/>
    <hyperlink r:id="rId17" ref="S10"/>
    <hyperlink r:id="rId18" ref="P11"/>
    <hyperlink r:id="rId19" ref="S11"/>
    <hyperlink r:id="rId20" ref="O12"/>
    <hyperlink r:id="rId21" ref="S12"/>
    <hyperlink r:id="rId22" ref="P14"/>
    <hyperlink r:id="rId23" ref="S14"/>
    <hyperlink r:id="rId24" ref="P15"/>
    <hyperlink r:id="rId25" ref="S15"/>
    <hyperlink r:id="rId26" ref="S17"/>
    <hyperlink r:id="rId27" ref="P18"/>
    <hyperlink r:id="rId28" ref="S18"/>
    <hyperlink r:id="rId29" ref="O20"/>
    <hyperlink r:id="rId30" ref="O21"/>
    <hyperlink r:id="rId31" ref="P21"/>
    <hyperlink r:id="rId32" ref="O22"/>
    <hyperlink r:id="rId33" ref="S22"/>
    <hyperlink r:id="rId34" ref="O23"/>
    <hyperlink r:id="rId35" ref="O24"/>
    <hyperlink r:id="rId36" ref="S24"/>
    <hyperlink r:id="rId37" ref="P25"/>
    <hyperlink r:id="rId38" ref="S25"/>
    <hyperlink r:id="rId39" ref="S26"/>
    <hyperlink r:id="rId40" ref="O27"/>
    <hyperlink r:id="rId41" ref="P27"/>
    <hyperlink r:id="rId42" ref="P28"/>
    <hyperlink r:id="rId43" ref="M29"/>
    <hyperlink r:id="rId44" ref="S29"/>
    <hyperlink r:id="rId45" ref="M30"/>
    <hyperlink r:id="rId46" ref="S30"/>
    <hyperlink r:id="rId47" ref="M31"/>
    <hyperlink r:id="rId48" ref="O31"/>
    <hyperlink r:id="rId49" ref="P31"/>
    <hyperlink r:id="rId50" ref="S31"/>
    <hyperlink r:id="rId51" location=":~:text=devisa%20pariwisata%20berangsur%20naik%20pada,dolar%20AS%20atau%20hampir%20mendekati" ref="P32"/>
    <hyperlink r:id="rId52" ref="S32"/>
    <hyperlink r:id="rId53" ref="AA32"/>
    <hyperlink r:id="rId54" ref="M33"/>
    <hyperlink r:id="rId55" ref="P33"/>
    <hyperlink r:id="rId56" ref="O34"/>
    <hyperlink r:id="rId57" ref="M36"/>
    <hyperlink r:id="rId58" ref="O37"/>
    <hyperlink r:id="rId59" ref="O38"/>
    <hyperlink r:id="rId60" ref="P38"/>
    <hyperlink r:id="rId61" ref="P39"/>
    <hyperlink r:id="rId62" ref="S39"/>
    <hyperlink r:id="rId63" ref="O40"/>
    <hyperlink r:id="rId64" ref="S40"/>
    <hyperlink r:id="rId65" ref="O41"/>
    <hyperlink r:id="rId66" ref="N42"/>
    <hyperlink r:id="rId67" ref="M43"/>
    <hyperlink r:id="rId68" ref="P43"/>
    <hyperlink r:id="rId69" ref="N45"/>
    <hyperlink r:id="rId70" ref="P45"/>
    <hyperlink r:id="rId71" ref="P46"/>
    <hyperlink r:id="rId72" ref="S47"/>
    <hyperlink r:id="rId73" ref="O48"/>
    <hyperlink r:id="rId74" ref="P48"/>
    <hyperlink r:id="rId75" ref="M49"/>
    <hyperlink r:id="rId76" ref="O50"/>
    <hyperlink r:id="rId77" ref="O52"/>
    <hyperlink r:id="rId78" ref="S52"/>
    <hyperlink r:id="rId79" ref="S53"/>
    <hyperlink r:id="rId80" ref="P54"/>
    <hyperlink r:id="rId81" ref="S54"/>
    <hyperlink r:id="rId82" ref="O55"/>
    <hyperlink r:id="rId83" ref="P55"/>
    <hyperlink r:id="rId84" ref="P56"/>
    <hyperlink r:id="rId85" ref="O57"/>
    <hyperlink r:id="rId86" ref="S57"/>
    <hyperlink r:id="rId87" ref="O58"/>
    <hyperlink r:id="rId88" ref="S58"/>
    <hyperlink r:id="rId89" ref="O59"/>
    <hyperlink r:id="rId90" ref="P59"/>
    <hyperlink r:id="rId91" ref="O60"/>
    <hyperlink r:id="rId92" ref="P60"/>
    <hyperlink r:id="rId93" ref="S60"/>
    <hyperlink r:id="rId94" ref="O61"/>
    <hyperlink r:id="rId95" ref="P61"/>
    <hyperlink r:id="rId96" ref="S63"/>
    <hyperlink r:id="rId97" ref="P64"/>
    <hyperlink r:id="rId98" ref="S64"/>
    <hyperlink r:id="rId99" ref="P65"/>
    <hyperlink r:id="rId100" ref="P67"/>
    <hyperlink r:id="rId101" ref="N68"/>
    <hyperlink r:id="rId102" ref="P68"/>
    <hyperlink r:id="rId103" ref="N69"/>
    <hyperlink r:id="rId104" ref="O70"/>
    <hyperlink r:id="rId105" ref="P70"/>
    <hyperlink r:id="rId106" ref="S71"/>
    <hyperlink r:id="rId107" ref="O73"/>
    <hyperlink r:id="rId108" ref="P73"/>
    <hyperlink r:id="rId109" ref="S73"/>
    <hyperlink r:id="rId110" ref="N75"/>
    <hyperlink r:id="rId111" ref="O75"/>
    <hyperlink r:id="rId112" ref="P76"/>
    <hyperlink r:id="rId113" ref="S76"/>
    <hyperlink r:id="rId114" ref="S77"/>
    <hyperlink r:id="rId115" ref="P78"/>
    <hyperlink r:id="rId116" ref="O79"/>
    <hyperlink r:id="rId117" ref="P79"/>
    <hyperlink r:id="rId118" ref="P83"/>
    <hyperlink r:id="rId119" ref="AA83"/>
    <hyperlink r:id="rId120" ref="S84"/>
    <hyperlink r:id="rId121" ref="O85"/>
    <hyperlink r:id="rId122" ref="S86"/>
    <hyperlink r:id="rId123" ref="S87"/>
    <hyperlink r:id="rId124" ref="AA87"/>
  </hyperlinks>
  <printOptions/>
  <pageMargins bottom="0.75" footer="0.0" header="0.0" left="0.7" right="0.7" top="0.75"/>
  <pageSetup orientation="landscape"/>
  <drawing r:id="rId1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5.88"/>
    <col customWidth="1" min="2" max="2" width="59.13"/>
    <col customWidth="1" min="3" max="12" width="11.13"/>
    <col customWidth="1" min="13" max="13" width="24.13"/>
  </cols>
  <sheetData>
    <row r="1" ht="27.0" customHeight="1">
      <c r="A1" s="42" t="s">
        <v>93</v>
      </c>
      <c r="B1" s="42" t="s">
        <v>94</v>
      </c>
      <c r="C1" s="43" t="s">
        <v>95</v>
      </c>
      <c r="D1" s="44"/>
      <c r="E1" s="44"/>
      <c r="F1" s="44"/>
      <c r="G1" s="45"/>
      <c r="H1" s="46" t="s">
        <v>96</v>
      </c>
      <c r="I1" s="44"/>
      <c r="J1" s="44"/>
      <c r="K1" s="44"/>
      <c r="L1" s="45"/>
      <c r="M1" s="42" t="s">
        <v>97</v>
      </c>
    </row>
    <row r="2" ht="27.0" customHeight="1">
      <c r="A2" s="47"/>
      <c r="B2" s="47"/>
      <c r="C2" s="48">
        <v>2021.0</v>
      </c>
      <c r="D2" s="48">
        <v>2022.0</v>
      </c>
      <c r="E2" s="48">
        <v>2023.0</v>
      </c>
      <c r="F2" s="48">
        <v>2024.0</v>
      </c>
      <c r="G2" s="48">
        <v>2025.0</v>
      </c>
      <c r="H2" s="49">
        <v>2025.0</v>
      </c>
      <c r="I2" s="49">
        <v>2026.0</v>
      </c>
      <c r="J2" s="49">
        <v>2027.0</v>
      </c>
      <c r="K2" s="49">
        <v>2028.0</v>
      </c>
      <c r="L2" s="49">
        <v>2029.0</v>
      </c>
      <c r="M2" s="47"/>
    </row>
    <row r="3" ht="28.5" customHeight="1">
      <c r="A3" s="50">
        <v>1.0</v>
      </c>
      <c r="B3" s="51" t="s">
        <v>13</v>
      </c>
      <c r="C3" s="52"/>
      <c r="D3" s="52"/>
      <c r="E3" s="52"/>
      <c r="F3" s="52"/>
      <c r="G3" s="52"/>
      <c r="H3" s="53" t="s">
        <v>98</v>
      </c>
      <c r="I3" s="53" t="s">
        <v>99</v>
      </c>
      <c r="J3" s="53" t="s">
        <v>100</v>
      </c>
      <c r="K3" s="53" t="s">
        <v>101</v>
      </c>
      <c r="L3" s="53" t="s">
        <v>102</v>
      </c>
      <c r="M3" s="54"/>
    </row>
    <row r="4" ht="28.5" customHeight="1">
      <c r="A4" s="50">
        <v>2.0</v>
      </c>
      <c r="B4" s="51" t="s">
        <v>16</v>
      </c>
      <c r="C4" s="52"/>
      <c r="D4" s="52"/>
      <c r="E4" s="52"/>
      <c r="F4" s="52"/>
      <c r="G4" s="52"/>
      <c r="H4" s="53" t="s">
        <v>103</v>
      </c>
      <c r="I4" s="53" t="s">
        <v>104</v>
      </c>
      <c r="J4" s="53" t="s">
        <v>105</v>
      </c>
      <c r="K4" s="53" t="s">
        <v>106</v>
      </c>
      <c r="L4" s="53" t="s">
        <v>107</v>
      </c>
      <c r="M4" s="54"/>
    </row>
    <row r="5" ht="28.5" customHeight="1">
      <c r="A5" s="50">
        <v>3.0</v>
      </c>
      <c r="B5" s="51" t="s">
        <v>19</v>
      </c>
      <c r="C5" s="52"/>
      <c r="D5" s="52"/>
      <c r="E5" s="52"/>
      <c r="F5" s="52"/>
      <c r="G5" s="52"/>
      <c r="H5" s="55" t="s">
        <v>108</v>
      </c>
      <c r="I5" s="55" t="s">
        <v>109</v>
      </c>
      <c r="J5" s="55" t="s">
        <v>110</v>
      </c>
      <c r="K5" s="55" t="s">
        <v>111</v>
      </c>
      <c r="L5" s="55" t="s">
        <v>112</v>
      </c>
      <c r="M5" s="54"/>
    </row>
    <row r="6" ht="28.5" customHeight="1">
      <c r="A6" s="50">
        <v>4.0</v>
      </c>
      <c r="B6" s="51" t="s">
        <v>113</v>
      </c>
      <c r="C6" s="56" t="s">
        <v>114</v>
      </c>
      <c r="D6" s="56" t="s">
        <v>115</v>
      </c>
      <c r="E6" s="56" t="s">
        <v>116</v>
      </c>
      <c r="F6" s="56" t="s">
        <v>117</v>
      </c>
      <c r="G6" s="56" t="s">
        <v>118</v>
      </c>
      <c r="H6" s="53" t="s">
        <v>119</v>
      </c>
      <c r="I6" s="53" t="s">
        <v>120</v>
      </c>
      <c r="J6" s="53" t="s">
        <v>121</v>
      </c>
      <c r="K6" s="53" t="s">
        <v>122</v>
      </c>
      <c r="L6" s="53" t="s">
        <v>123</v>
      </c>
      <c r="M6" s="54"/>
    </row>
    <row r="7" ht="28.5" customHeight="1">
      <c r="A7" s="50">
        <v>5.0</v>
      </c>
      <c r="B7" s="51" t="s">
        <v>124</v>
      </c>
      <c r="C7" s="57" t="s">
        <v>125</v>
      </c>
      <c r="D7" s="57" t="s">
        <v>126</v>
      </c>
      <c r="E7" s="57" t="s">
        <v>127</v>
      </c>
      <c r="F7" s="57" t="s">
        <v>128</v>
      </c>
      <c r="G7" s="57" t="s">
        <v>129</v>
      </c>
      <c r="H7" s="58" t="s">
        <v>130</v>
      </c>
      <c r="I7" s="58" t="s">
        <v>131</v>
      </c>
      <c r="J7" s="58" t="s">
        <v>132</v>
      </c>
      <c r="K7" s="58" t="s">
        <v>133</v>
      </c>
      <c r="L7" s="58" t="s">
        <v>134</v>
      </c>
      <c r="M7" s="54"/>
    </row>
    <row r="8" ht="28.5" customHeight="1">
      <c r="A8" s="50">
        <v>6.0</v>
      </c>
      <c r="B8" s="51" t="s">
        <v>26</v>
      </c>
      <c r="C8" s="52"/>
      <c r="D8" s="52"/>
      <c r="E8" s="52"/>
      <c r="F8" s="52"/>
      <c r="G8" s="52"/>
      <c r="H8" s="53" t="s">
        <v>135</v>
      </c>
      <c r="I8" s="53" t="s">
        <v>135</v>
      </c>
      <c r="J8" s="53" t="s">
        <v>135</v>
      </c>
      <c r="K8" s="53" t="s">
        <v>135</v>
      </c>
      <c r="L8" s="53" t="s">
        <v>135</v>
      </c>
      <c r="M8" s="54"/>
    </row>
    <row r="9" ht="28.5" customHeight="1">
      <c r="A9" s="50">
        <v>7.0</v>
      </c>
      <c r="B9" s="51" t="s">
        <v>28</v>
      </c>
      <c r="C9" s="52"/>
      <c r="D9" s="52"/>
      <c r="E9" s="52"/>
      <c r="F9" s="56" t="s">
        <v>136</v>
      </c>
      <c r="G9" s="56" t="s">
        <v>137</v>
      </c>
      <c r="H9" s="53" t="s">
        <v>138</v>
      </c>
      <c r="I9" s="53" t="s">
        <v>139</v>
      </c>
      <c r="J9" s="53" t="s">
        <v>140</v>
      </c>
      <c r="K9" s="53" t="s">
        <v>141</v>
      </c>
      <c r="L9" s="53" t="s">
        <v>142</v>
      </c>
      <c r="M9" s="54"/>
    </row>
    <row r="10" ht="28.5" customHeight="1">
      <c r="A10" s="50">
        <v>8.0</v>
      </c>
      <c r="B10" s="51" t="s">
        <v>143</v>
      </c>
      <c r="C10" s="52"/>
      <c r="D10" s="52"/>
      <c r="E10" s="52"/>
      <c r="F10" s="52"/>
      <c r="G10" s="52"/>
      <c r="H10" s="53" t="s">
        <v>144</v>
      </c>
      <c r="I10" s="53" t="s">
        <v>145</v>
      </c>
      <c r="J10" s="53" t="s">
        <v>146</v>
      </c>
      <c r="K10" s="53" t="s">
        <v>146</v>
      </c>
      <c r="L10" s="53" t="s">
        <v>147</v>
      </c>
      <c r="M10" s="54"/>
    </row>
    <row r="11" ht="28.5" customHeight="1">
      <c r="A11" s="50">
        <v>9.0</v>
      </c>
      <c r="B11" s="51" t="s">
        <v>148</v>
      </c>
      <c r="C11" s="56" t="s">
        <v>149</v>
      </c>
      <c r="D11" s="56" t="s">
        <v>150</v>
      </c>
      <c r="E11" s="56" t="s">
        <v>151</v>
      </c>
      <c r="F11" s="56"/>
      <c r="G11" s="56"/>
      <c r="H11" s="53" t="s">
        <v>152</v>
      </c>
      <c r="I11" s="53" t="s">
        <v>153</v>
      </c>
      <c r="J11" s="53" t="s">
        <v>154</v>
      </c>
      <c r="K11" s="53" t="s">
        <v>155</v>
      </c>
      <c r="L11" s="53" t="s">
        <v>156</v>
      </c>
      <c r="M11" s="54"/>
    </row>
    <row r="12" ht="28.5" customHeight="1">
      <c r="A12" s="50">
        <v>10.0</v>
      </c>
      <c r="B12" s="51" t="s">
        <v>157</v>
      </c>
      <c r="C12" s="56" t="s">
        <v>158</v>
      </c>
      <c r="D12" s="56" t="s">
        <v>159</v>
      </c>
      <c r="E12" s="56" t="s">
        <v>160</v>
      </c>
      <c r="F12" s="56" t="s">
        <v>161</v>
      </c>
      <c r="G12" s="56" t="s">
        <v>162</v>
      </c>
      <c r="H12" s="53" t="s">
        <v>163</v>
      </c>
      <c r="I12" s="53" t="s">
        <v>164</v>
      </c>
      <c r="J12" s="53" t="s">
        <v>165</v>
      </c>
      <c r="K12" s="53" t="s">
        <v>166</v>
      </c>
      <c r="L12" s="53" t="s">
        <v>167</v>
      </c>
      <c r="M12" s="54"/>
    </row>
    <row r="13" ht="28.5" customHeight="1">
      <c r="A13" s="50">
        <v>11.0</v>
      </c>
      <c r="B13" s="51" t="s">
        <v>168</v>
      </c>
      <c r="C13" s="52"/>
      <c r="D13" s="52"/>
      <c r="E13" s="52"/>
      <c r="F13" s="52"/>
      <c r="G13" s="52"/>
      <c r="H13" s="53" t="s">
        <v>169</v>
      </c>
      <c r="I13" s="53" t="s">
        <v>170</v>
      </c>
      <c r="J13" s="53" t="s">
        <v>171</v>
      </c>
      <c r="K13" s="53" t="s">
        <v>172</v>
      </c>
      <c r="L13" s="53" t="s">
        <v>173</v>
      </c>
      <c r="M13" s="54"/>
    </row>
    <row r="14" ht="28.5" customHeight="1">
      <c r="A14" s="50">
        <v>12.0</v>
      </c>
      <c r="B14" s="51" t="s">
        <v>174</v>
      </c>
      <c r="C14" s="52"/>
      <c r="D14" s="52"/>
      <c r="E14" s="52"/>
      <c r="F14" s="52"/>
      <c r="G14" s="52"/>
      <c r="H14" s="53" t="s">
        <v>175</v>
      </c>
      <c r="I14" s="53" t="s">
        <v>176</v>
      </c>
      <c r="J14" s="53" t="s">
        <v>177</v>
      </c>
      <c r="K14" s="53" t="s">
        <v>178</v>
      </c>
      <c r="L14" s="53" t="s">
        <v>179</v>
      </c>
      <c r="M14" s="54"/>
    </row>
    <row r="15" ht="28.5" customHeight="1">
      <c r="A15" s="50">
        <v>13.0</v>
      </c>
      <c r="B15" s="51" t="s">
        <v>180</v>
      </c>
      <c r="C15" s="52"/>
      <c r="D15" s="52"/>
      <c r="E15" s="52"/>
      <c r="F15" s="52"/>
      <c r="G15" s="52"/>
      <c r="H15" s="53" t="s">
        <v>181</v>
      </c>
      <c r="I15" s="53" t="s">
        <v>182</v>
      </c>
      <c r="J15" s="53" t="s">
        <v>183</v>
      </c>
      <c r="K15" s="53" t="s">
        <v>184</v>
      </c>
      <c r="L15" s="53" t="s">
        <v>185</v>
      </c>
      <c r="M15" s="54"/>
    </row>
    <row r="16" ht="28.5" customHeight="1">
      <c r="A16" s="50">
        <v>14.0</v>
      </c>
      <c r="B16" s="51" t="s">
        <v>186</v>
      </c>
      <c r="C16" s="52"/>
      <c r="D16" s="52"/>
      <c r="E16" s="52"/>
      <c r="F16" s="52"/>
      <c r="G16" s="52"/>
      <c r="H16" s="53" t="s">
        <v>187</v>
      </c>
      <c r="I16" s="53" t="s">
        <v>187</v>
      </c>
      <c r="J16" s="53" t="s">
        <v>187</v>
      </c>
      <c r="K16" s="53" t="s">
        <v>187</v>
      </c>
      <c r="L16" s="53" t="s">
        <v>187</v>
      </c>
      <c r="M16" s="59" t="s">
        <v>188</v>
      </c>
    </row>
    <row r="17" ht="28.5" customHeight="1">
      <c r="A17" s="50">
        <v>15.0</v>
      </c>
      <c r="B17" s="51" t="s">
        <v>189</v>
      </c>
      <c r="C17" s="52"/>
      <c r="D17" s="52"/>
      <c r="E17" s="52"/>
      <c r="F17" s="52"/>
      <c r="G17" s="52"/>
      <c r="H17" s="53" t="s">
        <v>190</v>
      </c>
      <c r="I17" s="53" t="s">
        <v>191</v>
      </c>
      <c r="J17" s="53" t="s">
        <v>192</v>
      </c>
      <c r="K17" s="53" t="s">
        <v>193</v>
      </c>
      <c r="L17" s="53" t="s">
        <v>194</v>
      </c>
      <c r="M17" s="54"/>
    </row>
    <row r="18" ht="28.5" customHeight="1">
      <c r="A18" s="50">
        <v>16.0</v>
      </c>
      <c r="B18" s="60" t="s">
        <v>195</v>
      </c>
      <c r="C18" s="52"/>
      <c r="D18" s="52"/>
      <c r="E18" s="52"/>
      <c r="F18" s="52"/>
      <c r="G18" s="52"/>
      <c r="H18" s="53" t="s">
        <v>196</v>
      </c>
      <c r="I18" s="53" t="s">
        <v>197</v>
      </c>
      <c r="J18" s="53" t="s">
        <v>198</v>
      </c>
      <c r="K18" s="53" t="s">
        <v>199</v>
      </c>
      <c r="L18" s="53" t="s">
        <v>200</v>
      </c>
      <c r="M18" s="54"/>
    </row>
    <row r="19" ht="28.5" customHeight="1">
      <c r="A19" s="50">
        <v>17.0</v>
      </c>
      <c r="B19" s="60" t="s">
        <v>201</v>
      </c>
      <c r="C19" s="52"/>
      <c r="D19" s="52"/>
      <c r="E19" s="52"/>
      <c r="F19" s="52"/>
      <c r="G19" s="52"/>
      <c r="H19" s="53" t="s">
        <v>196</v>
      </c>
      <c r="I19" s="53" t="s">
        <v>202</v>
      </c>
      <c r="J19" s="53" t="s">
        <v>197</v>
      </c>
      <c r="K19" s="53" t="s">
        <v>203</v>
      </c>
      <c r="L19" s="53" t="s">
        <v>198</v>
      </c>
      <c r="M19" s="61"/>
    </row>
    <row r="20" ht="28.5" customHeight="1">
      <c r="A20" s="50">
        <v>18.0</v>
      </c>
      <c r="B20" s="51" t="s">
        <v>204</v>
      </c>
      <c r="C20" s="52"/>
      <c r="D20" s="52"/>
      <c r="E20" s="52"/>
      <c r="F20" s="52"/>
      <c r="G20" s="52"/>
      <c r="H20" s="53" t="s">
        <v>205</v>
      </c>
      <c r="I20" s="53" t="s">
        <v>110</v>
      </c>
      <c r="J20" s="53" t="s">
        <v>206</v>
      </c>
      <c r="K20" s="53" t="s">
        <v>207</v>
      </c>
      <c r="L20" s="53" t="s">
        <v>208</v>
      </c>
      <c r="M20" s="54"/>
    </row>
    <row r="21" ht="28.5" customHeight="1">
      <c r="A21" s="50">
        <v>19.0</v>
      </c>
      <c r="B21" s="51" t="s">
        <v>209</v>
      </c>
      <c r="C21" s="52"/>
      <c r="D21" s="52"/>
      <c r="E21" s="52"/>
      <c r="F21" s="52"/>
      <c r="G21" s="52"/>
      <c r="H21" s="53" t="s">
        <v>210</v>
      </c>
      <c r="I21" s="53" t="s">
        <v>211</v>
      </c>
      <c r="J21" s="53" t="s">
        <v>212</v>
      </c>
      <c r="K21" s="53" t="s">
        <v>213</v>
      </c>
      <c r="L21" s="53" t="s">
        <v>214</v>
      </c>
      <c r="M21" s="54"/>
    </row>
    <row r="22" ht="28.5" customHeight="1">
      <c r="A22" s="50">
        <v>20.0</v>
      </c>
      <c r="B22" s="51" t="s">
        <v>48</v>
      </c>
      <c r="C22" s="52"/>
      <c r="D22" s="52"/>
      <c r="E22" s="52"/>
      <c r="F22" s="52"/>
      <c r="G22" s="52"/>
      <c r="H22" s="53" t="s">
        <v>215</v>
      </c>
      <c r="I22" s="53" t="s">
        <v>216</v>
      </c>
      <c r="J22" s="53" t="s">
        <v>217</v>
      </c>
      <c r="K22" s="53" t="s">
        <v>218</v>
      </c>
      <c r="L22" s="53" t="s">
        <v>219</v>
      </c>
      <c r="M22" s="54"/>
    </row>
    <row r="23" ht="28.5" customHeight="1">
      <c r="A23" s="50">
        <v>21.0</v>
      </c>
      <c r="B23" s="51" t="s">
        <v>220</v>
      </c>
      <c r="C23" s="52"/>
      <c r="D23" s="52"/>
      <c r="E23" s="52"/>
      <c r="F23" s="52"/>
      <c r="G23" s="52"/>
      <c r="H23" s="53" t="s">
        <v>190</v>
      </c>
      <c r="I23" s="53" t="s">
        <v>191</v>
      </c>
      <c r="J23" s="53" t="s">
        <v>192</v>
      </c>
      <c r="K23" s="53" t="s">
        <v>221</v>
      </c>
      <c r="L23" s="53" t="s">
        <v>193</v>
      </c>
      <c r="M23" s="54"/>
    </row>
    <row r="24" ht="28.5" customHeight="1">
      <c r="A24" s="50">
        <v>22.0</v>
      </c>
      <c r="B24" s="51" t="s">
        <v>222</v>
      </c>
      <c r="C24" s="52"/>
      <c r="D24" s="52"/>
      <c r="E24" s="52"/>
      <c r="F24" s="52"/>
      <c r="G24" s="52"/>
      <c r="H24" s="53" t="s">
        <v>223</v>
      </c>
      <c r="I24" s="53" t="s">
        <v>164</v>
      </c>
      <c r="J24" s="53" t="s">
        <v>224</v>
      </c>
      <c r="K24" s="53" t="s">
        <v>225</v>
      </c>
      <c r="L24" s="53" t="s">
        <v>226</v>
      </c>
      <c r="M24" s="54"/>
    </row>
    <row r="25" ht="28.5" customHeight="1">
      <c r="A25" s="50">
        <v>23.0</v>
      </c>
      <c r="B25" s="51" t="s">
        <v>227</v>
      </c>
      <c r="C25" s="52"/>
      <c r="D25" s="52"/>
      <c r="E25" s="52"/>
      <c r="F25" s="52"/>
      <c r="G25" s="52"/>
      <c r="H25" s="53" t="s">
        <v>198</v>
      </c>
      <c r="I25" s="53" t="s">
        <v>228</v>
      </c>
      <c r="J25" s="53" t="s">
        <v>229</v>
      </c>
      <c r="K25" s="53" t="s">
        <v>230</v>
      </c>
      <c r="L25" s="53" t="s">
        <v>199</v>
      </c>
      <c r="M25" s="54"/>
    </row>
    <row r="26" ht="28.5" customHeight="1">
      <c r="A26" s="50">
        <v>24.0</v>
      </c>
      <c r="B26" s="51" t="s">
        <v>231</v>
      </c>
      <c r="C26" s="52"/>
      <c r="D26" s="52"/>
      <c r="E26" s="52"/>
      <c r="F26" s="52"/>
      <c r="G26" s="52"/>
      <c r="H26" s="53" t="s">
        <v>108</v>
      </c>
      <c r="I26" s="53" t="s">
        <v>109</v>
      </c>
      <c r="J26" s="53" t="s">
        <v>110</v>
      </c>
      <c r="K26" s="53" t="s">
        <v>111</v>
      </c>
      <c r="L26" s="53" t="s">
        <v>112</v>
      </c>
      <c r="M26" s="62"/>
    </row>
    <row r="27" ht="28.5" customHeight="1">
      <c r="A27" s="50">
        <v>25.0</v>
      </c>
      <c r="B27" s="51" t="s">
        <v>232</v>
      </c>
      <c r="C27" s="52"/>
      <c r="D27" s="52"/>
      <c r="E27" s="52"/>
      <c r="F27" s="52"/>
      <c r="G27" s="52"/>
      <c r="H27" s="63" t="s">
        <v>233</v>
      </c>
      <c r="I27" s="63" t="s">
        <v>234</v>
      </c>
      <c r="J27" s="63" t="s">
        <v>235</v>
      </c>
      <c r="K27" s="63" t="s">
        <v>236</v>
      </c>
      <c r="L27" s="63" t="s">
        <v>237</v>
      </c>
      <c r="M27" s="64" t="s">
        <v>238</v>
      </c>
    </row>
    <row r="28" ht="28.5" customHeight="1">
      <c r="A28" s="50">
        <v>26.0</v>
      </c>
      <c r="B28" s="51" t="s">
        <v>52</v>
      </c>
      <c r="C28" s="52"/>
      <c r="D28" s="52"/>
      <c r="E28" s="52"/>
      <c r="F28" s="52"/>
      <c r="G28" s="52"/>
      <c r="H28" s="53" t="s">
        <v>239</v>
      </c>
      <c r="I28" s="53" t="s">
        <v>240</v>
      </c>
      <c r="J28" s="53" t="s">
        <v>241</v>
      </c>
      <c r="K28" s="53" t="s">
        <v>242</v>
      </c>
      <c r="L28" s="53" t="s">
        <v>243</v>
      </c>
      <c r="M28" s="54"/>
    </row>
    <row r="29" ht="28.5" customHeight="1">
      <c r="A29" s="50">
        <v>27.0</v>
      </c>
      <c r="B29" s="51" t="s">
        <v>54</v>
      </c>
      <c r="C29" s="53" t="s">
        <v>244</v>
      </c>
      <c r="D29" s="53" t="s">
        <v>245</v>
      </c>
      <c r="E29" s="53" t="s">
        <v>246</v>
      </c>
      <c r="F29" s="53" t="s">
        <v>247</v>
      </c>
      <c r="G29" s="53" t="s">
        <v>248</v>
      </c>
      <c r="H29" s="53" t="s">
        <v>249</v>
      </c>
      <c r="I29" s="53" t="s">
        <v>250</v>
      </c>
      <c r="J29" s="53" t="s">
        <v>251</v>
      </c>
      <c r="K29" s="53" t="s">
        <v>252</v>
      </c>
      <c r="L29" s="53" t="s">
        <v>253</v>
      </c>
      <c r="M29" s="54"/>
    </row>
    <row r="30" ht="28.5" customHeight="1">
      <c r="A30" s="50">
        <v>28.0</v>
      </c>
      <c r="B30" s="51" t="s">
        <v>55</v>
      </c>
      <c r="C30" s="52"/>
      <c r="D30" s="52"/>
      <c r="E30" s="52"/>
      <c r="F30" s="52"/>
      <c r="G30" s="52"/>
      <c r="H30" s="63" t="s">
        <v>254</v>
      </c>
      <c r="I30" s="63" t="s">
        <v>255</v>
      </c>
      <c r="J30" s="63" t="s">
        <v>256</v>
      </c>
      <c r="K30" s="63" t="s">
        <v>256</v>
      </c>
      <c r="L30" s="63" t="s">
        <v>256</v>
      </c>
      <c r="M30" s="54"/>
    </row>
    <row r="31" ht="28.5" customHeight="1">
      <c r="A31" s="50">
        <v>29.0</v>
      </c>
      <c r="B31" s="51" t="s">
        <v>58</v>
      </c>
      <c r="C31" s="52"/>
      <c r="D31" s="52"/>
      <c r="E31" s="52"/>
      <c r="F31" s="52"/>
      <c r="G31" s="52"/>
      <c r="H31" s="53" t="s">
        <v>257</v>
      </c>
      <c r="I31" s="53" t="s">
        <v>258</v>
      </c>
      <c r="J31" s="53" t="s">
        <v>259</v>
      </c>
      <c r="K31" s="53" t="s">
        <v>260</v>
      </c>
      <c r="L31" s="53" t="s">
        <v>261</v>
      </c>
      <c r="M31" s="54"/>
    </row>
    <row r="32" ht="28.5" customHeight="1">
      <c r="A32" s="50">
        <v>30.0</v>
      </c>
      <c r="B32" s="51" t="s">
        <v>262</v>
      </c>
      <c r="C32" s="52"/>
      <c r="D32" s="52"/>
      <c r="E32" s="52"/>
      <c r="F32" s="52"/>
      <c r="G32" s="52"/>
      <c r="H32" s="53" t="s">
        <v>263</v>
      </c>
      <c r="I32" s="53" t="s">
        <v>264</v>
      </c>
      <c r="J32" s="53" t="s">
        <v>265</v>
      </c>
      <c r="K32" s="53" t="s">
        <v>266</v>
      </c>
      <c r="L32" s="53" t="s">
        <v>267</v>
      </c>
      <c r="M32" s="54"/>
    </row>
    <row r="33" ht="28.5" customHeight="1">
      <c r="A33" s="50">
        <v>31.0</v>
      </c>
      <c r="B33" s="51" t="s">
        <v>60</v>
      </c>
      <c r="C33" s="52"/>
      <c r="D33" s="52"/>
      <c r="E33" s="52"/>
      <c r="F33" s="52"/>
      <c r="G33" s="52"/>
      <c r="H33" s="53" t="s">
        <v>268</v>
      </c>
      <c r="I33" s="53" t="s">
        <v>269</v>
      </c>
      <c r="J33" s="53" t="s">
        <v>270</v>
      </c>
      <c r="K33" s="53" t="s">
        <v>271</v>
      </c>
      <c r="L33" s="53" t="s">
        <v>272</v>
      </c>
      <c r="M33" s="54"/>
    </row>
    <row r="34" ht="28.5" customHeight="1">
      <c r="A34" s="50">
        <v>32.0</v>
      </c>
      <c r="B34" s="51" t="s">
        <v>62</v>
      </c>
      <c r="C34" s="52"/>
      <c r="D34" s="52"/>
      <c r="E34" s="52"/>
      <c r="F34" s="52"/>
      <c r="G34" s="52"/>
      <c r="H34" s="53" t="s">
        <v>273</v>
      </c>
      <c r="I34" s="53" t="s">
        <v>274</v>
      </c>
      <c r="J34" s="53" t="s">
        <v>275</v>
      </c>
      <c r="K34" s="53" t="s">
        <v>276</v>
      </c>
      <c r="L34" s="53" t="s">
        <v>277</v>
      </c>
      <c r="M34" s="54"/>
    </row>
    <row r="35" ht="28.5" customHeight="1">
      <c r="A35" s="50">
        <v>33.0</v>
      </c>
      <c r="B35" s="51" t="s">
        <v>278</v>
      </c>
      <c r="C35" s="52"/>
      <c r="D35" s="52"/>
      <c r="E35" s="52"/>
      <c r="F35" s="52"/>
      <c r="G35" s="52"/>
      <c r="H35" s="53" t="s">
        <v>279</v>
      </c>
      <c r="I35" s="53" t="s">
        <v>280</v>
      </c>
      <c r="J35" s="53" t="s">
        <v>281</v>
      </c>
      <c r="K35" s="53" t="s">
        <v>282</v>
      </c>
      <c r="L35" s="53" t="s">
        <v>283</v>
      </c>
      <c r="M35" s="54"/>
    </row>
    <row r="36" ht="28.5" customHeight="1">
      <c r="A36" s="50">
        <v>34.0</v>
      </c>
      <c r="B36" s="51" t="s">
        <v>284</v>
      </c>
      <c r="C36" s="52"/>
      <c r="D36" s="52"/>
      <c r="E36" s="52"/>
      <c r="F36" s="52"/>
      <c r="G36" s="52"/>
      <c r="H36" s="53" t="s">
        <v>285</v>
      </c>
      <c r="I36" s="53" t="s">
        <v>286</v>
      </c>
      <c r="J36" s="53" t="s">
        <v>287</v>
      </c>
      <c r="K36" s="53" t="s">
        <v>288</v>
      </c>
      <c r="L36" s="53" t="s">
        <v>289</v>
      </c>
      <c r="M36" s="54"/>
    </row>
    <row r="37" ht="28.5" customHeight="1">
      <c r="A37" s="50">
        <v>35.0</v>
      </c>
      <c r="B37" s="51" t="s">
        <v>290</v>
      </c>
      <c r="C37" s="53">
        <v>48.44</v>
      </c>
      <c r="D37" s="53">
        <v>49.3</v>
      </c>
      <c r="E37" s="53">
        <v>53.6</v>
      </c>
      <c r="F37" s="53" t="s">
        <v>291</v>
      </c>
      <c r="G37" s="53">
        <v>52.26</v>
      </c>
      <c r="H37" s="53" t="s">
        <v>292</v>
      </c>
      <c r="I37" s="53" t="s">
        <v>293</v>
      </c>
      <c r="J37" s="53" t="s">
        <v>294</v>
      </c>
      <c r="K37" s="53" t="s">
        <v>295</v>
      </c>
      <c r="L37" s="53" t="s">
        <v>296</v>
      </c>
      <c r="M37" s="54"/>
    </row>
    <row r="38" ht="28.5" customHeight="1">
      <c r="A38" s="50">
        <v>36.0</v>
      </c>
      <c r="B38" s="51" t="s">
        <v>64</v>
      </c>
      <c r="C38" s="53">
        <v>39.36</v>
      </c>
      <c r="D38" s="53">
        <v>46.37</v>
      </c>
      <c r="E38" s="53">
        <v>45.86</v>
      </c>
      <c r="F38" s="53">
        <v>53.35</v>
      </c>
      <c r="G38" s="53" t="s">
        <v>297</v>
      </c>
      <c r="H38" s="53" t="s">
        <v>298</v>
      </c>
      <c r="I38" s="53" t="s">
        <v>299</v>
      </c>
      <c r="J38" s="53" t="s">
        <v>300</v>
      </c>
      <c r="K38" s="53" t="s">
        <v>301</v>
      </c>
      <c r="L38" s="53" t="s">
        <v>302</v>
      </c>
      <c r="M38" s="54"/>
    </row>
    <row r="39" ht="28.5" customHeight="1">
      <c r="A39" s="50">
        <v>37.0</v>
      </c>
      <c r="B39" s="51" t="s">
        <v>303</v>
      </c>
      <c r="C39" s="52"/>
      <c r="D39" s="52"/>
      <c r="E39" s="52"/>
      <c r="F39" s="52"/>
      <c r="G39" s="52"/>
      <c r="H39" s="53" t="s">
        <v>304</v>
      </c>
      <c r="I39" s="53" t="s">
        <v>305</v>
      </c>
      <c r="J39" s="53" t="s">
        <v>306</v>
      </c>
      <c r="K39" s="53" t="s">
        <v>307</v>
      </c>
      <c r="L39" s="53" t="s">
        <v>308</v>
      </c>
      <c r="M39" s="54"/>
    </row>
    <row r="40" ht="28.5" customHeight="1">
      <c r="A40" s="50">
        <v>38.0</v>
      </c>
      <c r="B40" s="51" t="s">
        <v>309</v>
      </c>
      <c r="C40" s="52"/>
      <c r="D40" s="52"/>
      <c r="E40" s="52"/>
      <c r="F40" s="52"/>
      <c r="G40" s="52"/>
      <c r="H40" s="53" t="s">
        <v>310</v>
      </c>
      <c r="I40" s="53" t="s">
        <v>311</v>
      </c>
      <c r="J40" s="53" t="s">
        <v>312</v>
      </c>
      <c r="K40" s="53" t="s">
        <v>313</v>
      </c>
      <c r="L40" s="53" t="s">
        <v>314</v>
      </c>
      <c r="M40" s="54"/>
    </row>
    <row r="41" ht="28.5" customHeight="1">
      <c r="A41" s="50">
        <v>39.0</v>
      </c>
      <c r="B41" s="60" t="s">
        <v>66</v>
      </c>
      <c r="C41" s="52"/>
      <c r="D41" s="52"/>
      <c r="E41" s="52"/>
      <c r="F41" s="52"/>
      <c r="G41" s="52"/>
      <c r="H41" s="53" t="s">
        <v>315</v>
      </c>
      <c r="I41" s="53" t="s">
        <v>316</v>
      </c>
      <c r="J41" s="53" t="s">
        <v>317</v>
      </c>
      <c r="K41" s="53" t="s">
        <v>318</v>
      </c>
      <c r="L41" s="53" t="s">
        <v>319</v>
      </c>
      <c r="M41" s="54"/>
    </row>
    <row r="42" ht="28.5" customHeight="1">
      <c r="A42" s="50">
        <v>40.0</v>
      </c>
      <c r="B42" s="51" t="s">
        <v>67</v>
      </c>
      <c r="C42" s="52"/>
      <c r="D42" s="52"/>
      <c r="E42" s="52"/>
      <c r="F42" s="52"/>
      <c r="G42" s="52"/>
      <c r="H42" s="53" t="s">
        <v>320</v>
      </c>
      <c r="I42" s="53" t="s">
        <v>321</v>
      </c>
      <c r="J42" s="53" t="s">
        <v>322</v>
      </c>
      <c r="K42" s="53" t="s">
        <v>323</v>
      </c>
      <c r="L42" s="53" t="s">
        <v>324</v>
      </c>
      <c r="M42" s="54"/>
    </row>
    <row r="43" ht="28.5" customHeight="1">
      <c r="A43" s="50">
        <v>41.0</v>
      </c>
      <c r="B43" s="51" t="s">
        <v>325</v>
      </c>
      <c r="C43" s="56" t="s">
        <v>326</v>
      </c>
      <c r="D43" s="56" t="s">
        <v>327</v>
      </c>
      <c r="E43" s="56" t="s">
        <v>328</v>
      </c>
      <c r="F43" s="56" t="s">
        <v>329</v>
      </c>
      <c r="G43" s="56" t="s">
        <v>330</v>
      </c>
      <c r="H43" s="53" t="s">
        <v>331</v>
      </c>
      <c r="I43" s="53" t="s">
        <v>332</v>
      </c>
      <c r="J43" s="53" t="s">
        <v>333</v>
      </c>
      <c r="K43" s="53" t="s">
        <v>334</v>
      </c>
      <c r="L43" s="53" t="s">
        <v>335</v>
      </c>
      <c r="M43" s="54"/>
    </row>
    <row r="44" ht="28.5" customHeight="1">
      <c r="A44" s="50">
        <v>42.0</v>
      </c>
      <c r="B44" s="51" t="s">
        <v>70</v>
      </c>
      <c r="C44" s="56" t="s">
        <v>336</v>
      </c>
      <c r="D44" s="56" t="s">
        <v>337</v>
      </c>
      <c r="E44" s="56" t="s">
        <v>338</v>
      </c>
      <c r="F44" s="56" t="s">
        <v>339</v>
      </c>
      <c r="G44" s="56" t="s">
        <v>340</v>
      </c>
      <c r="H44" s="53" t="s">
        <v>341</v>
      </c>
      <c r="I44" s="53" t="s">
        <v>342</v>
      </c>
      <c r="J44" s="53" t="s">
        <v>343</v>
      </c>
      <c r="K44" s="53" t="s">
        <v>344</v>
      </c>
      <c r="L44" s="53" t="s">
        <v>345</v>
      </c>
      <c r="M44" s="54"/>
    </row>
    <row r="45" ht="28.5" customHeight="1">
      <c r="A45" s="50">
        <v>43.0</v>
      </c>
      <c r="B45" s="51" t="s">
        <v>346</v>
      </c>
      <c r="C45" s="52"/>
      <c r="D45" s="52"/>
      <c r="E45" s="52"/>
      <c r="F45" s="52"/>
      <c r="G45" s="52"/>
      <c r="H45" s="53" t="s">
        <v>347</v>
      </c>
      <c r="I45" s="53" t="s">
        <v>348</v>
      </c>
      <c r="J45" s="53" t="s">
        <v>349</v>
      </c>
      <c r="K45" s="53" t="s">
        <v>350</v>
      </c>
      <c r="L45" s="53" t="s">
        <v>351</v>
      </c>
      <c r="M45" s="54"/>
    </row>
    <row r="46" ht="28.5" customHeight="1">
      <c r="A46" s="50">
        <v>44.0</v>
      </c>
      <c r="B46" s="51" t="s">
        <v>352</v>
      </c>
      <c r="C46" s="52"/>
      <c r="D46" s="52"/>
      <c r="E46" s="52"/>
      <c r="F46" s="52"/>
      <c r="G46" s="52"/>
      <c r="H46" s="53" t="s">
        <v>353</v>
      </c>
      <c r="I46" s="53" t="s">
        <v>354</v>
      </c>
      <c r="J46" s="53" t="s">
        <v>355</v>
      </c>
      <c r="K46" s="53" t="s">
        <v>356</v>
      </c>
      <c r="L46" s="53" t="s">
        <v>357</v>
      </c>
      <c r="M46" s="54"/>
    </row>
    <row r="47" ht="28.5" customHeight="1">
      <c r="A47" s="50">
        <v>45.0</v>
      </c>
      <c r="B47" s="51" t="s">
        <v>74</v>
      </c>
      <c r="C47" s="52"/>
      <c r="D47" s="52"/>
      <c r="E47" s="52"/>
      <c r="F47" s="52"/>
      <c r="G47" s="52"/>
      <c r="H47" s="53" t="s">
        <v>358</v>
      </c>
      <c r="I47" s="53" t="s">
        <v>359</v>
      </c>
      <c r="J47" s="53" t="s">
        <v>360</v>
      </c>
      <c r="K47" s="53" t="s">
        <v>191</v>
      </c>
      <c r="L47" s="53" t="s">
        <v>193</v>
      </c>
      <c r="M47" s="54"/>
    </row>
    <row r="48" ht="28.5" customHeight="1">
      <c r="A48" s="50">
        <v>46.0</v>
      </c>
      <c r="B48" s="51" t="s">
        <v>361</v>
      </c>
      <c r="C48" s="53" t="s">
        <v>362</v>
      </c>
      <c r="D48" s="53" t="s">
        <v>363</v>
      </c>
      <c r="E48" s="53" t="s">
        <v>364</v>
      </c>
      <c r="F48" s="53">
        <v>3.79</v>
      </c>
      <c r="G48" s="53"/>
      <c r="H48" s="53" t="s">
        <v>365</v>
      </c>
      <c r="I48" s="53" t="s">
        <v>366</v>
      </c>
      <c r="J48" s="53" t="s">
        <v>367</v>
      </c>
      <c r="K48" s="53" t="s">
        <v>368</v>
      </c>
      <c r="L48" s="53" t="s">
        <v>369</v>
      </c>
      <c r="M48" s="54"/>
    </row>
    <row r="49" ht="28.5" customHeight="1">
      <c r="A49" s="50">
        <v>47.0</v>
      </c>
      <c r="B49" s="60" t="s">
        <v>370</v>
      </c>
      <c r="C49" s="53">
        <v>3.44</v>
      </c>
      <c r="D49" s="53">
        <v>4.06</v>
      </c>
      <c r="E49" s="53">
        <v>3.41</v>
      </c>
      <c r="F49" s="53">
        <v>4.22</v>
      </c>
      <c r="G49" s="53">
        <v>3.86</v>
      </c>
      <c r="H49" s="53" t="s">
        <v>371</v>
      </c>
      <c r="I49" s="53" t="s">
        <v>372</v>
      </c>
      <c r="J49" s="53" t="s">
        <v>373</v>
      </c>
      <c r="K49" s="53" t="s">
        <v>374</v>
      </c>
      <c r="L49" s="53" t="s">
        <v>142</v>
      </c>
      <c r="M49" s="54"/>
    </row>
    <row r="50" ht="28.5" customHeight="1">
      <c r="A50" s="50">
        <v>48.0</v>
      </c>
      <c r="B50" s="60" t="s">
        <v>375</v>
      </c>
      <c r="C50" s="52"/>
      <c r="D50" s="52"/>
      <c r="E50" s="52"/>
      <c r="F50" s="52"/>
      <c r="G50" s="52"/>
      <c r="H50" s="53" t="s">
        <v>376</v>
      </c>
      <c r="I50" s="53" t="s">
        <v>377</v>
      </c>
      <c r="J50" s="53" t="s">
        <v>378</v>
      </c>
      <c r="K50" s="53" t="s">
        <v>379</v>
      </c>
      <c r="L50" s="53" t="s">
        <v>380</v>
      </c>
      <c r="M50" s="54"/>
    </row>
    <row r="51" ht="28.5" customHeight="1">
      <c r="A51" s="50">
        <v>49.0</v>
      </c>
      <c r="B51" s="51" t="s">
        <v>381</v>
      </c>
      <c r="C51" s="52"/>
      <c r="D51" s="52"/>
      <c r="E51" s="52"/>
      <c r="F51" s="52"/>
      <c r="G51" s="52"/>
      <c r="H51" s="53" t="s">
        <v>382</v>
      </c>
      <c r="I51" s="53" t="s">
        <v>383</v>
      </c>
      <c r="J51" s="53" t="s">
        <v>358</v>
      </c>
      <c r="K51" s="53" t="s">
        <v>384</v>
      </c>
      <c r="L51" s="53" t="s">
        <v>193</v>
      </c>
      <c r="M51" s="54"/>
    </row>
    <row r="52" ht="28.5" customHeight="1">
      <c r="A52" s="50">
        <v>49.0</v>
      </c>
      <c r="B52" s="51" t="s">
        <v>385</v>
      </c>
      <c r="C52" s="52"/>
      <c r="D52" s="52"/>
      <c r="E52" s="52"/>
      <c r="F52" s="52"/>
      <c r="G52" s="52"/>
      <c r="H52" s="53" t="s">
        <v>386</v>
      </c>
      <c r="I52" s="53" t="s">
        <v>387</v>
      </c>
      <c r="J52" s="53" t="s">
        <v>388</v>
      </c>
      <c r="K52" s="53" t="s">
        <v>389</v>
      </c>
      <c r="L52" s="53" t="s">
        <v>382</v>
      </c>
      <c r="M52" s="54"/>
    </row>
    <row r="53" ht="28.5" customHeight="1">
      <c r="A53" s="50">
        <v>50.0</v>
      </c>
      <c r="B53" s="51" t="s">
        <v>390</v>
      </c>
      <c r="C53" s="52"/>
      <c r="D53" s="52"/>
      <c r="E53" s="52"/>
      <c r="F53" s="52"/>
      <c r="G53" s="52"/>
      <c r="H53" s="53" t="s">
        <v>391</v>
      </c>
      <c r="I53" s="53" t="s">
        <v>392</v>
      </c>
      <c r="J53" s="53" t="s">
        <v>393</v>
      </c>
      <c r="K53" s="53" t="s">
        <v>394</v>
      </c>
      <c r="L53" s="53" t="s">
        <v>395</v>
      </c>
      <c r="M53" s="54"/>
    </row>
    <row r="54" ht="28.5" customHeight="1">
      <c r="A54" s="50">
        <v>51.0</v>
      </c>
      <c r="B54" s="51" t="s">
        <v>396</v>
      </c>
      <c r="C54" s="53">
        <v>79.38</v>
      </c>
      <c r="D54" s="53">
        <v>78.79</v>
      </c>
      <c r="E54" s="53">
        <v>80.47</v>
      </c>
      <c r="F54" s="53">
        <v>77.35</v>
      </c>
      <c r="G54" s="53"/>
      <c r="H54" s="53" t="s">
        <v>397</v>
      </c>
      <c r="I54" s="53" t="s">
        <v>398</v>
      </c>
      <c r="J54" s="53" t="s">
        <v>399</v>
      </c>
      <c r="K54" s="53" t="s">
        <v>400</v>
      </c>
      <c r="L54" s="53" t="s">
        <v>401</v>
      </c>
      <c r="M54" s="54"/>
    </row>
    <row r="55" ht="28.5" customHeight="1">
      <c r="A55" s="50">
        <v>52.0</v>
      </c>
      <c r="B55" s="60" t="s">
        <v>80</v>
      </c>
      <c r="C55" s="52"/>
      <c r="D55" s="52"/>
      <c r="E55" s="52"/>
      <c r="F55" s="52"/>
      <c r="G55" s="52"/>
      <c r="H55" s="53" t="s">
        <v>135</v>
      </c>
      <c r="I55" s="53" t="s">
        <v>402</v>
      </c>
      <c r="J55" s="53" t="s">
        <v>403</v>
      </c>
      <c r="K55" s="53" t="s">
        <v>404</v>
      </c>
      <c r="L55" s="53" t="s">
        <v>405</v>
      </c>
      <c r="M55" s="54"/>
    </row>
    <row r="56" ht="28.5" customHeight="1">
      <c r="A56" s="50">
        <v>53.0</v>
      </c>
      <c r="B56" s="60" t="s">
        <v>406</v>
      </c>
      <c r="C56" s="52"/>
      <c r="D56" s="52"/>
      <c r="E56" s="52"/>
      <c r="F56" s="52"/>
      <c r="G56" s="52"/>
      <c r="H56" s="53" t="s">
        <v>407</v>
      </c>
      <c r="I56" s="53" t="s">
        <v>407</v>
      </c>
      <c r="J56" s="53" t="s">
        <v>407</v>
      </c>
      <c r="K56" s="53" t="s">
        <v>407</v>
      </c>
      <c r="L56" s="53" t="s">
        <v>407</v>
      </c>
      <c r="M56" s="54"/>
    </row>
    <row r="57" ht="28.5" customHeight="1">
      <c r="A57" s="50">
        <v>54.0</v>
      </c>
      <c r="B57" s="51" t="s">
        <v>82</v>
      </c>
      <c r="C57" s="52"/>
      <c r="D57" s="52"/>
      <c r="E57" s="52"/>
      <c r="F57" s="52"/>
      <c r="G57" s="52"/>
      <c r="H57" s="53" t="s">
        <v>408</v>
      </c>
      <c r="I57" s="53" t="s">
        <v>409</v>
      </c>
      <c r="J57" s="53" t="s">
        <v>410</v>
      </c>
      <c r="K57" s="53" t="s">
        <v>411</v>
      </c>
      <c r="L57" s="53" t="s">
        <v>412</v>
      </c>
      <c r="M57" s="54"/>
    </row>
    <row r="58" ht="28.5" customHeight="1">
      <c r="A58" s="50">
        <v>55.0</v>
      </c>
      <c r="B58" s="51" t="s">
        <v>413</v>
      </c>
      <c r="C58" s="52"/>
      <c r="D58" s="52"/>
      <c r="E58" s="52"/>
      <c r="F58" s="52"/>
      <c r="G58" s="52"/>
      <c r="H58" s="53" t="s">
        <v>414</v>
      </c>
      <c r="I58" s="53" t="s">
        <v>415</v>
      </c>
      <c r="J58" s="53" t="s">
        <v>403</v>
      </c>
      <c r="K58" s="53" t="s">
        <v>416</v>
      </c>
      <c r="L58" s="53" t="s">
        <v>417</v>
      </c>
      <c r="M58" s="54"/>
    </row>
    <row r="59" ht="28.5" customHeight="1">
      <c r="A59" s="50">
        <v>56.0</v>
      </c>
      <c r="B59" s="51" t="s">
        <v>418</v>
      </c>
      <c r="C59" s="52"/>
      <c r="D59" s="52"/>
      <c r="E59" s="52"/>
      <c r="F59" s="52"/>
      <c r="G59" s="52"/>
      <c r="H59" s="53" t="s">
        <v>419</v>
      </c>
      <c r="I59" s="53" t="s">
        <v>420</v>
      </c>
      <c r="J59" s="53" t="s">
        <v>421</v>
      </c>
      <c r="K59" s="53" t="s">
        <v>422</v>
      </c>
      <c r="L59" s="53" t="s">
        <v>423</v>
      </c>
      <c r="M59" s="54"/>
    </row>
    <row r="60" ht="28.5" customHeight="1">
      <c r="A60" s="50">
        <v>57.0</v>
      </c>
      <c r="B60" s="51" t="s">
        <v>424</v>
      </c>
      <c r="C60" s="52"/>
      <c r="D60" s="52"/>
      <c r="E60" s="52"/>
      <c r="F60" s="52"/>
      <c r="G60" s="52"/>
      <c r="H60" s="53" t="s">
        <v>425</v>
      </c>
      <c r="I60" s="53" t="s">
        <v>426</v>
      </c>
      <c r="J60" s="53" t="s">
        <v>427</v>
      </c>
      <c r="K60" s="53" t="s">
        <v>428</v>
      </c>
      <c r="L60" s="53" t="s">
        <v>429</v>
      </c>
      <c r="M60" s="54"/>
    </row>
    <row r="61" ht="28.5" customHeight="1">
      <c r="A61" s="50">
        <v>58.0</v>
      </c>
      <c r="B61" s="51" t="s">
        <v>430</v>
      </c>
      <c r="C61" s="52"/>
      <c r="D61" s="52"/>
      <c r="E61" s="52"/>
      <c r="F61" s="52"/>
      <c r="G61" s="52"/>
      <c r="H61" s="53" t="s">
        <v>431</v>
      </c>
      <c r="I61" s="53" t="s">
        <v>432</v>
      </c>
      <c r="J61" s="53" t="s">
        <v>433</v>
      </c>
      <c r="K61" s="53" t="s">
        <v>434</v>
      </c>
      <c r="L61" s="53" t="s">
        <v>435</v>
      </c>
      <c r="M61" s="54"/>
    </row>
    <row r="62" ht="28.5" customHeight="1">
      <c r="A62" s="50">
        <v>59.0</v>
      </c>
      <c r="B62" s="51" t="s">
        <v>84</v>
      </c>
      <c r="C62" s="52"/>
      <c r="D62" s="52"/>
      <c r="E62" s="52"/>
      <c r="F62" s="52"/>
      <c r="G62" s="52"/>
      <c r="H62" s="53" t="s">
        <v>436</v>
      </c>
      <c r="I62" s="53" t="s">
        <v>437</v>
      </c>
      <c r="J62" s="53" t="s">
        <v>437</v>
      </c>
      <c r="K62" s="53" t="s">
        <v>437</v>
      </c>
      <c r="L62" s="53" t="s">
        <v>437</v>
      </c>
      <c r="M62" s="54"/>
    </row>
    <row r="63" ht="28.5" customHeight="1">
      <c r="A63" s="50">
        <v>60.0</v>
      </c>
      <c r="B63" s="51" t="s">
        <v>85</v>
      </c>
      <c r="C63" s="52"/>
      <c r="D63" s="52"/>
      <c r="E63" s="52"/>
      <c r="F63" s="52"/>
      <c r="G63" s="52"/>
      <c r="H63" s="53" t="s">
        <v>438</v>
      </c>
      <c r="I63" s="53" t="s">
        <v>439</v>
      </c>
      <c r="J63" s="53" t="s">
        <v>440</v>
      </c>
      <c r="K63" s="53" t="s">
        <v>441</v>
      </c>
      <c r="L63" s="53" t="s">
        <v>442</v>
      </c>
      <c r="M63" s="54"/>
    </row>
    <row r="64" ht="28.5" customHeight="1">
      <c r="A64" s="50">
        <v>61.0</v>
      </c>
      <c r="B64" s="51" t="s">
        <v>443</v>
      </c>
      <c r="C64" s="52"/>
      <c r="D64" s="52"/>
      <c r="E64" s="52"/>
      <c r="F64" s="52"/>
      <c r="G64" s="52"/>
      <c r="H64" s="53" t="s">
        <v>444</v>
      </c>
      <c r="I64" s="53" t="s">
        <v>445</v>
      </c>
      <c r="J64" s="53" t="s">
        <v>446</v>
      </c>
      <c r="K64" s="53" t="s">
        <v>447</v>
      </c>
      <c r="L64" s="53" t="s">
        <v>448</v>
      </c>
      <c r="M64" s="54"/>
    </row>
    <row r="65" ht="28.5" customHeight="1">
      <c r="A65" s="50">
        <v>62.0</v>
      </c>
      <c r="B65" s="51" t="s">
        <v>449</v>
      </c>
      <c r="C65" s="53">
        <v>75.63</v>
      </c>
      <c r="D65" s="53">
        <v>80.95</v>
      </c>
      <c r="E65" s="53">
        <v>81.18</v>
      </c>
      <c r="F65" s="53">
        <v>78.94</v>
      </c>
      <c r="G65" s="53">
        <v>87.23</v>
      </c>
      <c r="H65" s="53" t="s">
        <v>450</v>
      </c>
      <c r="I65" s="53" t="s">
        <v>451</v>
      </c>
      <c r="J65" s="53" t="s">
        <v>452</v>
      </c>
      <c r="K65" s="53" t="s">
        <v>453</v>
      </c>
      <c r="L65" s="53" t="s">
        <v>454</v>
      </c>
      <c r="M65" s="54"/>
    </row>
    <row r="66" ht="28.5" customHeight="1">
      <c r="A66" s="50">
        <v>63.0</v>
      </c>
      <c r="B66" s="51" t="s">
        <v>455</v>
      </c>
      <c r="C66" s="56" t="s">
        <v>456</v>
      </c>
      <c r="D66" s="53" t="s">
        <v>457</v>
      </c>
      <c r="E66" s="56" t="s">
        <v>458</v>
      </c>
      <c r="G66" s="52"/>
      <c r="H66" s="53" t="s">
        <v>459</v>
      </c>
      <c r="I66" s="53" t="s">
        <v>460</v>
      </c>
      <c r="J66" s="53" t="s">
        <v>461</v>
      </c>
      <c r="K66" s="53" t="s">
        <v>462</v>
      </c>
      <c r="L66" s="53" t="s">
        <v>463</v>
      </c>
      <c r="M66" s="54"/>
    </row>
    <row r="67" ht="28.5" customHeight="1">
      <c r="A67" s="50">
        <v>64.0</v>
      </c>
      <c r="B67" s="51" t="s">
        <v>464</v>
      </c>
      <c r="C67" s="56">
        <v>0.472</v>
      </c>
      <c r="D67" s="56">
        <v>0.444</v>
      </c>
      <c r="E67" s="65">
        <v>0.452</v>
      </c>
      <c r="F67" s="65">
        <v>0.418</v>
      </c>
      <c r="G67" s="65">
        <v>0.34</v>
      </c>
      <c r="H67" s="53" t="s">
        <v>465</v>
      </c>
      <c r="I67" s="53" t="s">
        <v>465</v>
      </c>
      <c r="J67" s="53" t="s">
        <v>466</v>
      </c>
      <c r="K67" s="53" t="s">
        <v>269</v>
      </c>
      <c r="L67" s="53" t="s">
        <v>467</v>
      </c>
      <c r="M67" s="54"/>
    </row>
    <row r="68" ht="28.5" customHeight="1">
      <c r="A68" s="50">
        <v>65.0</v>
      </c>
      <c r="B68" s="51" t="s">
        <v>468</v>
      </c>
      <c r="C68" s="53"/>
      <c r="D68" s="53"/>
      <c r="E68" s="53"/>
      <c r="F68" s="53"/>
      <c r="G68" s="53"/>
      <c r="H68" s="53" t="s">
        <v>469</v>
      </c>
      <c r="I68" s="53" t="s">
        <v>470</v>
      </c>
      <c r="J68" s="53" t="s">
        <v>471</v>
      </c>
      <c r="K68" s="53" t="s">
        <v>472</v>
      </c>
      <c r="L68" s="53" t="s">
        <v>473</v>
      </c>
      <c r="M68" s="54"/>
    </row>
    <row r="69" ht="28.5" customHeight="1">
      <c r="A69" s="50">
        <v>66.0</v>
      </c>
      <c r="B69" s="51" t="s">
        <v>474</v>
      </c>
      <c r="C69" s="53" t="s">
        <v>475</v>
      </c>
      <c r="D69" s="53" t="s">
        <v>476</v>
      </c>
      <c r="E69" s="53" t="s">
        <v>477</v>
      </c>
      <c r="F69" s="53" t="s">
        <v>478</v>
      </c>
      <c r="G69" s="53" t="s">
        <v>479</v>
      </c>
      <c r="H69" s="66"/>
      <c r="I69" s="66"/>
      <c r="J69" s="66"/>
      <c r="K69" s="66"/>
      <c r="L69" s="66"/>
      <c r="M69" s="64" t="s">
        <v>480</v>
      </c>
    </row>
    <row r="70" ht="28.5" customHeight="1">
      <c r="A70" s="50">
        <v>67.0</v>
      </c>
      <c r="B70" s="51" t="s">
        <v>481</v>
      </c>
      <c r="C70" s="53" t="s">
        <v>482</v>
      </c>
      <c r="D70" s="53" t="s">
        <v>483</v>
      </c>
      <c r="E70" s="53" t="s">
        <v>484</v>
      </c>
      <c r="F70" s="53" t="s">
        <v>485</v>
      </c>
      <c r="G70" s="53" t="s">
        <v>486</v>
      </c>
      <c r="H70" s="66"/>
      <c r="I70" s="66"/>
      <c r="J70" s="66"/>
      <c r="K70" s="66"/>
      <c r="L70" s="66"/>
      <c r="M70" s="64" t="s">
        <v>480</v>
      </c>
    </row>
    <row r="71" ht="28.5" customHeight="1">
      <c r="A71" s="50">
        <v>68.0</v>
      </c>
      <c r="B71" s="51" t="s">
        <v>487</v>
      </c>
      <c r="C71" s="53" t="s">
        <v>488</v>
      </c>
      <c r="D71" s="53">
        <v>100.0</v>
      </c>
      <c r="E71" s="53">
        <v>100.0</v>
      </c>
      <c r="F71" s="53">
        <v>100.0</v>
      </c>
      <c r="G71" s="53">
        <v>100.0</v>
      </c>
      <c r="H71" s="66"/>
      <c r="I71" s="66"/>
      <c r="J71" s="66"/>
      <c r="K71" s="66"/>
      <c r="L71" s="66"/>
      <c r="M71" s="64" t="s">
        <v>480</v>
      </c>
    </row>
    <row r="72" ht="28.5" customHeight="1">
      <c r="A72" s="50">
        <v>69.0</v>
      </c>
      <c r="B72" s="60" t="s">
        <v>489</v>
      </c>
      <c r="C72" s="53" t="s">
        <v>490</v>
      </c>
      <c r="D72" s="53" t="s">
        <v>491</v>
      </c>
      <c r="E72" s="53" t="s">
        <v>492</v>
      </c>
      <c r="F72" s="53" t="s">
        <v>493</v>
      </c>
      <c r="G72" s="53" t="s">
        <v>494</v>
      </c>
      <c r="H72" s="66"/>
      <c r="I72" s="66"/>
      <c r="J72" s="66"/>
      <c r="K72" s="66"/>
      <c r="L72" s="66"/>
      <c r="M72" s="64" t="s">
        <v>480</v>
      </c>
    </row>
    <row r="73" ht="28.5" customHeight="1">
      <c r="A73" s="50">
        <v>70.0</v>
      </c>
      <c r="B73" s="60" t="s">
        <v>495</v>
      </c>
      <c r="C73" s="53"/>
      <c r="D73" s="53"/>
      <c r="E73" s="53"/>
      <c r="F73" s="53"/>
      <c r="G73" s="53"/>
      <c r="H73" s="53" t="s">
        <v>496</v>
      </c>
      <c r="I73" s="53" t="s">
        <v>319</v>
      </c>
      <c r="J73" s="53" t="s">
        <v>497</v>
      </c>
      <c r="K73" s="53" t="s">
        <v>498</v>
      </c>
      <c r="L73" s="53" t="s">
        <v>499</v>
      </c>
      <c r="M73" s="54"/>
    </row>
    <row r="74" ht="28.5" customHeight="1">
      <c r="A74" s="50">
        <v>71.0</v>
      </c>
      <c r="B74" s="60" t="s">
        <v>500</v>
      </c>
      <c r="C74" s="53"/>
      <c r="D74" s="53"/>
      <c r="E74" s="53"/>
      <c r="F74" s="53"/>
      <c r="G74" s="53"/>
      <c r="H74" s="53" t="s">
        <v>501</v>
      </c>
      <c r="I74" s="53" t="s">
        <v>502</v>
      </c>
      <c r="J74" s="53" t="s">
        <v>503</v>
      </c>
      <c r="K74" s="53" t="s">
        <v>504</v>
      </c>
      <c r="L74" s="53" t="s">
        <v>505</v>
      </c>
      <c r="M74" s="64" t="s">
        <v>506</v>
      </c>
    </row>
    <row r="75" ht="28.5" customHeight="1">
      <c r="A75" s="50" t="s">
        <v>507</v>
      </c>
      <c r="B75" s="60" t="s">
        <v>508</v>
      </c>
      <c r="C75" s="67"/>
      <c r="D75" s="67"/>
      <c r="E75" s="67"/>
      <c r="F75" s="67"/>
      <c r="G75" s="67"/>
      <c r="H75" s="53" t="s">
        <v>509</v>
      </c>
      <c r="I75" s="53" t="s">
        <v>510</v>
      </c>
      <c r="J75" s="53" t="s">
        <v>511</v>
      </c>
      <c r="K75" s="53" t="s">
        <v>512</v>
      </c>
      <c r="L75" s="53" t="s">
        <v>513</v>
      </c>
      <c r="M75" s="54"/>
    </row>
    <row r="76" ht="28.5" customHeight="1">
      <c r="A76" s="50" t="s">
        <v>514</v>
      </c>
      <c r="B76" s="60" t="s">
        <v>515</v>
      </c>
      <c r="C76" s="67"/>
      <c r="D76" s="67"/>
      <c r="E76" s="67"/>
      <c r="F76" s="67"/>
      <c r="G76" s="67"/>
      <c r="H76" s="53" t="s">
        <v>516</v>
      </c>
      <c r="I76" s="53" t="s">
        <v>517</v>
      </c>
      <c r="J76" s="53" t="s">
        <v>518</v>
      </c>
      <c r="K76" s="53" t="s">
        <v>519</v>
      </c>
      <c r="L76" s="53" t="s">
        <v>520</v>
      </c>
      <c r="M76" s="54"/>
    </row>
    <row r="77" ht="28.5" customHeight="1">
      <c r="A77" s="50">
        <v>73.0</v>
      </c>
      <c r="B77" s="51" t="s">
        <v>521</v>
      </c>
      <c r="C77" s="67"/>
      <c r="D77" s="67"/>
      <c r="E77" s="67"/>
      <c r="F77" s="67"/>
      <c r="G77" s="67"/>
      <c r="H77" s="53" t="s">
        <v>522</v>
      </c>
      <c r="I77" s="53" t="s">
        <v>523</v>
      </c>
      <c r="J77" s="53" t="s">
        <v>524</v>
      </c>
      <c r="K77" s="53" t="s">
        <v>525</v>
      </c>
      <c r="L77" s="53" t="s">
        <v>526</v>
      </c>
      <c r="M77" s="54"/>
    </row>
    <row r="78" ht="32.25" customHeight="1">
      <c r="A78" s="50">
        <v>74.0</v>
      </c>
      <c r="B78" s="51" t="s">
        <v>91</v>
      </c>
      <c r="C78" s="67"/>
      <c r="D78" s="67"/>
      <c r="E78" s="67"/>
      <c r="F78" s="67"/>
      <c r="G78" s="67"/>
      <c r="H78" s="53" t="s">
        <v>467</v>
      </c>
      <c r="I78" s="53" t="s">
        <v>527</v>
      </c>
      <c r="J78" s="53" t="s">
        <v>135</v>
      </c>
      <c r="K78" s="53" t="s">
        <v>528</v>
      </c>
      <c r="L78" s="53" t="s">
        <v>416</v>
      </c>
      <c r="M78" s="54"/>
    </row>
    <row r="79" ht="32.25" customHeight="1">
      <c r="A79" s="68">
        <v>75.0</v>
      </c>
      <c r="B79" s="64" t="s">
        <v>529</v>
      </c>
      <c r="C79" s="54"/>
      <c r="D79" s="54"/>
      <c r="E79" s="54"/>
      <c r="F79" s="54"/>
      <c r="G79" s="54"/>
      <c r="H79" s="69" t="s">
        <v>530</v>
      </c>
      <c r="I79" s="69" t="s">
        <v>531</v>
      </c>
      <c r="J79" s="69" t="s">
        <v>532</v>
      </c>
      <c r="K79" s="69" t="s">
        <v>533</v>
      </c>
      <c r="L79" s="69" t="s">
        <v>534</v>
      </c>
      <c r="M79" s="54"/>
    </row>
    <row r="80" ht="32.25" customHeight="1">
      <c r="A80" s="68">
        <v>76.0</v>
      </c>
      <c r="B80" s="64" t="s">
        <v>92</v>
      </c>
      <c r="C80" s="53">
        <v>157.03</v>
      </c>
      <c r="D80" s="53">
        <v>157.47</v>
      </c>
      <c r="E80" s="53">
        <v>148.16</v>
      </c>
      <c r="F80" s="53">
        <v>131.84</v>
      </c>
      <c r="G80" s="53" t="s">
        <v>535</v>
      </c>
      <c r="H80" s="69" t="s">
        <v>536</v>
      </c>
      <c r="I80" s="69" t="s">
        <v>537</v>
      </c>
      <c r="J80" s="69" t="s">
        <v>538</v>
      </c>
      <c r="K80" s="69" t="s">
        <v>539</v>
      </c>
      <c r="L80" s="69" t="s">
        <v>540</v>
      </c>
      <c r="M80" s="54"/>
    </row>
    <row r="81" ht="32.25" customHeight="1">
      <c r="A81" s="68">
        <v>77.0</v>
      </c>
      <c r="B81" s="64" t="s">
        <v>541</v>
      </c>
      <c r="C81" s="54"/>
      <c r="D81" s="54"/>
      <c r="E81" s="54"/>
      <c r="F81" s="54"/>
      <c r="G81" s="54"/>
      <c r="H81" s="69" t="s">
        <v>542</v>
      </c>
      <c r="I81" s="69" t="s">
        <v>543</v>
      </c>
      <c r="J81" s="69" t="s">
        <v>544</v>
      </c>
      <c r="K81" s="69" t="s">
        <v>545</v>
      </c>
      <c r="L81" s="69" t="s">
        <v>546</v>
      </c>
      <c r="M81" s="54"/>
    </row>
    <row r="82" ht="32.25" customHeight="1">
      <c r="A82" s="68">
        <v>78.0</v>
      </c>
      <c r="B82" s="64" t="s">
        <v>547</v>
      </c>
      <c r="C82" s="54"/>
      <c r="D82" s="54"/>
      <c r="E82" s="54"/>
      <c r="F82" s="54"/>
      <c r="G82" s="54"/>
      <c r="H82" s="69" t="s">
        <v>548</v>
      </c>
      <c r="I82" s="69" t="s">
        <v>549</v>
      </c>
      <c r="J82" s="69" t="s">
        <v>550</v>
      </c>
      <c r="K82" s="69" t="s">
        <v>551</v>
      </c>
      <c r="L82" s="69" t="s">
        <v>552</v>
      </c>
      <c r="M82" s="54"/>
    </row>
    <row r="83">
      <c r="A83" s="70"/>
    </row>
    <row r="84">
      <c r="A84" s="70"/>
    </row>
    <row r="85">
      <c r="A85" s="70"/>
    </row>
    <row r="86">
      <c r="A86" s="70"/>
    </row>
    <row r="87">
      <c r="A87" s="70"/>
    </row>
    <row r="88">
      <c r="A88" s="70"/>
    </row>
    <row r="89">
      <c r="A89" s="70"/>
    </row>
    <row r="90">
      <c r="A90" s="70"/>
    </row>
    <row r="91">
      <c r="A91" s="70"/>
    </row>
    <row r="92">
      <c r="A92" s="70"/>
    </row>
    <row r="93">
      <c r="A93" s="70"/>
    </row>
    <row r="94">
      <c r="A94" s="70"/>
    </row>
    <row r="95">
      <c r="A95" s="70"/>
    </row>
    <row r="96">
      <c r="A96" s="70"/>
    </row>
    <row r="97">
      <c r="A97" s="70"/>
    </row>
    <row r="98">
      <c r="A98" s="70"/>
    </row>
    <row r="99">
      <c r="A99" s="70"/>
    </row>
    <row r="100">
      <c r="A100" s="70"/>
    </row>
    <row r="101">
      <c r="A101" s="70"/>
    </row>
    <row r="102">
      <c r="A102" s="70"/>
    </row>
    <row r="103">
      <c r="A103" s="70"/>
    </row>
    <row r="104">
      <c r="A104" s="70"/>
    </row>
    <row r="105">
      <c r="A105" s="70"/>
    </row>
    <row r="106">
      <c r="A106" s="70"/>
    </row>
    <row r="107">
      <c r="A107" s="70"/>
    </row>
    <row r="108">
      <c r="A108" s="70"/>
    </row>
    <row r="109">
      <c r="A109" s="70"/>
    </row>
    <row r="110">
      <c r="A110" s="70"/>
    </row>
    <row r="111">
      <c r="A111" s="70"/>
    </row>
    <row r="112">
      <c r="A112" s="70"/>
    </row>
    <row r="113">
      <c r="A113" s="70"/>
    </row>
    <row r="114">
      <c r="A114" s="70"/>
    </row>
    <row r="115">
      <c r="A115" s="70"/>
    </row>
    <row r="116">
      <c r="A116" s="70"/>
    </row>
    <row r="117">
      <c r="A117" s="70"/>
    </row>
    <row r="118">
      <c r="A118" s="70"/>
    </row>
    <row r="119">
      <c r="A119" s="70"/>
    </row>
    <row r="120">
      <c r="A120" s="70"/>
    </row>
    <row r="121">
      <c r="A121" s="70"/>
    </row>
    <row r="122">
      <c r="A122" s="70"/>
    </row>
    <row r="123">
      <c r="A123" s="70"/>
    </row>
    <row r="124">
      <c r="A124" s="70"/>
    </row>
    <row r="125">
      <c r="A125" s="70"/>
    </row>
    <row r="126">
      <c r="A126" s="70"/>
    </row>
    <row r="127">
      <c r="A127" s="70"/>
    </row>
    <row r="128">
      <c r="A128" s="70"/>
    </row>
    <row r="129">
      <c r="A129" s="70"/>
    </row>
    <row r="130">
      <c r="A130" s="70"/>
    </row>
    <row r="131">
      <c r="A131" s="70"/>
    </row>
    <row r="132">
      <c r="A132" s="70"/>
    </row>
    <row r="133">
      <c r="A133" s="70"/>
    </row>
    <row r="134">
      <c r="A134" s="70"/>
    </row>
    <row r="135">
      <c r="A135" s="70"/>
    </row>
    <row r="136">
      <c r="A136" s="70"/>
    </row>
    <row r="137">
      <c r="A137" s="70"/>
    </row>
    <row r="138">
      <c r="A138" s="70"/>
    </row>
    <row r="139">
      <c r="A139" s="70"/>
    </row>
    <row r="140">
      <c r="A140" s="70"/>
    </row>
    <row r="141">
      <c r="A141" s="70"/>
    </row>
    <row r="142">
      <c r="A142" s="70"/>
    </row>
    <row r="143">
      <c r="A143" s="70"/>
    </row>
    <row r="144">
      <c r="A144" s="70"/>
    </row>
    <row r="145">
      <c r="A145" s="70"/>
    </row>
    <row r="146">
      <c r="A146" s="70"/>
    </row>
    <row r="147">
      <c r="A147" s="70"/>
    </row>
    <row r="148">
      <c r="A148" s="70"/>
    </row>
    <row r="149">
      <c r="A149" s="70"/>
    </row>
    <row r="150">
      <c r="A150" s="70"/>
    </row>
    <row r="151">
      <c r="A151" s="70"/>
    </row>
    <row r="152">
      <c r="A152" s="70"/>
    </row>
    <row r="153">
      <c r="A153" s="70"/>
    </row>
    <row r="154">
      <c r="A154" s="70"/>
    </row>
    <row r="155">
      <c r="A155" s="70"/>
    </row>
    <row r="156">
      <c r="A156" s="70"/>
    </row>
    <row r="157">
      <c r="A157" s="70"/>
    </row>
    <row r="158">
      <c r="A158" s="70"/>
    </row>
    <row r="159">
      <c r="A159" s="70"/>
    </row>
    <row r="160">
      <c r="A160" s="70"/>
    </row>
    <row r="161">
      <c r="A161" s="70"/>
    </row>
    <row r="162">
      <c r="A162" s="70"/>
    </row>
    <row r="163">
      <c r="A163" s="70"/>
    </row>
    <row r="164">
      <c r="A164" s="70"/>
    </row>
    <row r="165">
      <c r="A165" s="70"/>
    </row>
    <row r="166">
      <c r="A166" s="70"/>
    </row>
    <row r="167">
      <c r="A167" s="70"/>
    </row>
    <row r="168">
      <c r="A168" s="70"/>
    </row>
    <row r="169">
      <c r="A169" s="70"/>
    </row>
    <row r="170">
      <c r="A170" s="70"/>
    </row>
    <row r="171">
      <c r="A171" s="70"/>
    </row>
    <row r="172">
      <c r="A172" s="70"/>
    </row>
    <row r="173">
      <c r="A173" s="70"/>
    </row>
    <row r="174">
      <c r="A174" s="70"/>
    </row>
    <row r="175">
      <c r="A175" s="70"/>
    </row>
    <row r="176">
      <c r="A176" s="70"/>
    </row>
    <row r="177">
      <c r="A177" s="70"/>
    </row>
    <row r="178">
      <c r="A178" s="70"/>
    </row>
    <row r="179">
      <c r="A179" s="70"/>
    </row>
    <row r="180">
      <c r="A180" s="70"/>
    </row>
    <row r="181">
      <c r="A181" s="70"/>
    </row>
    <row r="182">
      <c r="A182" s="70"/>
    </row>
    <row r="183">
      <c r="A183" s="70"/>
    </row>
    <row r="184">
      <c r="A184" s="70"/>
    </row>
    <row r="185">
      <c r="A185" s="70"/>
    </row>
    <row r="186">
      <c r="A186" s="70"/>
    </row>
    <row r="187">
      <c r="A187" s="70"/>
    </row>
    <row r="188">
      <c r="A188" s="70"/>
    </row>
    <row r="189">
      <c r="A189" s="70"/>
    </row>
    <row r="190">
      <c r="A190" s="70"/>
    </row>
    <row r="191">
      <c r="A191" s="70"/>
    </row>
    <row r="192">
      <c r="A192" s="70"/>
    </row>
    <row r="193">
      <c r="A193" s="70"/>
    </row>
    <row r="194">
      <c r="A194" s="70"/>
    </row>
    <row r="195">
      <c r="A195" s="70"/>
    </row>
    <row r="196">
      <c r="A196" s="70"/>
    </row>
    <row r="197">
      <c r="A197" s="70"/>
    </row>
    <row r="198">
      <c r="A198" s="70"/>
    </row>
    <row r="199">
      <c r="A199" s="70"/>
    </row>
    <row r="200">
      <c r="A200" s="70"/>
    </row>
    <row r="201">
      <c r="A201" s="70"/>
    </row>
    <row r="202">
      <c r="A202" s="70"/>
    </row>
    <row r="203">
      <c r="A203" s="70"/>
    </row>
    <row r="204">
      <c r="A204" s="70"/>
    </row>
    <row r="205">
      <c r="A205" s="70"/>
    </row>
    <row r="206">
      <c r="A206" s="70"/>
    </row>
    <row r="207">
      <c r="A207" s="70"/>
    </row>
    <row r="208">
      <c r="A208" s="70"/>
    </row>
    <row r="209">
      <c r="A209" s="70"/>
    </row>
    <row r="210">
      <c r="A210" s="70"/>
    </row>
    <row r="211">
      <c r="A211" s="70"/>
    </row>
    <row r="212">
      <c r="A212" s="70"/>
    </row>
    <row r="213">
      <c r="A213" s="70"/>
    </row>
    <row r="214">
      <c r="A214" s="70"/>
    </row>
    <row r="215">
      <c r="A215" s="70"/>
    </row>
    <row r="216">
      <c r="A216" s="70"/>
    </row>
    <row r="217">
      <c r="A217" s="70"/>
    </row>
    <row r="218">
      <c r="A218" s="70"/>
    </row>
    <row r="219">
      <c r="A219" s="70"/>
    </row>
    <row r="220">
      <c r="A220" s="70"/>
    </row>
    <row r="221">
      <c r="A221" s="70"/>
    </row>
    <row r="222">
      <c r="A222" s="70"/>
    </row>
    <row r="223">
      <c r="A223" s="70"/>
    </row>
    <row r="224">
      <c r="A224" s="70"/>
    </row>
    <row r="225">
      <c r="A225" s="70"/>
    </row>
    <row r="226">
      <c r="A226" s="70"/>
    </row>
    <row r="227">
      <c r="A227" s="70"/>
    </row>
    <row r="228">
      <c r="A228" s="70"/>
    </row>
    <row r="229">
      <c r="A229" s="70"/>
    </row>
    <row r="230">
      <c r="A230" s="70"/>
    </row>
    <row r="231">
      <c r="A231" s="70"/>
    </row>
    <row r="232">
      <c r="A232" s="70"/>
    </row>
    <row r="233">
      <c r="A233" s="70"/>
    </row>
    <row r="234">
      <c r="A234" s="70"/>
    </row>
    <row r="235">
      <c r="A235" s="70"/>
    </row>
    <row r="236">
      <c r="A236" s="70"/>
    </row>
    <row r="237">
      <c r="A237" s="70"/>
    </row>
    <row r="238">
      <c r="A238" s="70"/>
    </row>
    <row r="239">
      <c r="A239" s="70"/>
    </row>
    <row r="240">
      <c r="A240" s="70"/>
    </row>
    <row r="241">
      <c r="A241" s="70"/>
    </row>
    <row r="242">
      <c r="A242" s="70"/>
    </row>
    <row r="243">
      <c r="A243" s="70"/>
    </row>
    <row r="244">
      <c r="A244" s="70"/>
    </row>
    <row r="245">
      <c r="A245" s="70"/>
    </row>
    <row r="246">
      <c r="A246" s="70"/>
    </row>
    <row r="247">
      <c r="A247" s="70"/>
    </row>
    <row r="248">
      <c r="A248" s="70"/>
    </row>
    <row r="249">
      <c r="A249" s="70"/>
    </row>
    <row r="250">
      <c r="A250" s="70"/>
    </row>
    <row r="251">
      <c r="A251" s="70"/>
    </row>
    <row r="252">
      <c r="A252" s="70"/>
    </row>
    <row r="253">
      <c r="A253" s="70"/>
    </row>
    <row r="254">
      <c r="A254" s="70"/>
    </row>
    <row r="255">
      <c r="A255" s="70"/>
    </row>
    <row r="256">
      <c r="A256" s="70"/>
    </row>
    <row r="257">
      <c r="A257" s="70"/>
    </row>
    <row r="258">
      <c r="A258" s="70"/>
    </row>
    <row r="259">
      <c r="A259" s="70"/>
    </row>
    <row r="260">
      <c r="A260" s="70"/>
    </row>
    <row r="261">
      <c r="A261" s="70"/>
    </row>
    <row r="262">
      <c r="A262" s="70"/>
    </row>
    <row r="263">
      <c r="A263" s="70"/>
    </row>
    <row r="264">
      <c r="A264" s="70"/>
    </row>
    <row r="265">
      <c r="A265" s="70"/>
    </row>
    <row r="266">
      <c r="A266" s="70"/>
    </row>
    <row r="267">
      <c r="A267" s="70"/>
    </row>
    <row r="268">
      <c r="A268" s="70"/>
    </row>
    <row r="269">
      <c r="A269" s="70"/>
    </row>
    <row r="270">
      <c r="A270" s="70"/>
    </row>
    <row r="271">
      <c r="A271" s="70"/>
    </row>
    <row r="272">
      <c r="A272" s="70"/>
    </row>
    <row r="273">
      <c r="A273" s="70"/>
    </row>
    <row r="274">
      <c r="A274" s="70"/>
    </row>
    <row r="275">
      <c r="A275" s="70"/>
    </row>
    <row r="276">
      <c r="A276" s="70"/>
    </row>
    <row r="277">
      <c r="A277" s="70"/>
    </row>
    <row r="278">
      <c r="A278" s="70"/>
    </row>
    <row r="279">
      <c r="A279" s="70"/>
    </row>
    <row r="280">
      <c r="A280" s="70"/>
    </row>
    <row r="281">
      <c r="A281" s="70"/>
    </row>
    <row r="282">
      <c r="A282" s="70"/>
    </row>
    <row r="283">
      <c r="A283" s="70"/>
    </row>
    <row r="284">
      <c r="A284" s="70"/>
    </row>
    <row r="285">
      <c r="A285" s="70"/>
    </row>
    <row r="286">
      <c r="A286" s="70"/>
    </row>
    <row r="287">
      <c r="A287" s="70"/>
    </row>
    <row r="288">
      <c r="A288" s="70"/>
    </row>
    <row r="289">
      <c r="A289" s="70"/>
    </row>
    <row r="290">
      <c r="A290" s="70"/>
    </row>
    <row r="291">
      <c r="A291" s="70"/>
    </row>
    <row r="292">
      <c r="A292" s="70"/>
    </row>
    <row r="293">
      <c r="A293" s="70"/>
    </row>
    <row r="294">
      <c r="A294" s="70"/>
    </row>
    <row r="295">
      <c r="A295" s="70"/>
    </row>
    <row r="296">
      <c r="A296" s="70"/>
    </row>
    <row r="297">
      <c r="A297" s="70"/>
    </row>
    <row r="298">
      <c r="A298" s="70"/>
    </row>
    <row r="299">
      <c r="A299" s="70"/>
    </row>
    <row r="300">
      <c r="A300" s="70"/>
    </row>
    <row r="301">
      <c r="A301" s="70"/>
    </row>
    <row r="302">
      <c r="A302" s="70"/>
    </row>
    <row r="303">
      <c r="A303" s="70"/>
    </row>
    <row r="304">
      <c r="A304" s="70"/>
    </row>
    <row r="305">
      <c r="A305" s="70"/>
    </row>
    <row r="306">
      <c r="A306" s="70"/>
    </row>
    <row r="307">
      <c r="A307" s="70"/>
    </row>
    <row r="308">
      <c r="A308" s="70"/>
    </row>
    <row r="309">
      <c r="A309" s="70"/>
    </row>
    <row r="310">
      <c r="A310" s="70"/>
    </row>
    <row r="311">
      <c r="A311" s="70"/>
    </row>
    <row r="312">
      <c r="A312" s="70"/>
    </row>
    <row r="313">
      <c r="A313" s="70"/>
    </row>
    <row r="314">
      <c r="A314" s="70"/>
    </row>
    <row r="315">
      <c r="A315" s="70"/>
    </row>
    <row r="316">
      <c r="A316" s="70"/>
    </row>
    <row r="317">
      <c r="A317" s="70"/>
    </row>
    <row r="318">
      <c r="A318" s="70"/>
    </row>
    <row r="319">
      <c r="A319" s="70"/>
    </row>
    <row r="320">
      <c r="A320" s="70"/>
    </row>
    <row r="321">
      <c r="A321" s="70"/>
    </row>
    <row r="322">
      <c r="A322" s="70"/>
    </row>
    <row r="323">
      <c r="A323" s="70"/>
    </row>
    <row r="324">
      <c r="A324" s="70"/>
    </row>
    <row r="325">
      <c r="A325" s="70"/>
    </row>
    <row r="326">
      <c r="A326" s="70"/>
    </row>
    <row r="327">
      <c r="A327" s="70"/>
    </row>
    <row r="328">
      <c r="A328" s="70"/>
    </row>
    <row r="329">
      <c r="A329" s="70"/>
    </row>
    <row r="330">
      <c r="A330" s="70"/>
    </row>
    <row r="331">
      <c r="A331" s="70"/>
    </row>
    <row r="332">
      <c r="A332" s="70"/>
    </row>
    <row r="333">
      <c r="A333" s="70"/>
    </row>
    <row r="334">
      <c r="A334" s="70"/>
    </row>
    <row r="335">
      <c r="A335" s="70"/>
    </row>
    <row r="336">
      <c r="A336" s="70"/>
    </row>
    <row r="337">
      <c r="A337" s="70"/>
    </row>
    <row r="338">
      <c r="A338" s="70"/>
    </row>
    <row r="339">
      <c r="A339" s="70"/>
    </row>
    <row r="340">
      <c r="A340" s="70"/>
    </row>
    <row r="341">
      <c r="A341" s="70"/>
    </row>
    <row r="342">
      <c r="A342" s="70"/>
    </row>
    <row r="343">
      <c r="A343" s="70"/>
    </row>
    <row r="344">
      <c r="A344" s="70"/>
    </row>
    <row r="345">
      <c r="A345" s="70"/>
    </row>
    <row r="346">
      <c r="A346" s="70"/>
    </row>
    <row r="347">
      <c r="A347" s="70"/>
    </row>
    <row r="348">
      <c r="A348" s="70"/>
    </row>
    <row r="349">
      <c r="A349" s="70"/>
    </row>
    <row r="350">
      <c r="A350" s="70"/>
    </row>
    <row r="351">
      <c r="A351" s="70"/>
    </row>
    <row r="352">
      <c r="A352" s="70"/>
    </row>
    <row r="353">
      <c r="A353" s="70"/>
    </row>
    <row r="354">
      <c r="A354" s="70"/>
    </row>
    <row r="355">
      <c r="A355" s="70"/>
    </row>
    <row r="356">
      <c r="A356" s="70"/>
    </row>
    <row r="357">
      <c r="A357" s="70"/>
    </row>
    <row r="358">
      <c r="A358" s="70"/>
    </row>
    <row r="359">
      <c r="A359" s="70"/>
    </row>
    <row r="360">
      <c r="A360" s="70"/>
    </row>
    <row r="361">
      <c r="A361" s="70"/>
    </row>
    <row r="362">
      <c r="A362" s="70"/>
    </row>
    <row r="363">
      <c r="A363" s="70"/>
    </row>
    <row r="364">
      <c r="A364" s="70"/>
    </row>
    <row r="365">
      <c r="A365" s="70"/>
    </row>
    <row r="366">
      <c r="A366" s="70"/>
    </row>
    <row r="367">
      <c r="A367" s="70"/>
    </row>
    <row r="368">
      <c r="A368" s="70"/>
    </row>
    <row r="369">
      <c r="A369" s="70"/>
    </row>
    <row r="370">
      <c r="A370" s="70"/>
    </row>
    <row r="371">
      <c r="A371" s="70"/>
    </row>
    <row r="372">
      <c r="A372" s="70"/>
    </row>
    <row r="373">
      <c r="A373" s="70"/>
    </row>
    <row r="374">
      <c r="A374" s="70"/>
    </row>
    <row r="375">
      <c r="A375" s="70"/>
    </row>
    <row r="376">
      <c r="A376" s="70"/>
    </row>
    <row r="377">
      <c r="A377" s="70"/>
    </row>
    <row r="378">
      <c r="A378" s="70"/>
    </row>
    <row r="379">
      <c r="A379" s="70"/>
    </row>
    <row r="380">
      <c r="A380" s="70"/>
    </row>
    <row r="381">
      <c r="A381" s="70"/>
    </row>
    <row r="382">
      <c r="A382" s="70"/>
    </row>
    <row r="383">
      <c r="A383" s="70"/>
    </row>
    <row r="384">
      <c r="A384" s="70"/>
    </row>
    <row r="385">
      <c r="A385" s="70"/>
    </row>
    <row r="386">
      <c r="A386" s="70"/>
    </row>
    <row r="387">
      <c r="A387" s="70"/>
    </row>
    <row r="388">
      <c r="A388" s="70"/>
    </row>
    <row r="389">
      <c r="A389" s="70"/>
    </row>
    <row r="390">
      <c r="A390" s="70"/>
    </row>
    <row r="391">
      <c r="A391" s="70"/>
    </row>
    <row r="392">
      <c r="A392" s="70"/>
    </row>
    <row r="393">
      <c r="A393" s="70"/>
    </row>
    <row r="394">
      <c r="A394" s="70"/>
    </row>
    <row r="395">
      <c r="A395" s="70"/>
    </row>
    <row r="396">
      <c r="A396" s="70"/>
    </row>
    <row r="397">
      <c r="A397" s="70"/>
    </row>
    <row r="398">
      <c r="A398" s="70"/>
    </row>
    <row r="399">
      <c r="A399" s="70"/>
    </row>
    <row r="400">
      <c r="A400" s="70"/>
    </row>
    <row r="401">
      <c r="A401" s="70"/>
    </row>
    <row r="402">
      <c r="A402" s="70"/>
    </row>
    <row r="403">
      <c r="A403" s="70"/>
    </row>
    <row r="404">
      <c r="A404" s="70"/>
    </row>
    <row r="405">
      <c r="A405" s="70"/>
    </row>
    <row r="406">
      <c r="A406" s="70"/>
    </row>
    <row r="407">
      <c r="A407" s="70"/>
    </row>
    <row r="408">
      <c r="A408" s="70"/>
    </row>
    <row r="409">
      <c r="A409" s="70"/>
    </row>
    <row r="410">
      <c r="A410" s="70"/>
    </row>
    <row r="411">
      <c r="A411" s="70"/>
    </row>
    <row r="412">
      <c r="A412" s="70"/>
    </row>
    <row r="413">
      <c r="A413" s="70"/>
    </row>
    <row r="414">
      <c r="A414" s="70"/>
    </row>
    <row r="415">
      <c r="A415" s="70"/>
    </row>
    <row r="416">
      <c r="A416" s="70"/>
    </row>
    <row r="417">
      <c r="A417" s="70"/>
    </row>
    <row r="418">
      <c r="A418" s="70"/>
    </row>
    <row r="419">
      <c r="A419" s="70"/>
    </row>
    <row r="420">
      <c r="A420" s="70"/>
    </row>
    <row r="421">
      <c r="A421" s="70"/>
    </row>
    <row r="422">
      <c r="A422" s="70"/>
    </row>
    <row r="423">
      <c r="A423" s="70"/>
    </row>
    <row r="424">
      <c r="A424" s="70"/>
    </row>
    <row r="425">
      <c r="A425" s="70"/>
    </row>
    <row r="426">
      <c r="A426" s="70"/>
    </row>
    <row r="427">
      <c r="A427" s="70"/>
    </row>
    <row r="428">
      <c r="A428" s="70"/>
    </row>
    <row r="429">
      <c r="A429" s="70"/>
    </row>
    <row r="430">
      <c r="A430" s="70"/>
    </row>
    <row r="431">
      <c r="A431" s="70"/>
    </row>
    <row r="432">
      <c r="A432" s="70"/>
    </row>
    <row r="433">
      <c r="A433" s="70"/>
    </row>
    <row r="434">
      <c r="A434" s="70"/>
    </row>
    <row r="435">
      <c r="A435" s="70"/>
    </row>
    <row r="436">
      <c r="A436" s="70"/>
    </row>
    <row r="437">
      <c r="A437" s="70"/>
    </row>
    <row r="438">
      <c r="A438" s="70"/>
    </row>
    <row r="439">
      <c r="A439" s="70"/>
    </row>
    <row r="440">
      <c r="A440" s="70"/>
    </row>
    <row r="441">
      <c r="A441" s="70"/>
    </row>
    <row r="442">
      <c r="A442" s="70"/>
    </row>
    <row r="443">
      <c r="A443" s="70"/>
    </row>
    <row r="444">
      <c r="A444" s="70"/>
    </row>
    <row r="445">
      <c r="A445" s="70"/>
    </row>
    <row r="446">
      <c r="A446" s="70"/>
    </row>
    <row r="447">
      <c r="A447" s="70"/>
    </row>
    <row r="448">
      <c r="A448" s="70"/>
    </row>
    <row r="449">
      <c r="A449" s="70"/>
    </row>
    <row r="450">
      <c r="A450" s="70"/>
    </row>
    <row r="451">
      <c r="A451" s="70"/>
    </row>
    <row r="452">
      <c r="A452" s="70"/>
    </row>
    <row r="453">
      <c r="A453" s="70"/>
    </row>
    <row r="454">
      <c r="A454" s="70"/>
    </row>
    <row r="455">
      <c r="A455" s="70"/>
    </row>
    <row r="456">
      <c r="A456" s="70"/>
    </row>
    <row r="457">
      <c r="A457" s="70"/>
    </row>
    <row r="458">
      <c r="A458" s="70"/>
    </row>
    <row r="459">
      <c r="A459" s="70"/>
    </row>
    <row r="460">
      <c r="A460" s="70"/>
    </row>
    <row r="461">
      <c r="A461" s="70"/>
    </row>
    <row r="462">
      <c r="A462" s="70"/>
    </row>
    <row r="463">
      <c r="A463" s="70"/>
    </row>
    <row r="464">
      <c r="A464" s="70"/>
    </row>
    <row r="465">
      <c r="A465" s="70"/>
    </row>
    <row r="466">
      <c r="A466" s="70"/>
    </row>
    <row r="467">
      <c r="A467" s="70"/>
    </row>
    <row r="468">
      <c r="A468" s="70"/>
    </row>
    <row r="469">
      <c r="A469" s="70"/>
    </row>
    <row r="470">
      <c r="A470" s="70"/>
    </row>
    <row r="471">
      <c r="A471" s="70"/>
    </row>
    <row r="472">
      <c r="A472" s="70"/>
    </row>
    <row r="473">
      <c r="A473" s="70"/>
    </row>
    <row r="474">
      <c r="A474" s="70"/>
    </row>
    <row r="475">
      <c r="A475" s="70"/>
    </row>
    <row r="476">
      <c r="A476" s="70"/>
    </row>
    <row r="477">
      <c r="A477" s="70"/>
    </row>
    <row r="478">
      <c r="A478" s="70"/>
    </row>
    <row r="479">
      <c r="A479" s="70"/>
    </row>
    <row r="480">
      <c r="A480" s="70"/>
    </row>
    <row r="481">
      <c r="A481" s="70"/>
    </row>
    <row r="482">
      <c r="A482" s="70"/>
    </row>
    <row r="483">
      <c r="A483" s="70"/>
    </row>
    <row r="484">
      <c r="A484" s="70"/>
    </row>
    <row r="485">
      <c r="A485" s="70"/>
    </row>
    <row r="486">
      <c r="A486" s="70"/>
    </row>
    <row r="487">
      <c r="A487" s="70"/>
    </row>
    <row r="488">
      <c r="A488" s="70"/>
    </row>
    <row r="489">
      <c r="A489" s="70"/>
    </row>
    <row r="490">
      <c r="A490" s="70"/>
    </row>
    <row r="491">
      <c r="A491" s="70"/>
    </row>
    <row r="492">
      <c r="A492" s="70"/>
    </row>
    <row r="493">
      <c r="A493" s="70"/>
    </row>
    <row r="494">
      <c r="A494" s="70"/>
    </row>
    <row r="495">
      <c r="A495" s="70"/>
    </row>
    <row r="496">
      <c r="A496" s="70"/>
    </row>
    <row r="497">
      <c r="A497" s="70"/>
    </row>
    <row r="498">
      <c r="A498" s="70"/>
    </row>
    <row r="499">
      <c r="A499" s="70"/>
    </row>
    <row r="500">
      <c r="A500" s="70"/>
    </row>
    <row r="501">
      <c r="A501" s="70"/>
    </row>
    <row r="502">
      <c r="A502" s="70"/>
    </row>
    <row r="503">
      <c r="A503" s="70"/>
    </row>
    <row r="504">
      <c r="A504" s="70"/>
    </row>
    <row r="505">
      <c r="A505" s="70"/>
    </row>
    <row r="506">
      <c r="A506" s="70"/>
    </row>
    <row r="507">
      <c r="A507" s="70"/>
    </row>
    <row r="508">
      <c r="A508" s="70"/>
    </row>
    <row r="509">
      <c r="A509" s="70"/>
    </row>
    <row r="510">
      <c r="A510" s="70"/>
    </row>
    <row r="511">
      <c r="A511" s="70"/>
    </row>
    <row r="512">
      <c r="A512" s="70"/>
    </row>
    <row r="513">
      <c r="A513" s="70"/>
    </row>
    <row r="514">
      <c r="A514" s="70"/>
    </row>
    <row r="515">
      <c r="A515" s="70"/>
    </row>
    <row r="516">
      <c r="A516" s="70"/>
    </row>
    <row r="517">
      <c r="A517" s="70"/>
    </row>
    <row r="518">
      <c r="A518" s="70"/>
    </row>
    <row r="519">
      <c r="A519" s="70"/>
    </row>
    <row r="520">
      <c r="A520" s="70"/>
    </row>
    <row r="521">
      <c r="A521" s="70"/>
    </row>
    <row r="522">
      <c r="A522" s="70"/>
    </row>
    <row r="523">
      <c r="A523" s="70"/>
    </row>
    <row r="524">
      <c r="A524" s="70"/>
    </row>
    <row r="525">
      <c r="A525" s="70"/>
    </row>
    <row r="526">
      <c r="A526" s="70"/>
    </row>
    <row r="527">
      <c r="A527" s="70"/>
    </row>
    <row r="528">
      <c r="A528" s="70"/>
    </row>
    <row r="529">
      <c r="A529" s="70"/>
    </row>
    <row r="530">
      <c r="A530" s="70"/>
    </row>
    <row r="531">
      <c r="A531" s="70"/>
    </row>
    <row r="532">
      <c r="A532" s="70"/>
    </row>
    <row r="533">
      <c r="A533" s="70"/>
    </row>
    <row r="534">
      <c r="A534" s="70"/>
    </row>
    <row r="535">
      <c r="A535" s="70"/>
    </row>
    <row r="536">
      <c r="A536" s="70"/>
    </row>
    <row r="537">
      <c r="A537" s="70"/>
    </row>
    <row r="538">
      <c r="A538" s="70"/>
    </row>
    <row r="539">
      <c r="A539" s="70"/>
    </row>
    <row r="540">
      <c r="A540" s="70"/>
    </row>
    <row r="541">
      <c r="A541" s="70"/>
    </row>
    <row r="542">
      <c r="A542" s="70"/>
    </row>
    <row r="543">
      <c r="A543" s="70"/>
    </row>
    <row r="544">
      <c r="A544" s="70"/>
    </row>
    <row r="545">
      <c r="A545" s="70"/>
    </row>
    <row r="546">
      <c r="A546" s="70"/>
    </row>
    <row r="547">
      <c r="A547" s="70"/>
    </row>
    <row r="548">
      <c r="A548" s="70"/>
    </row>
    <row r="549">
      <c r="A549" s="70"/>
    </row>
    <row r="550">
      <c r="A550" s="70"/>
    </row>
    <row r="551">
      <c r="A551" s="70"/>
    </row>
    <row r="552">
      <c r="A552" s="70"/>
    </row>
    <row r="553">
      <c r="A553" s="70"/>
    </row>
    <row r="554">
      <c r="A554" s="70"/>
    </row>
    <row r="555">
      <c r="A555" s="70"/>
    </row>
    <row r="556">
      <c r="A556" s="70"/>
    </row>
    <row r="557">
      <c r="A557" s="70"/>
    </row>
    <row r="558">
      <c r="A558" s="70"/>
    </row>
    <row r="559">
      <c r="A559" s="70"/>
    </row>
    <row r="560">
      <c r="A560" s="70"/>
    </row>
    <row r="561">
      <c r="A561" s="70"/>
    </row>
    <row r="562">
      <c r="A562" s="70"/>
    </row>
    <row r="563">
      <c r="A563" s="70"/>
    </row>
    <row r="564">
      <c r="A564" s="70"/>
    </row>
    <row r="565">
      <c r="A565" s="70"/>
    </row>
    <row r="566">
      <c r="A566" s="70"/>
    </row>
    <row r="567">
      <c r="A567" s="70"/>
    </row>
    <row r="568">
      <c r="A568" s="70"/>
    </row>
    <row r="569">
      <c r="A569" s="70"/>
    </row>
    <row r="570">
      <c r="A570" s="70"/>
    </row>
    <row r="571">
      <c r="A571" s="70"/>
    </row>
    <row r="572">
      <c r="A572" s="70"/>
    </row>
    <row r="573">
      <c r="A573" s="70"/>
    </row>
    <row r="574">
      <c r="A574" s="70"/>
    </row>
    <row r="575">
      <c r="A575" s="70"/>
    </row>
    <row r="576">
      <c r="A576" s="70"/>
    </row>
    <row r="577">
      <c r="A577" s="70"/>
    </row>
    <row r="578">
      <c r="A578" s="70"/>
    </row>
    <row r="579">
      <c r="A579" s="70"/>
    </row>
    <row r="580">
      <c r="A580" s="70"/>
    </row>
    <row r="581">
      <c r="A581" s="70"/>
    </row>
    <row r="582">
      <c r="A582" s="70"/>
    </row>
    <row r="583">
      <c r="A583" s="70"/>
    </row>
    <row r="584">
      <c r="A584" s="70"/>
    </row>
    <row r="585">
      <c r="A585" s="70"/>
    </row>
    <row r="586">
      <c r="A586" s="70"/>
    </row>
    <row r="587">
      <c r="A587" s="70"/>
    </row>
    <row r="588">
      <c r="A588" s="70"/>
    </row>
    <row r="589">
      <c r="A589" s="70"/>
    </row>
    <row r="590">
      <c r="A590" s="70"/>
    </row>
    <row r="591">
      <c r="A591" s="70"/>
    </row>
    <row r="592">
      <c r="A592" s="70"/>
    </row>
    <row r="593">
      <c r="A593" s="70"/>
    </row>
    <row r="594">
      <c r="A594" s="70"/>
    </row>
    <row r="595">
      <c r="A595" s="70"/>
    </row>
    <row r="596">
      <c r="A596" s="70"/>
    </row>
    <row r="597">
      <c r="A597" s="70"/>
    </row>
    <row r="598">
      <c r="A598" s="70"/>
    </row>
    <row r="599">
      <c r="A599" s="70"/>
    </row>
    <row r="600">
      <c r="A600" s="70"/>
    </row>
    <row r="601">
      <c r="A601" s="70"/>
    </row>
    <row r="602">
      <c r="A602" s="70"/>
    </row>
    <row r="603">
      <c r="A603" s="70"/>
    </row>
    <row r="604">
      <c r="A604" s="70"/>
    </row>
    <row r="605">
      <c r="A605" s="70"/>
    </row>
    <row r="606">
      <c r="A606" s="70"/>
    </row>
    <row r="607">
      <c r="A607" s="70"/>
    </row>
    <row r="608">
      <c r="A608" s="70"/>
    </row>
    <row r="609">
      <c r="A609" s="70"/>
    </row>
    <row r="610">
      <c r="A610" s="70"/>
    </row>
    <row r="611">
      <c r="A611" s="70"/>
    </row>
    <row r="612">
      <c r="A612" s="70"/>
    </row>
    <row r="613">
      <c r="A613" s="70"/>
    </row>
    <row r="614">
      <c r="A614" s="70"/>
    </row>
    <row r="615">
      <c r="A615" s="70"/>
    </row>
    <row r="616">
      <c r="A616" s="70"/>
    </row>
    <row r="617">
      <c r="A617" s="70"/>
    </row>
    <row r="618">
      <c r="A618" s="70"/>
    </row>
    <row r="619">
      <c r="A619" s="70"/>
    </row>
    <row r="620">
      <c r="A620" s="70"/>
    </row>
    <row r="621">
      <c r="A621" s="70"/>
    </row>
    <row r="622">
      <c r="A622" s="70"/>
    </row>
    <row r="623">
      <c r="A623" s="70"/>
    </row>
    <row r="624">
      <c r="A624" s="70"/>
    </row>
    <row r="625">
      <c r="A625" s="70"/>
    </row>
    <row r="626">
      <c r="A626" s="70"/>
    </row>
    <row r="627">
      <c r="A627" s="70"/>
    </row>
    <row r="628">
      <c r="A628" s="70"/>
    </row>
    <row r="629">
      <c r="A629" s="70"/>
    </row>
    <row r="630">
      <c r="A630" s="70"/>
    </row>
    <row r="631">
      <c r="A631" s="70"/>
    </row>
    <row r="632">
      <c r="A632" s="70"/>
    </row>
    <row r="633">
      <c r="A633" s="70"/>
    </row>
    <row r="634">
      <c r="A634" s="70"/>
    </row>
    <row r="635">
      <c r="A635" s="70"/>
    </row>
    <row r="636">
      <c r="A636" s="70"/>
    </row>
    <row r="637">
      <c r="A637" s="70"/>
    </row>
    <row r="638">
      <c r="A638" s="70"/>
    </row>
    <row r="639">
      <c r="A639" s="70"/>
    </row>
    <row r="640">
      <c r="A640" s="70"/>
    </row>
    <row r="641">
      <c r="A641" s="70"/>
    </row>
    <row r="642">
      <c r="A642" s="70"/>
    </row>
    <row r="643">
      <c r="A643" s="70"/>
    </row>
    <row r="644">
      <c r="A644" s="70"/>
    </row>
    <row r="645">
      <c r="A645" s="70"/>
    </row>
    <row r="646">
      <c r="A646" s="70"/>
    </row>
    <row r="647">
      <c r="A647" s="70"/>
    </row>
    <row r="648">
      <c r="A648" s="70"/>
    </row>
    <row r="649">
      <c r="A649" s="70"/>
    </row>
    <row r="650">
      <c r="A650" s="70"/>
    </row>
    <row r="651">
      <c r="A651" s="70"/>
    </row>
    <row r="652">
      <c r="A652" s="70"/>
    </row>
    <row r="653">
      <c r="A653" s="70"/>
    </row>
    <row r="654">
      <c r="A654" s="70"/>
    </row>
    <row r="655">
      <c r="A655" s="70"/>
    </row>
    <row r="656">
      <c r="A656" s="70"/>
    </row>
    <row r="657">
      <c r="A657" s="70"/>
    </row>
    <row r="658">
      <c r="A658" s="70"/>
    </row>
    <row r="659">
      <c r="A659" s="70"/>
    </row>
    <row r="660">
      <c r="A660" s="70"/>
    </row>
    <row r="661">
      <c r="A661" s="70"/>
    </row>
    <row r="662">
      <c r="A662" s="70"/>
    </row>
    <row r="663">
      <c r="A663" s="70"/>
    </row>
    <row r="664">
      <c r="A664" s="70"/>
    </row>
    <row r="665">
      <c r="A665" s="70"/>
    </row>
    <row r="666">
      <c r="A666" s="70"/>
    </row>
    <row r="667">
      <c r="A667" s="70"/>
    </row>
    <row r="668">
      <c r="A668" s="70"/>
    </row>
    <row r="669">
      <c r="A669" s="70"/>
    </row>
    <row r="670">
      <c r="A670" s="70"/>
    </row>
    <row r="671">
      <c r="A671" s="70"/>
    </row>
    <row r="672">
      <c r="A672" s="70"/>
    </row>
    <row r="673">
      <c r="A673" s="70"/>
    </row>
    <row r="674">
      <c r="A674" s="70"/>
    </row>
    <row r="675">
      <c r="A675" s="70"/>
    </row>
    <row r="676">
      <c r="A676" s="70"/>
    </row>
    <row r="677">
      <c r="A677" s="70"/>
    </row>
    <row r="678">
      <c r="A678" s="70"/>
    </row>
    <row r="679">
      <c r="A679" s="70"/>
    </row>
    <row r="680">
      <c r="A680" s="70"/>
    </row>
    <row r="681">
      <c r="A681" s="70"/>
    </row>
    <row r="682">
      <c r="A682" s="70"/>
    </row>
    <row r="683">
      <c r="A683" s="70"/>
    </row>
    <row r="684">
      <c r="A684" s="70"/>
    </row>
    <row r="685">
      <c r="A685" s="70"/>
    </row>
    <row r="686">
      <c r="A686" s="70"/>
    </row>
    <row r="687">
      <c r="A687" s="70"/>
    </row>
    <row r="688">
      <c r="A688" s="70"/>
    </row>
    <row r="689">
      <c r="A689" s="70"/>
    </row>
    <row r="690">
      <c r="A690" s="70"/>
    </row>
    <row r="691">
      <c r="A691" s="70"/>
    </row>
    <row r="692">
      <c r="A692" s="70"/>
    </row>
    <row r="693">
      <c r="A693" s="70"/>
    </row>
    <row r="694">
      <c r="A694" s="70"/>
    </row>
    <row r="695">
      <c r="A695" s="70"/>
    </row>
    <row r="696">
      <c r="A696" s="70"/>
    </row>
    <row r="697">
      <c r="A697" s="70"/>
    </row>
    <row r="698">
      <c r="A698" s="70"/>
    </row>
    <row r="699">
      <c r="A699" s="70"/>
    </row>
    <row r="700">
      <c r="A700" s="70"/>
    </row>
    <row r="701">
      <c r="A701" s="70"/>
    </row>
    <row r="702">
      <c r="A702" s="70"/>
    </row>
    <row r="703">
      <c r="A703" s="70"/>
    </row>
    <row r="704">
      <c r="A704" s="70"/>
    </row>
    <row r="705">
      <c r="A705" s="70"/>
    </row>
    <row r="706">
      <c r="A706" s="70"/>
    </row>
    <row r="707">
      <c r="A707" s="70"/>
    </row>
    <row r="708">
      <c r="A708" s="70"/>
    </row>
    <row r="709">
      <c r="A709" s="70"/>
    </row>
    <row r="710">
      <c r="A710" s="70"/>
    </row>
    <row r="711">
      <c r="A711" s="70"/>
    </row>
    <row r="712">
      <c r="A712" s="70"/>
    </row>
    <row r="713">
      <c r="A713" s="70"/>
    </row>
    <row r="714">
      <c r="A714" s="70"/>
    </row>
    <row r="715">
      <c r="A715" s="70"/>
    </row>
    <row r="716">
      <c r="A716" s="70"/>
    </row>
    <row r="717">
      <c r="A717" s="70"/>
    </row>
    <row r="718">
      <c r="A718" s="70"/>
    </row>
    <row r="719">
      <c r="A719" s="70"/>
    </row>
    <row r="720">
      <c r="A720" s="70"/>
    </row>
    <row r="721">
      <c r="A721" s="70"/>
    </row>
    <row r="722">
      <c r="A722" s="70"/>
    </row>
    <row r="723">
      <c r="A723" s="70"/>
    </row>
    <row r="724">
      <c r="A724" s="70"/>
    </row>
    <row r="725">
      <c r="A725" s="70"/>
    </row>
    <row r="726">
      <c r="A726" s="70"/>
    </row>
    <row r="727">
      <c r="A727" s="70"/>
    </row>
    <row r="728">
      <c r="A728" s="70"/>
    </row>
    <row r="729">
      <c r="A729" s="70"/>
    </row>
    <row r="730">
      <c r="A730" s="70"/>
    </row>
    <row r="731">
      <c r="A731" s="70"/>
    </row>
    <row r="732">
      <c r="A732" s="70"/>
    </row>
    <row r="733">
      <c r="A733" s="70"/>
    </row>
    <row r="734">
      <c r="A734" s="70"/>
    </row>
    <row r="735">
      <c r="A735" s="70"/>
    </row>
    <row r="736">
      <c r="A736" s="70"/>
    </row>
    <row r="737">
      <c r="A737" s="70"/>
    </row>
    <row r="738">
      <c r="A738" s="70"/>
    </row>
    <row r="739">
      <c r="A739" s="70"/>
    </row>
    <row r="740">
      <c r="A740" s="70"/>
    </row>
    <row r="741">
      <c r="A741" s="70"/>
    </row>
    <row r="742">
      <c r="A742" s="70"/>
    </row>
    <row r="743">
      <c r="A743" s="70"/>
    </row>
    <row r="744">
      <c r="A744" s="70"/>
    </row>
    <row r="745">
      <c r="A745" s="70"/>
    </row>
    <row r="746">
      <c r="A746" s="70"/>
    </row>
    <row r="747">
      <c r="A747" s="70"/>
    </row>
    <row r="748">
      <c r="A748" s="70"/>
    </row>
    <row r="749">
      <c r="A749" s="70"/>
    </row>
    <row r="750">
      <c r="A750" s="70"/>
    </row>
    <row r="751">
      <c r="A751" s="70"/>
    </row>
    <row r="752">
      <c r="A752" s="70"/>
    </row>
    <row r="753">
      <c r="A753" s="70"/>
    </row>
    <row r="754">
      <c r="A754" s="70"/>
    </row>
    <row r="755">
      <c r="A755" s="70"/>
    </row>
    <row r="756">
      <c r="A756" s="70"/>
    </row>
    <row r="757">
      <c r="A757" s="70"/>
    </row>
    <row r="758">
      <c r="A758" s="70"/>
    </row>
    <row r="759">
      <c r="A759" s="70"/>
    </row>
    <row r="760">
      <c r="A760" s="70"/>
    </row>
    <row r="761">
      <c r="A761" s="70"/>
    </row>
    <row r="762">
      <c r="A762" s="70"/>
    </row>
    <row r="763">
      <c r="A763" s="70"/>
    </row>
    <row r="764">
      <c r="A764" s="70"/>
    </row>
    <row r="765">
      <c r="A765" s="70"/>
    </row>
    <row r="766">
      <c r="A766" s="70"/>
    </row>
    <row r="767">
      <c r="A767" s="70"/>
    </row>
    <row r="768">
      <c r="A768" s="70"/>
    </row>
    <row r="769">
      <c r="A769" s="70"/>
    </row>
    <row r="770">
      <c r="A770" s="70"/>
    </row>
    <row r="771">
      <c r="A771" s="70"/>
    </row>
    <row r="772">
      <c r="A772" s="70"/>
    </row>
    <row r="773">
      <c r="A773" s="70"/>
    </row>
    <row r="774">
      <c r="A774" s="70"/>
    </row>
    <row r="775">
      <c r="A775" s="70"/>
    </row>
    <row r="776">
      <c r="A776" s="70"/>
    </row>
    <row r="777">
      <c r="A777" s="70"/>
    </row>
    <row r="778">
      <c r="A778" s="70"/>
    </row>
    <row r="779">
      <c r="A779" s="70"/>
    </row>
    <row r="780">
      <c r="A780" s="70"/>
    </row>
    <row r="781">
      <c r="A781" s="70"/>
    </row>
    <row r="782">
      <c r="A782" s="70"/>
    </row>
    <row r="783">
      <c r="A783" s="70"/>
    </row>
    <row r="784">
      <c r="A784" s="70"/>
    </row>
    <row r="785">
      <c r="A785" s="70"/>
    </row>
    <row r="786">
      <c r="A786" s="70"/>
    </row>
    <row r="787">
      <c r="A787" s="70"/>
    </row>
    <row r="788">
      <c r="A788" s="70"/>
    </row>
    <row r="789">
      <c r="A789" s="70"/>
    </row>
    <row r="790">
      <c r="A790" s="70"/>
    </row>
    <row r="791">
      <c r="A791" s="70"/>
    </row>
    <row r="792">
      <c r="A792" s="70"/>
    </row>
    <row r="793">
      <c r="A793" s="70"/>
    </row>
    <row r="794">
      <c r="A794" s="70"/>
    </row>
    <row r="795">
      <c r="A795" s="70"/>
    </row>
    <row r="796">
      <c r="A796" s="70"/>
    </row>
    <row r="797">
      <c r="A797" s="70"/>
    </row>
    <row r="798">
      <c r="A798" s="70"/>
    </row>
    <row r="799">
      <c r="A799" s="70"/>
    </row>
    <row r="800">
      <c r="A800" s="70"/>
    </row>
    <row r="801">
      <c r="A801" s="70"/>
    </row>
    <row r="802">
      <c r="A802" s="70"/>
    </row>
    <row r="803">
      <c r="A803" s="70"/>
    </row>
    <row r="804">
      <c r="A804" s="70"/>
    </row>
    <row r="805">
      <c r="A805" s="70"/>
    </row>
    <row r="806">
      <c r="A806" s="70"/>
    </row>
    <row r="807">
      <c r="A807" s="70"/>
    </row>
    <row r="808">
      <c r="A808" s="70"/>
    </row>
    <row r="809">
      <c r="A809" s="70"/>
    </row>
    <row r="810">
      <c r="A810" s="70"/>
    </row>
    <row r="811">
      <c r="A811" s="70"/>
    </row>
    <row r="812">
      <c r="A812" s="70"/>
    </row>
    <row r="813">
      <c r="A813" s="70"/>
    </row>
    <row r="814">
      <c r="A814" s="70"/>
    </row>
    <row r="815">
      <c r="A815" s="70"/>
    </row>
    <row r="816">
      <c r="A816" s="70"/>
    </row>
    <row r="817">
      <c r="A817" s="70"/>
    </row>
    <row r="818">
      <c r="A818" s="70"/>
    </row>
    <row r="819">
      <c r="A819" s="70"/>
    </row>
    <row r="820">
      <c r="A820" s="70"/>
    </row>
    <row r="821">
      <c r="A821" s="70"/>
    </row>
    <row r="822">
      <c r="A822" s="70"/>
    </row>
    <row r="823">
      <c r="A823" s="70"/>
    </row>
    <row r="824">
      <c r="A824" s="70"/>
    </row>
    <row r="825">
      <c r="A825" s="70"/>
    </row>
    <row r="826">
      <c r="A826" s="70"/>
    </row>
    <row r="827">
      <c r="A827" s="70"/>
    </row>
    <row r="828">
      <c r="A828" s="70"/>
    </row>
    <row r="829">
      <c r="A829" s="70"/>
    </row>
    <row r="830">
      <c r="A830" s="70"/>
    </row>
    <row r="831">
      <c r="A831" s="70"/>
    </row>
    <row r="832">
      <c r="A832" s="70"/>
    </row>
    <row r="833">
      <c r="A833" s="70"/>
    </row>
    <row r="834">
      <c r="A834" s="70"/>
    </row>
    <row r="835">
      <c r="A835" s="70"/>
    </row>
    <row r="836">
      <c r="A836" s="70"/>
    </row>
    <row r="837">
      <c r="A837" s="70"/>
    </row>
    <row r="838">
      <c r="A838" s="70"/>
    </row>
    <row r="839">
      <c r="A839" s="70"/>
    </row>
    <row r="840">
      <c r="A840" s="70"/>
    </row>
    <row r="841">
      <c r="A841" s="70"/>
    </row>
    <row r="842">
      <c r="A842" s="70"/>
    </row>
    <row r="843">
      <c r="A843" s="70"/>
    </row>
    <row r="844">
      <c r="A844" s="70"/>
    </row>
    <row r="845">
      <c r="A845" s="70"/>
    </row>
    <row r="846">
      <c r="A846" s="70"/>
    </row>
    <row r="847">
      <c r="A847" s="70"/>
    </row>
    <row r="848">
      <c r="A848" s="70"/>
    </row>
    <row r="849">
      <c r="A849" s="70"/>
    </row>
    <row r="850">
      <c r="A850" s="70"/>
    </row>
    <row r="851">
      <c r="A851" s="70"/>
    </row>
    <row r="852">
      <c r="A852" s="70"/>
    </row>
    <row r="853">
      <c r="A853" s="70"/>
    </row>
    <row r="854">
      <c r="A854" s="70"/>
    </row>
    <row r="855">
      <c r="A855" s="70"/>
    </row>
    <row r="856">
      <c r="A856" s="70"/>
    </row>
    <row r="857">
      <c r="A857" s="70"/>
    </row>
    <row r="858">
      <c r="A858" s="70"/>
    </row>
    <row r="859">
      <c r="A859" s="70"/>
    </row>
    <row r="860">
      <c r="A860" s="70"/>
    </row>
    <row r="861">
      <c r="A861" s="70"/>
    </row>
    <row r="862">
      <c r="A862" s="70"/>
    </row>
    <row r="863">
      <c r="A863" s="70"/>
    </row>
    <row r="864">
      <c r="A864" s="70"/>
    </row>
    <row r="865">
      <c r="A865" s="70"/>
    </row>
    <row r="866">
      <c r="A866" s="70"/>
    </row>
    <row r="867">
      <c r="A867" s="70"/>
    </row>
    <row r="868">
      <c r="A868" s="70"/>
    </row>
    <row r="869">
      <c r="A869" s="70"/>
    </row>
    <row r="870">
      <c r="A870" s="70"/>
    </row>
    <row r="871">
      <c r="A871" s="70"/>
    </row>
    <row r="872">
      <c r="A872" s="70"/>
    </row>
    <row r="873">
      <c r="A873" s="70"/>
    </row>
    <row r="874">
      <c r="A874" s="70"/>
    </row>
    <row r="875">
      <c r="A875" s="70"/>
    </row>
    <row r="876">
      <c r="A876" s="70"/>
    </row>
    <row r="877">
      <c r="A877" s="70"/>
    </row>
    <row r="878">
      <c r="A878" s="70"/>
    </row>
    <row r="879">
      <c r="A879" s="70"/>
    </row>
    <row r="880">
      <c r="A880" s="70"/>
    </row>
    <row r="881">
      <c r="A881" s="70"/>
    </row>
    <row r="882">
      <c r="A882" s="70"/>
    </row>
    <row r="883">
      <c r="A883" s="70"/>
    </row>
    <row r="884">
      <c r="A884" s="70"/>
    </row>
    <row r="885">
      <c r="A885" s="70"/>
    </row>
    <row r="886">
      <c r="A886" s="70"/>
    </row>
    <row r="887">
      <c r="A887" s="70"/>
    </row>
    <row r="888">
      <c r="A888" s="70"/>
    </row>
    <row r="889">
      <c r="A889" s="70"/>
    </row>
    <row r="890">
      <c r="A890" s="70"/>
    </row>
    <row r="891">
      <c r="A891" s="70"/>
    </row>
    <row r="892">
      <c r="A892" s="70"/>
    </row>
    <row r="893">
      <c r="A893" s="70"/>
    </row>
    <row r="894">
      <c r="A894" s="70"/>
    </row>
    <row r="895">
      <c r="A895" s="70"/>
    </row>
    <row r="896">
      <c r="A896" s="70"/>
    </row>
    <row r="897">
      <c r="A897" s="70"/>
    </row>
    <row r="898">
      <c r="A898" s="70"/>
    </row>
    <row r="899">
      <c r="A899" s="70"/>
    </row>
    <row r="900">
      <c r="A900" s="70"/>
    </row>
    <row r="901">
      <c r="A901" s="70"/>
    </row>
    <row r="902">
      <c r="A902" s="70"/>
    </row>
    <row r="903">
      <c r="A903" s="70"/>
    </row>
    <row r="904">
      <c r="A904" s="70"/>
    </row>
    <row r="905">
      <c r="A905" s="70"/>
    </row>
    <row r="906">
      <c r="A906" s="70"/>
    </row>
    <row r="907">
      <c r="A907" s="70"/>
    </row>
    <row r="908">
      <c r="A908" s="70"/>
    </row>
    <row r="909">
      <c r="A909" s="70"/>
    </row>
    <row r="910">
      <c r="A910" s="70"/>
    </row>
    <row r="911">
      <c r="A911" s="70"/>
    </row>
    <row r="912">
      <c r="A912" s="70"/>
    </row>
    <row r="913">
      <c r="A913" s="70"/>
    </row>
    <row r="914">
      <c r="A914" s="70"/>
    </row>
    <row r="915">
      <c r="A915" s="70"/>
    </row>
    <row r="916">
      <c r="A916" s="70"/>
    </row>
    <row r="917">
      <c r="A917" s="70"/>
    </row>
    <row r="918">
      <c r="A918" s="70"/>
    </row>
    <row r="919">
      <c r="A919" s="70"/>
    </row>
    <row r="920">
      <c r="A920" s="70"/>
    </row>
    <row r="921">
      <c r="A921" s="70"/>
    </row>
    <row r="922">
      <c r="A922" s="70"/>
    </row>
    <row r="923">
      <c r="A923" s="70"/>
    </row>
    <row r="924">
      <c r="A924" s="70"/>
    </row>
    <row r="925">
      <c r="A925" s="70"/>
    </row>
    <row r="926">
      <c r="A926" s="70"/>
    </row>
    <row r="927">
      <c r="A927" s="70"/>
    </row>
    <row r="928">
      <c r="A928" s="70"/>
    </row>
    <row r="929">
      <c r="A929" s="70"/>
    </row>
    <row r="930">
      <c r="A930" s="70"/>
    </row>
    <row r="931">
      <c r="A931" s="70"/>
    </row>
    <row r="932">
      <c r="A932" s="70"/>
    </row>
    <row r="933">
      <c r="A933" s="70"/>
    </row>
    <row r="934">
      <c r="A934" s="70"/>
    </row>
    <row r="935">
      <c r="A935" s="70"/>
    </row>
    <row r="936">
      <c r="A936" s="70"/>
    </row>
    <row r="937">
      <c r="A937" s="70"/>
    </row>
    <row r="938">
      <c r="A938" s="70"/>
    </row>
    <row r="939">
      <c r="A939" s="70"/>
    </row>
    <row r="940">
      <c r="A940" s="70"/>
    </row>
    <row r="941">
      <c r="A941" s="70"/>
    </row>
    <row r="942">
      <c r="A942" s="70"/>
    </row>
    <row r="943">
      <c r="A943" s="70"/>
    </row>
    <row r="944">
      <c r="A944" s="70"/>
    </row>
    <row r="945">
      <c r="A945" s="70"/>
    </row>
    <row r="946">
      <c r="A946" s="70"/>
    </row>
    <row r="947">
      <c r="A947" s="70"/>
    </row>
    <row r="948">
      <c r="A948" s="70"/>
    </row>
    <row r="949">
      <c r="A949" s="70"/>
    </row>
    <row r="950">
      <c r="A950" s="70"/>
    </row>
    <row r="951">
      <c r="A951" s="70"/>
    </row>
    <row r="952">
      <c r="A952" s="70"/>
    </row>
    <row r="953">
      <c r="A953" s="70"/>
    </row>
    <row r="954">
      <c r="A954" s="70"/>
    </row>
    <row r="955">
      <c r="A955" s="70"/>
    </row>
    <row r="956">
      <c r="A956" s="70"/>
    </row>
    <row r="957">
      <c r="A957" s="70"/>
    </row>
    <row r="958">
      <c r="A958" s="70"/>
    </row>
    <row r="959">
      <c r="A959" s="70"/>
    </row>
    <row r="960">
      <c r="A960" s="70"/>
    </row>
    <row r="961">
      <c r="A961" s="70"/>
    </row>
    <row r="962">
      <c r="A962" s="70"/>
    </row>
    <row r="963">
      <c r="A963" s="70"/>
    </row>
    <row r="964">
      <c r="A964" s="70"/>
    </row>
    <row r="965">
      <c r="A965" s="70"/>
    </row>
    <row r="966">
      <c r="A966" s="70"/>
    </row>
    <row r="967">
      <c r="A967" s="70"/>
    </row>
    <row r="968">
      <c r="A968" s="70"/>
    </row>
    <row r="969">
      <c r="A969" s="70"/>
    </row>
    <row r="970">
      <c r="A970" s="70"/>
    </row>
    <row r="971">
      <c r="A971" s="70"/>
    </row>
    <row r="972">
      <c r="A972" s="70"/>
    </row>
    <row r="973">
      <c r="A973" s="70"/>
    </row>
    <row r="974">
      <c r="A974" s="70"/>
    </row>
    <row r="975">
      <c r="A975" s="70"/>
    </row>
    <row r="976">
      <c r="A976" s="70"/>
    </row>
    <row r="977">
      <c r="A977" s="70"/>
    </row>
    <row r="978">
      <c r="A978" s="70"/>
    </row>
    <row r="979">
      <c r="A979" s="70"/>
    </row>
    <row r="980">
      <c r="A980" s="70"/>
    </row>
    <row r="981">
      <c r="A981" s="70"/>
    </row>
    <row r="982">
      <c r="A982" s="70"/>
    </row>
    <row r="983">
      <c r="A983" s="70"/>
    </row>
    <row r="984">
      <c r="A984" s="70"/>
    </row>
    <row r="985">
      <c r="A985" s="70"/>
    </row>
    <row r="986">
      <c r="A986" s="70"/>
    </row>
    <row r="987">
      <c r="A987" s="70"/>
    </row>
    <row r="988">
      <c r="A988" s="70"/>
    </row>
  </sheetData>
  <mergeCells count="5">
    <mergeCell ref="A1:A2"/>
    <mergeCell ref="B1:B2"/>
    <mergeCell ref="C1:G1"/>
    <mergeCell ref="H1:L1"/>
    <mergeCell ref="M1:M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5.88"/>
    <col customWidth="1" min="2" max="2" width="67.88"/>
    <col customWidth="1" hidden="1" min="3" max="3" width="19.88"/>
    <col customWidth="1" hidden="1" min="4" max="4" width="13.63"/>
    <col customWidth="1" min="5" max="10" width="11.13"/>
    <col customWidth="1" min="11" max="11" width="50.13"/>
    <col customWidth="1" hidden="1" min="12" max="12" width="14.75"/>
    <col customWidth="1" hidden="1" min="13" max="13" width="6.88"/>
    <col hidden="1" min="14" max="15" width="12.63"/>
    <col customWidth="1" hidden="1" min="16" max="16" width="13.75"/>
    <col customWidth="1" hidden="1" min="17" max="17" width="13.25"/>
  </cols>
  <sheetData>
    <row r="1" ht="27.0" customHeight="1">
      <c r="A1" s="42" t="s">
        <v>93</v>
      </c>
      <c r="B1" s="42" t="s">
        <v>94</v>
      </c>
      <c r="C1" s="71"/>
      <c r="D1" s="42" t="s">
        <v>553</v>
      </c>
      <c r="E1" s="43" t="s">
        <v>95</v>
      </c>
      <c r="F1" s="44"/>
      <c r="G1" s="44"/>
      <c r="H1" s="44"/>
      <c r="I1" s="44"/>
      <c r="J1" s="45"/>
      <c r="K1" s="42" t="s">
        <v>97</v>
      </c>
    </row>
    <row r="2" ht="27.0" customHeight="1">
      <c r="A2" s="47"/>
      <c r="B2" s="47"/>
      <c r="C2" s="71"/>
      <c r="D2" s="47"/>
      <c r="E2" s="48">
        <v>2021.0</v>
      </c>
      <c r="F2" s="48">
        <v>2022.0</v>
      </c>
      <c r="G2" s="48">
        <v>2023.0</v>
      </c>
      <c r="H2" s="48">
        <v>2024.0</v>
      </c>
      <c r="I2" s="48">
        <v>2025.0</v>
      </c>
      <c r="J2" s="48">
        <v>2026.0</v>
      </c>
      <c r="K2" s="47"/>
      <c r="N2" s="72" t="s">
        <v>554</v>
      </c>
      <c r="O2" s="72" t="s">
        <v>555</v>
      </c>
      <c r="P2" s="73" t="s">
        <v>556</v>
      </c>
      <c r="Q2" s="73" t="s">
        <v>557</v>
      </c>
      <c r="R2" s="74" t="s">
        <v>558</v>
      </c>
    </row>
    <row r="3" ht="28.5" customHeight="1">
      <c r="A3" s="50">
        <v>1.0</v>
      </c>
      <c r="B3" s="51" t="s">
        <v>13</v>
      </c>
      <c r="C3" s="75" t="s">
        <v>559</v>
      </c>
      <c r="D3" s="51" t="s">
        <v>9</v>
      </c>
      <c r="E3" s="56" t="s">
        <v>560</v>
      </c>
      <c r="F3" s="56" t="s">
        <v>561</v>
      </c>
      <c r="G3" s="56" t="s">
        <v>562</v>
      </c>
      <c r="H3" s="56" t="s">
        <v>563</v>
      </c>
      <c r="I3" s="56" t="s">
        <v>564</v>
      </c>
      <c r="J3" s="56">
        <v>1.0</v>
      </c>
      <c r="K3" s="64" t="s">
        <v>565</v>
      </c>
      <c r="M3" s="76" t="s">
        <v>566</v>
      </c>
      <c r="N3" s="77" t="s">
        <v>567</v>
      </c>
      <c r="O3" s="77" t="s">
        <v>568</v>
      </c>
      <c r="P3" s="76" t="s">
        <v>569</v>
      </c>
      <c r="Q3" s="76" t="s">
        <v>570</v>
      </c>
    </row>
    <row r="4" ht="28.5" customHeight="1">
      <c r="A4" s="50">
        <v>2.0</v>
      </c>
      <c r="B4" s="51" t="s">
        <v>16</v>
      </c>
      <c r="C4" s="78" t="s">
        <v>571</v>
      </c>
      <c r="D4" s="51" t="s">
        <v>9</v>
      </c>
      <c r="E4" s="52"/>
      <c r="F4" s="52"/>
      <c r="G4" s="52"/>
      <c r="H4" s="56" t="s">
        <v>572</v>
      </c>
      <c r="I4" s="52"/>
      <c r="J4" s="52"/>
      <c r="K4" s="64" t="s">
        <v>573</v>
      </c>
      <c r="N4" s="79" t="s">
        <v>574</v>
      </c>
      <c r="O4" s="79" t="s">
        <v>575</v>
      </c>
      <c r="P4" s="80" t="s">
        <v>576</v>
      </c>
      <c r="Q4" s="80" t="s">
        <v>577</v>
      </c>
    </row>
    <row r="5" ht="28.5" customHeight="1">
      <c r="A5" s="50">
        <v>3.0</v>
      </c>
      <c r="B5" s="51" t="s">
        <v>19</v>
      </c>
      <c r="C5" s="75" t="s">
        <v>578</v>
      </c>
      <c r="D5" s="51" t="s">
        <v>9</v>
      </c>
      <c r="E5" s="56" t="s">
        <v>579</v>
      </c>
      <c r="F5" s="56" t="s">
        <v>580</v>
      </c>
      <c r="G5" s="56" t="s">
        <v>581</v>
      </c>
      <c r="H5" s="56" t="s">
        <v>321</v>
      </c>
      <c r="I5" s="56" t="s">
        <v>582</v>
      </c>
      <c r="J5" s="56">
        <v>2.0</v>
      </c>
      <c r="K5" s="64" t="s">
        <v>583</v>
      </c>
      <c r="N5" s="79" t="s">
        <v>584</v>
      </c>
      <c r="O5" s="79" t="s">
        <v>585</v>
      </c>
      <c r="P5" s="80" t="s">
        <v>586</v>
      </c>
      <c r="Q5" s="81"/>
    </row>
    <row r="6" ht="28.5" customHeight="1">
      <c r="A6" s="50">
        <v>4.0</v>
      </c>
      <c r="B6" s="51" t="s">
        <v>113</v>
      </c>
      <c r="C6" s="75" t="s">
        <v>587</v>
      </c>
      <c r="D6" s="51" t="s">
        <v>17</v>
      </c>
      <c r="E6" s="56" t="s">
        <v>114</v>
      </c>
      <c r="F6" s="56" t="s">
        <v>115</v>
      </c>
      <c r="G6" s="56" t="s">
        <v>116</v>
      </c>
      <c r="H6" s="56" t="s">
        <v>117</v>
      </c>
      <c r="I6" s="56" t="s">
        <v>118</v>
      </c>
      <c r="J6" s="56">
        <v>3.0</v>
      </c>
      <c r="K6" s="64" t="s">
        <v>588</v>
      </c>
      <c r="L6" s="41">
        <f t="shared" ref="L6:L7" si="1">counta(E6:K6)</f>
        <v>7</v>
      </c>
      <c r="N6" s="82"/>
      <c r="O6" s="79" t="s">
        <v>589</v>
      </c>
      <c r="P6" s="81"/>
      <c r="Q6" s="81"/>
    </row>
    <row r="7" ht="28.5" customHeight="1">
      <c r="A7" s="50">
        <v>5.0</v>
      </c>
      <c r="B7" s="51" t="s">
        <v>124</v>
      </c>
      <c r="C7" s="75" t="s">
        <v>590</v>
      </c>
      <c r="D7" s="51" t="s">
        <v>17</v>
      </c>
      <c r="E7" s="57" t="s">
        <v>125</v>
      </c>
      <c r="F7" s="57" t="s">
        <v>126</v>
      </c>
      <c r="G7" s="57" t="s">
        <v>127</v>
      </c>
      <c r="H7" s="57" t="s">
        <v>128</v>
      </c>
      <c r="I7" s="57" t="s">
        <v>129</v>
      </c>
      <c r="J7" s="56">
        <v>4.0</v>
      </c>
      <c r="K7" s="64" t="s">
        <v>588</v>
      </c>
      <c r="L7" s="41">
        <f t="shared" si="1"/>
        <v>7</v>
      </c>
      <c r="N7" s="82"/>
      <c r="O7" s="79" t="s">
        <v>591</v>
      </c>
      <c r="P7" s="81"/>
      <c r="Q7" s="81"/>
    </row>
    <row r="8" ht="28.5" customHeight="1">
      <c r="A8" s="50">
        <v>6.0</v>
      </c>
      <c r="B8" s="51" t="s">
        <v>26</v>
      </c>
      <c r="C8" s="75" t="s">
        <v>559</v>
      </c>
      <c r="D8" s="51" t="s">
        <v>9</v>
      </c>
      <c r="E8" s="56" t="s">
        <v>592</v>
      </c>
      <c r="F8" s="56" t="s">
        <v>402</v>
      </c>
      <c r="G8" s="56" t="s">
        <v>402</v>
      </c>
      <c r="H8" s="56" t="s">
        <v>593</v>
      </c>
      <c r="I8" s="56" t="s">
        <v>592</v>
      </c>
      <c r="J8" s="56">
        <v>5.0</v>
      </c>
      <c r="K8" s="83"/>
      <c r="M8" s="84"/>
      <c r="N8" s="85"/>
    </row>
    <row r="9" ht="28.5" customHeight="1">
      <c r="A9" s="50">
        <v>7.0</v>
      </c>
      <c r="B9" s="51" t="s">
        <v>28</v>
      </c>
      <c r="C9" s="75" t="s">
        <v>590</v>
      </c>
      <c r="D9" s="51" t="s">
        <v>9</v>
      </c>
      <c r="E9" s="52"/>
      <c r="F9" s="56" t="s">
        <v>594</v>
      </c>
      <c r="G9" s="56" t="s">
        <v>136</v>
      </c>
      <c r="H9" s="56" t="s">
        <v>136</v>
      </c>
      <c r="I9" s="56" t="s">
        <v>137</v>
      </c>
      <c r="J9" s="56">
        <v>6.0</v>
      </c>
      <c r="K9" s="86" t="s">
        <v>595</v>
      </c>
      <c r="M9" s="84"/>
      <c r="N9" s="85"/>
    </row>
    <row r="10" ht="28.5" customHeight="1">
      <c r="A10" s="50">
        <v>8.0</v>
      </c>
      <c r="B10" s="51" t="s">
        <v>143</v>
      </c>
      <c r="C10" s="75" t="s">
        <v>590</v>
      </c>
      <c r="D10" s="51" t="s">
        <v>17</v>
      </c>
      <c r="E10" s="52"/>
      <c r="F10" s="52"/>
      <c r="G10" s="52"/>
      <c r="H10" s="52"/>
      <c r="I10" s="52"/>
      <c r="J10" s="52"/>
      <c r="K10" s="59" t="s">
        <v>596</v>
      </c>
      <c r="L10" s="41">
        <f t="shared" ref="L10:L19" si="2">counta(E10:K10)</f>
        <v>1</v>
      </c>
      <c r="M10" s="84"/>
      <c r="N10" s="85"/>
    </row>
    <row r="11">
      <c r="A11" s="50">
        <v>9.0</v>
      </c>
      <c r="B11" s="51" t="s">
        <v>148</v>
      </c>
      <c r="C11" s="75" t="s">
        <v>597</v>
      </c>
      <c r="D11" s="51" t="s">
        <v>17</v>
      </c>
      <c r="E11" s="56" t="s">
        <v>149</v>
      </c>
      <c r="F11" s="56" t="s">
        <v>150</v>
      </c>
      <c r="G11" s="56" t="s">
        <v>151</v>
      </c>
      <c r="H11" s="56"/>
      <c r="I11" s="56"/>
      <c r="J11" s="56"/>
      <c r="K11" s="64" t="s">
        <v>598</v>
      </c>
      <c r="L11" s="41">
        <f t="shared" si="2"/>
        <v>4</v>
      </c>
      <c r="M11" s="84"/>
      <c r="N11" s="85"/>
    </row>
    <row r="12" ht="28.5" customHeight="1">
      <c r="A12" s="50">
        <v>10.0</v>
      </c>
      <c r="B12" s="51" t="s">
        <v>157</v>
      </c>
      <c r="C12" s="75" t="s">
        <v>597</v>
      </c>
      <c r="D12" s="51" t="s">
        <v>17</v>
      </c>
      <c r="E12" s="56" t="s">
        <v>158</v>
      </c>
      <c r="F12" s="56" t="s">
        <v>159</v>
      </c>
      <c r="G12" s="56" t="s">
        <v>160</v>
      </c>
      <c r="H12" s="56" t="s">
        <v>161</v>
      </c>
      <c r="I12" s="56" t="s">
        <v>162</v>
      </c>
      <c r="J12" s="56"/>
      <c r="K12" s="83"/>
      <c r="L12" s="41">
        <f t="shared" si="2"/>
        <v>5</v>
      </c>
      <c r="M12" s="84"/>
      <c r="N12" s="85"/>
    </row>
    <row r="13" ht="28.5" customHeight="1">
      <c r="A13" s="50">
        <v>11.0</v>
      </c>
      <c r="B13" s="51" t="s">
        <v>168</v>
      </c>
      <c r="C13" s="75" t="s">
        <v>599</v>
      </c>
      <c r="D13" s="51" t="s">
        <v>17</v>
      </c>
      <c r="E13" s="56">
        <v>73.49</v>
      </c>
      <c r="F13" s="56">
        <v>73.51</v>
      </c>
      <c r="G13" s="56">
        <v>73.54</v>
      </c>
      <c r="H13" s="56">
        <v>73.57</v>
      </c>
      <c r="I13" s="56">
        <v>73.68</v>
      </c>
      <c r="J13" s="56">
        <v>7.0</v>
      </c>
      <c r="K13" s="64" t="s">
        <v>588</v>
      </c>
      <c r="L13" s="41">
        <f t="shared" si="2"/>
        <v>7</v>
      </c>
      <c r="M13" s="84"/>
      <c r="N13" s="85"/>
    </row>
    <row r="14" ht="28.5" customHeight="1">
      <c r="A14" s="50">
        <v>12.0</v>
      </c>
      <c r="B14" s="51" t="s">
        <v>174</v>
      </c>
      <c r="C14" s="78" t="s">
        <v>599</v>
      </c>
      <c r="D14" s="51" t="s">
        <v>17</v>
      </c>
      <c r="E14" s="52"/>
      <c r="F14" s="52"/>
      <c r="G14" s="52"/>
      <c r="H14" s="52"/>
      <c r="I14" s="52"/>
      <c r="J14" s="52"/>
      <c r="K14" s="59" t="s">
        <v>596</v>
      </c>
      <c r="L14" s="41">
        <f t="shared" si="2"/>
        <v>1</v>
      </c>
      <c r="M14" s="84"/>
      <c r="N14" s="85"/>
    </row>
    <row r="15" ht="28.5" customHeight="1">
      <c r="A15" s="50">
        <v>13.0</v>
      </c>
      <c r="B15" s="51" t="s">
        <v>180</v>
      </c>
      <c r="C15" s="78" t="s">
        <v>599</v>
      </c>
      <c r="D15" s="51" t="s">
        <v>17</v>
      </c>
      <c r="E15" s="56" t="s">
        <v>600</v>
      </c>
      <c r="F15" s="56" t="s">
        <v>601</v>
      </c>
      <c r="G15" s="56" t="s">
        <v>602</v>
      </c>
      <c r="H15" s="56" t="s">
        <v>603</v>
      </c>
      <c r="I15" s="52"/>
      <c r="J15" s="52"/>
      <c r="K15" s="59" t="s">
        <v>604</v>
      </c>
      <c r="L15" s="41">
        <f t="shared" si="2"/>
        <v>5</v>
      </c>
      <c r="M15" s="84"/>
      <c r="N15" s="85"/>
    </row>
    <row r="16" ht="28.5" customHeight="1">
      <c r="A16" s="50">
        <v>14.0</v>
      </c>
      <c r="B16" s="51" t="s">
        <v>605</v>
      </c>
      <c r="C16" s="75" t="s">
        <v>599</v>
      </c>
      <c r="D16" s="51" t="s">
        <v>17</v>
      </c>
      <c r="E16" s="52"/>
      <c r="F16" s="52"/>
      <c r="G16" s="52"/>
      <c r="H16" s="52"/>
      <c r="I16" s="52"/>
      <c r="J16" s="52"/>
      <c r="K16" s="59" t="s">
        <v>606</v>
      </c>
      <c r="L16" s="41">
        <f t="shared" si="2"/>
        <v>1</v>
      </c>
      <c r="M16" s="84"/>
      <c r="N16" s="85"/>
    </row>
    <row r="17" ht="28.5" customHeight="1">
      <c r="A17" s="50">
        <v>15.0</v>
      </c>
      <c r="B17" s="51" t="s">
        <v>189</v>
      </c>
      <c r="C17" s="75" t="s">
        <v>607</v>
      </c>
      <c r="D17" s="51" t="s">
        <v>17</v>
      </c>
      <c r="E17" s="56"/>
      <c r="F17" s="56"/>
      <c r="G17" s="56"/>
      <c r="H17" s="52"/>
      <c r="I17" s="56"/>
      <c r="J17" s="52"/>
      <c r="K17" s="59" t="s">
        <v>608</v>
      </c>
      <c r="L17" s="41">
        <f t="shared" si="2"/>
        <v>1</v>
      </c>
      <c r="M17" s="87"/>
      <c r="N17" s="85"/>
    </row>
    <row r="18" ht="45.75" customHeight="1">
      <c r="A18" s="50" t="s">
        <v>609</v>
      </c>
      <c r="B18" s="60" t="s">
        <v>195</v>
      </c>
      <c r="C18" s="78" t="s">
        <v>610</v>
      </c>
      <c r="D18" s="51" t="s">
        <v>17</v>
      </c>
      <c r="E18" s="52"/>
      <c r="F18" s="52"/>
      <c r="G18" s="56">
        <v>40.0</v>
      </c>
      <c r="H18" s="56">
        <v>60.0</v>
      </c>
      <c r="I18" s="56">
        <v>60.0</v>
      </c>
      <c r="J18" s="52"/>
      <c r="K18" s="59" t="s">
        <v>611</v>
      </c>
      <c r="L18" s="41">
        <f t="shared" si="2"/>
        <v>4</v>
      </c>
      <c r="M18" s="87"/>
      <c r="N18" s="85"/>
    </row>
    <row r="19" ht="41.25" customHeight="1">
      <c r="A19" s="50" t="s">
        <v>612</v>
      </c>
      <c r="B19" s="60" t="s">
        <v>613</v>
      </c>
      <c r="C19" s="78" t="s">
        <v>610</v>
      </c>
      <c r="D19" s="51" t="s">
        <v>17</v>
      </c>
      <c r="E19" s="52"/>
      <c r="F19" s="52"/>
      <c r="G19" s="56">
        <v>0.0</v>
      </c>
      <c r="H19" s="56">
        <v>60.0</v>
      </c>
      <c r="I19" s="56">
        <v>20.0</v>
      </c>
      <c r="J19" s="52"/>
      <c r="K19" s="59" t="s">
        <v>611</v>
      </c>
      <c r="L19" s="41">
        <f t="shared" si="2"/>
        <v>4</v>
      </c>
      <c r="M19" s="87"/>
      <c r="N19" s="85"/>
    </row>
    <row r="20" ht="41.25" customHeight="1">
      <c r="A20" s="50" t="s">
        <v>614</v>
      </c>
      <c r="B20" s="60" t="s">
        <v>615</v>
      </c>
      <c r="C20" s="78"/>
      <c r="D20" s="51"/>
      <c r="E20" s="52"/>
      <c r="F20" s="52"/>
      <c r="G20" s="56">
        <v>63.96</v>
      </c>
      <c r="H20" s="56">
        <v>74.12</v>
      </c>
      <c r="I20" s="56">
        <v>62.48</v>
      </c>
      <c r="J20" s="52"/>
      <c r="K20" s="59" t="s">
        <v>611</v>
      </c>
      <c r="M20" s="87"/>
      <c r="N20" s="85"/>
    </row>
    <row r="21" ht="41.25" customHeight="1">
      <c r="A21" s="50" t="s">
        <v>616</v>
      </c>
      <c r="B21" s="60" t="s">
        <v>201</v>
      </c>
      <c r="C21" s="78"/>
      <c r="D21" s="51"/>
      <c r="E21" s="52"/>
      <c r="F21" s="52"/>
      <c r="G21" s="56">
        <v>38.6</v>
      </c>
      <c r="H21" s="56">
        <v>66.06</v>
      </c>
      <c r="I21" s="56">
        <v>56.65</v>
      </c>
      <c r="J21" s="52"/>
      <c r="K21" s="59" t="s">
        <v>611</v>
      </c>
      <c r="M21" s="87"/>
      <c r="N21" s="85"/>
    </row>
    <row r="22" ht="28.5" customHeight="1">
      <c r="A22" s="50">
        <v>18.0</v>
      </c>
      <c r="B22" s="51" t="s">
        <v>204</v>
      </c>
      <c r="C22" s="75" t="s">
        <v>610</v>
      </c>
      <c r="D22" s="51" t="s">
        <v>9</v>
      </c>
      <c r="E22" s="56" t="s">
        <v>109</v>
      </c>
      <c r="F22" s="56" t="s">
        <v>617</v>
      </c>
      <c r="G22" s="56" t="s">
        <v>618</v>
      </c>
      <c r="H22" s="56" t="s">
        <v>619</v>
      </c>
      <c r="I22" s="56" t="s">
        <v>620</v>
      </c>
      <c r="J22" s="56">
        <v>8.0</v>
      </c>
      <c r="K22" s="64" t="s">
        <v>588</v>
      </c>
      <c r="M22" s="87"/>
      <c r="N22" s="85"/>
    </row>
    <row r="23" ht="28.5" customHeight="1">
      <c r="A23" s="50">
        <v>19.0</v>
      </c>
      <c r="B23" s="51" t="s">
        <v>209</v>
      </c>
      <c r="C23" s="75" t="s">
        <v>610</v>
      </c>
      <c r="D23" s="51" t="s">
        <v>9</v>
      </c>
      <c r="E23" s="56" t="s">
        <v>621</v>
      </c>
      <c r="F23" s="56" t="s">
        <v>622</v>
      </c>
      <c r="G23" s="56" t="s">
        <v>623</v>
      </c>
      <c r="H23" s="56" t="s">
        <v>624</v>
      </c>
      <c r="I23" s="56" t="s">
        <v>625</v>
      </c>
      <c r="J23" s="56">
        <v>9.0</v>
      </c>
      <c r="K23" s="64" t="s">
        <v>588</v>
      </c>
      <c r="M23" s="87"/>
      <c r="N23" s="85"/>
    </row>
    <row r="24" ht="28.5" customHeight="1">
      <c r="A24" s="50">
        <v>20.0</v>
      </c>
      <c r="B24" s="51" t="s">
        <v>48</v>
      </c>
      <c r="C24" s="75" t="s">
        <v>626</v>
      </c>
      <c r="D24" s="51" t="s">
        <v>17</v>
      </c>
      <c r="E24" s="56" t="s">
        <v>627</v>
      </c>
      <c r="F24" s="56" t="s">
        <v>628</v>
      </c>
      <c r="G24" s="56" t="s">
        <v>629</v>
      </c>
      <c r="H24" s="56" t="s">
        <v>630</v>
      </c>
      <c r="I24" s="56" t="s">
        <v>631</v>
      </c>
      <c r="J24" s="56">
        <v>10.0</v>
      </c>
      <c r="K24" s="59" t="s">
        <v>632</v>
      </c>
      <c r="L24" s="41">
        <f t="shared" ref="L24:L27" si="3">counta(E24:K24)</f>
        <v>7</v>
      </c>
      <c r="M24" s="87"/>
      <c r="N24" s="85"/>
    </row>
    <row r="25" ht="28.5" customHeight="1">
      <c r="A25" s="50">
        <v>21.0</v>
      </c>
      <c r="B25" s="51" t="s">
        <v>220</v>
      </c>
      <c r="C25" s="75" t="s">
        <v>610</v>
      </c>
      <c r="D25" s="51" t="s">
        <v>17</v>
      </c>
      <c r="E25" s="52"/>
      <c r="F25" s="52"/>
      <c r="G25" s="52"/>
      <c r="H25" s="52"/>
      <c r="I25" s="52"/>
      <c r="J25" s="52"/>
      <c r="K25" s="59" t="s">
        <v>633</v>
      </c>
      <c r="L25" s="41">
        <f t="shared" si="3"/>
        <v>1</v>
      </c>
      <c r="M25" s="87"/>
      <c r="N25" s="85"/>
    </row>
    <row r="26" ht="28.5" customHeight="1">
      <c r="A26" s="50">
        <v>22.0</v>
      </c>
      <c r="B26" s="51" t="s">
        <v>222</v>
      </c>
      <c r="C26" s="75" t="s">
        <v>587</v>
      </c>
      <c r="D26" s="51" t="s">
        <v>17</v>
      </c>
      <c r="E26" s="52"/>
      <c r="F26" s="52"/>
      <c r="G26" s="52"/>
      <c r="H26" s="52"/>
      <c r="I26" s="52"/>
      <c r="J26" s="52"/>
      <c r="K26" s="59" t="s">
        <v>634</v>
      </c>
      <c r="L26" s="41">
        <f t="shared" si="3"/>
        <v>1</v>
      </c>
      <c r="M26" s="87"/>
      <c r="N26" s="85"/>
    </row>
    <row r="27" ht="28.5" customHeight="1">
      <c r="A27" s="50">
        <v>23.0</v>
      </c>
      <c r="B27" s="51" t="s">
        <v>227</v>
      </c>
      <c r="C27" s="78" t="s">
        <v>635</v>
      </c>
      <c r="D27" s="51" t="s">
        <v>17</v>
      </c>
      <c r="E27" s="52"/>
      <c r="F27" s="52"/>
      <c r="G27" s="52"/>
      <c r="H27" s="52"/>
      <c r="I27" s="52"/>
      <c r="J27" s="52"/>
      <c r="K27" s="59" t="s">
        <v>636</v>
      </c>
      <c r="L27" s="41">
        <f t="shared" si="3"/>
        <v>1</v>
      </c>
      <c r="M27" s="87"/>
      <c r="N27" s="85"/>
    </row>
    <row r="28" ht="28.5" customHeight="1">
      <c r="A28" s="50">
        <v>24.0</v>
      </c>
      <c r="B28" s="51" t="s">
        <v>231</v>
      </c>
      <c r="C28" s="75" t="s">
        <v>578</v>
      </c>
      <c r="D28" s="51" t="s">
        <v>9</v>
      </c>
      <c r="E28" s="56" t="s">
        <v>579</v>
      </c>
      <c r="F28" s="56" t="s">
        <v>580</v>
      </c>
      <c r="G28" s="56" t="s">
        <v>581</v>
      </c>
      <c r="H28" s="56" t="s">
        <v>321</v>
      </c>
      <c r="I28" s="56" t="s">
        <v>582</v>
      </c>
      <c r="J28" s="56">
        <v>11.0</v>
      </c>
      <c r="K28" s="64" t="s">
        <v>583</v>
      </c>
      <c r="M28" s="87"/>
      <c r="N28" s="85"/>
    </row>
    <row r="29" ht="28.5" customHeight="1">
      <c r="A29" s="50" t="s">
        <v>637</v>
      </c>
      <c r="B29" s="51" t="s">
        <v>638</v>
      </c>
      <c r="C29" s="75" t="s">
        <v>578</v>
      </c>
      <c r="D29" s="51" t="s">
        <v>9</v>
      </c>
      <c r="E29" s="56" t="s">
        <v>639</v>
      </c>
      <c r="F29" s="56" t="s">
        <v>640</v>
      </c>
      <c r="G29" s="56" t="s">
        <v>373</v>
      </c>
      <c r="H29" s="56" t="s">
        <v>239</v>
      </c>
      <c r="I29" s="56" t="s">
        <v>641</v>
      </c>
      <c r="J29" s="56">
        <v>12.0</v>
      </c>
      <c r="K29" s="64" t="s">
        <v>642</v>
      </c>
      <c r="M29" s="87"/>
      <c r="N29" s="85"/>
    </row>
    <row r="30" ht="28.5" customHeight="1">
      <c r="A30" s="50" t="s">
        <v>643</v>
      </c>
      <c r="B30" s="51" t="s">
        <v>644</v>
      </c>
      <c r="C30" s="75" t="s">
        <v>578</v>
      </c>
      <c r="D30" s="51" t="s">
        <v>9</v>
      </c>
      <c r="E30" s="56">
        <v>2.32</v>
      </c>
      <c r="F30" s="56">
        <v>3.83</v>
      </c>
      <c r="G30" s="56">
        <v>1.67</v>
      </c>
      <c r="H30" s="56">
        <v>3.37</v>
      </c>
      <c r="I30" s="56">
        <v>8.88</v>
      </c>
      <c r="J30" s="56">
        <v>13.0</v>
      </c>
      <c r="K30" s="64" t="s">
        <v>645</v>
      </c>
      <c r="M30" s="87"/>
      <c r="N30" s="85"/>
    </row>
    <row r="31" ht="28.5" customHeight="1">
      <c r="A31" s="50">
        <v>26.0</v>
      </c>
      <c r="B31" s="51" t="s">
        <v>52</v>
      </c>
      <c r="C31" s="78" t="s">
        <v>646</v>
      </c>
      <c r="D31" s="51" t="s">
        <v>9</v>
      </c>
      <c r="E31" s="56" t="s">
        <v>647</v>
      </c>
      <c r="F31" s="56" t="s">
        <v>648</v>
      </c>
      <c r="G31" s="56" t="s">
        <v>276</v>
      </c>
      <c r="H31" s="56" t="s">
        <v>649</v>
      </c>
      <c r="I31" s="56" t="s">
        <v>650</v>
      </c>
      <c r="J31" s="56">
        <v>14.0</v>
      </c>
      <c r="K31" s="83"/>
      <c r="M31" s="87"/>
      <c r="N31" s="85"/>
    </row>
    <row r="32" ht="28.5" customHeight="1">
      <c r="A32" s="50">
        <v>27.0</v>
      </c>
      <c r="B32" s="51" t="s">
        <v>54</v>
      </c>
      <c r="C32" s="78" t="s">
        <v>646</v>
      </c>
      <c r="D32" s="51" t="s">
        <v>21</v>
      </c>
      <c r="E32" s="53" t="s">
        <v>244</v>
      </c>
      <c r="F32" s="53" t="s">
        <v>245</v>
      </c>
      <c r="G32" s="53" t="s">
        <v>246</v>
      </c>
      <c r="H32" s="53" t="s">
        <v>247</v>
      </c>
      <c r="I32" s="53" t="s">
        <v>248</v>
      </c>
      <c r="J32" s="53" t="s">
        <v>651</v>
      </c>
      <c r="K32" s="83"/>
      <c r="M32" s="87"/>
      <c r="N32" s="85"/>
    </row>
    <row r="33" ht="28.5" customHeight="1">
      <c r="A33" s="50">
        <v>28.0</v>
      </c>
      <c r="B33" s="51" t="s">
        <v>55</v>
      </c>
      <c r="C33" s="78" t="s">
        <v>646</v>
      </c>
      <c r="D33" s="51" t="s">
        <v>9</v>
      </c>
      <c r="E33" s="56"/>
      <c r="F33" s="56"/>
      <c r="G33" s="56"/>
      <c r="H33" s="56"/>
      <c r="I33" s="56"/>
      <c r="J33" s="52"/>
      <c r="K33" s="64" t="s">
        <v>652</v>
      </c>
      <c r="M33" s="87"/>
      <c r="N33" s="85"/>
    </row>
    <row r="34" ht="28.5" customHeight="1">
      <c r="A34" s="50">
        <v>29.0</v>
      </c>
      <c r="B34" s="51" t="s">
        <v>58</v>
      </c>
      <c r="C34" s="78" t="s">
        <v>653</v>
      </c>
      <c r="D34" s="51" t="s">
        <v>21</v>
      </c>
      <c r="E34" s="52"/>
      <c r="F34" s="52"/>
      <c r="G34" s="52"/>
      <c r="H34" s="52"/>
      <c r="I34" s="52"/>
      <c r="J34" s="52"/>
      <c r="K34" s="64" t="s">
        <v>654</v>
      </c>
      <c r="M34" s="87"/>
      <c r="N34" s="85"/>
    </row>
    <row r="35" ht="28.5" customHeight="1">
      <c r="A35" s="50">
        <v>30.0</v>
      </c>
      <c r="B35" s="51" t="s">
        <v>262</v>
      </c>
      <c r="C35" s="75" t="s">
        <v>653</v>
      </c>
      <c r="D35" s="51" t="s">
        <v>17</v>
      </c>
      <c r="E35" s="52"/>
      <c r="F35" s="52"/>
      <c r="G35" s="52"/>
      <c r="H35" s="52"/>
      <c r="I35" s="52"/>
      <c r="J35" s="52"/>
      <c r="K35" s="59" t="s">
        <v>636</v>
      </c>
      <c r="L35" s="41">
        <f>counta(E35:K35)</f>
        <v>1</v>
      </c>
      <c r="M35" s="87"/>
      <c r="N35" s="84"/>
    </row>
    <row r="36" ht="28.5" customHeight="1">
      <c r="A36" s="50">
        <v>31.0</v>
      </c>
      <c r="B36" s="51" t="s">
        <v>60</v>
      </c>
      <c r="C36" s="78" t="s">
        <v>653</v>
      </c>
      <c r="D36" s="51" t="s">
        <v>21</v>
      </c>
      <c r="E36" s="52"/>
      <c r="F36" s="52"/>
      <c r="G36" s="52"/>
      <c r="H36" s="52"/>
      <c r="I36" s="52"/>
      <c r="J36" s="52"/>
      <c r="K36" s="64" t="s">
        <v>655</v>
      </c>
      <c r="M36" s="87"/>
      <c r="N36" s="85"/>
    </row>
    <row r="37" ht="28.5" customHeight="1">
      <c r="A37" s="50">
        <v>32.0</v>
      </c>
      <c r="B37" s="51" t="s">
        <v>62</v>
      </c>
      <c r="C37" s="78" t="s">
        <v>653</v>
      </c>
      <c r="D37" s="51" t="s">
        <v>21</v>
      </c>
      <c r="E37" s="52"/>
      <c r="F37" s="52"/>
      <c r="G37" s="52"/>
      <c r="H37" s="52"/>
      <c r="I37" s="52"/>
      <c r="J37" s="52"/>
      <c r="K37" s="64" t="s">
        <v>654</v>
      </c>
      <c r="M37" s="87"/>
      <c r="N37" s="84"/>
    </row>
    <row r="38" ht="28.5" customHeight="1">
      <c r="A38" s="50">
        <v>33.0</v>
      </c>
      <c r="B38" s="51" t="s">
        <v>656</v>
      </c>
      <c r="C38" s="75" t="s">
        <v>657</v>
      </c>
      <c r="D38" s="51" t="s">
        <v>17</v>
      </c>
      <c r="E38" s="56" t="s">
        <v>658</v>
      </c>
      <c r="F38" s="56" t="s">
        <v>659</v>
      </c>
      <c r="G38" s="56" t="s">
        <v>660</v>
      </c>
      <c r="H38" s="56" t="s">
        <v>661</v>
      </c>
      <c r="I38" s="56" t="s">
        <v>662</v>
      </c>
      <c r="J38" s="56">
        <v>16.0</v>
      </c>
      <c r="K38" s="59" t="s">
        <v>636</v>
      </c>
      <c r="L38" s="41">
        <f t="shared" ref="L38:L40" si="4">counta(E38:K38)</f>
        <v>7</v>
      </c>
      <c r="M38" s="87"/>
      <c r="N38" s="85"/>
    </row>
    <row r="39" ht="28.5" customHeight="1">
      <c r="A39" s="50">
        <v>34.0</v>
      </c>
      <c r="B39" s="51" t="s">
        <v>284</v>
      </c>
      <c r="C39" s="75" t="s">
        <v>657</v>
      </c>
      <c r="D39" s="51" t="s">
        <v>17</v>
      </c>
      <c r="E39" s="52"/>
      <c r="F39" s="52"/>
      <c r="G39" s="52"/>
      <c r="H39" s="52"/>
      <c r="I39" s="52"/>
      <c r="J39" s="52"/>
      <c r="K39" s="59" t="s">
        <v>663</v>
      </c>
      <c r="L39" s="41">
        <f t="shared" si="4"/>
        <v>1</v>
      </c>
      <c r="M39" s="87"/>
      <c r="N39" s="85"/>
    </row>
    <row r="40" ht="28.5" customHeight="1">
      <c r="A40" s="50">
        <v>35.0</v>
      </c>
      <c r="B40" s="51" t="s">
        <v>290</v>
      </c>
      <c r="C40" s="75" t="s">
        <v>664</v>
      </c>
      <c r="D40" s="51" t="s">
        <v>17</v>
      </c>
      <c r="E40" s="53">
        <v>48.44</v>
      </c>
      <c r="F40" s="53">
        <v>49.3</v>
      </c>
      <c r="G40" s="53">
        <v>53.6</v>
      </c>
      <c r="H40" s="53" t="s">
        <v>291</v>
      </c>
      <c r="I40" s="53">
        <v>52.26</v>
      </c>
      <c r="J40" s="53" t="s">
        <v>665</v>
      </c>
      <c r="K40" s="64" t="s">
        <v>636</v>
      </c>
      <c r="L40" s="41">
        <f t="shared" si="4"/>
        <v>7</v>
      </c>
      <c r="M40" s="87"/>
      <c r="N40" s="84"/>
    </row>
    <row r="41" ht="28.5" customHeight="1">
      <c r="A41" s="50">
        <v>36.0</v>
      </c>
      <c r="B41" s="51" t="s">
        <v>64</v>
      </c>
      <c r="C41" s="78" t="s">
        <v>590</v>
      </c>
      <c r="D41" s="51" t="s">
        <v>9</v>
      </c>
      <c r="E41" s="53">
        <v>39.36</v>
      </c>
      <c r="F41" s="53">
        <v>46.37</v>
      </c>
      <c r="G41" s="53">
        <v>45.86</v>
      </c>
      <c r="H41" s="53">
        <v>53.35</v>
      </c>
      <c r="I41" s="53" t="s">
        <v>297</v>
      </c>
      <c r="J41" s="53" t="s">
        <v>436</v>
      </c>
      <c r="K41" s="64" t="s">
        <v>666</v>
      </c>
      <c r="M41" s="87"/>
      <c r="N41" s="85"/>
    </row>
    <row r="42" ht="28.5" customHeight="1">
      <c r="A42" s="50">
        <v>37.0</v>
      </c>
      <c r="B42" s="51" t="s">
        <v>303</v>
      </c>
      <c r="C42" s="88" t="s">
        <v>667</v>
      </c>
      <c r="D42" s="51" t="s">
        <v>9</v>
      </c>
      <c r="E42" s="52"/>
      <c r="F42" s="52"/>
      <c r="G42" s="52"/>
      <c r="H42" s="52"/>
      <c r="I42" s="52"/>
      <c r="J42" s="52"/>
      <c r="K42" s="64" t="s">
        <v>668</v>
      </c>
      <c r="M42" s="87"/>
      <c r="N42" s="85"/>
    </row>
    <row r="43" ht="28.5" customHeight="1">
      <c r="A43" s="50">
        <v>38.0</v>
      </c>
      <c r="B43" s="51" t="s">
        <v>309</v>
      </c>
      <c r="C43" s="78" t="s">
        <v>669</v>
      </c>
      <c r="D43" s="51" t="s">
        <v>9</v>
      </c>
      <c r="E43" s="52"/>
      <c r="F43" s="52"/>
      <c r="G43" s="52"/>
      <c r="H43" s="52"/>
      <c r="I43" s="52"/>
      <c r="J43" s="52"/>
      <c r="K43" s="64" t="s">
        <v>670</v>
      </c>
      <c r="M43" s="87"/>
      <c r="N43" s="85"/>
    </row>
    <row r="44" ht="28.5" customHeight="1">
      <c r="A44" s="50">
        <v>39.0</v>
      </c>
      <c r="B44" s="60" t="s">
        <v>66</v>
      </c>
      <c r="C44" s="78" t="s">
        <v>578</v>
      </c>
      <c r="D44" s="51" t="s">
        <v>9</v>
      </c>
      <c r="E44" s="52"/>
      <c r="F44" s="52"/>
      <c r="G44" s="52"/>
      <c r="H44" s="52"/>
      <c r="I44" s="52"/>
      <c r="J44" s="52"/>
      <c r="K44" s="64" t="s">
        <v>671</v>
      </c>
      <c r="M44" s="87"/>
      <c r="N44" s="85"/>
    </row>
    <row r="45" ht="28.5" customHeight="1">
      <c r="A45" s="50">
        <v>40.0</v>
      </c>
      <c r="B45" s="51" t="s">
        <v>67</v>
      </c>
      <c r="C45" s="78" t="s">
        <v>672</v>
      </c>
      <c r="D45" s="51" t="s">
        <v>9</v>
      </c>
      <c r="E45" s="52"/>
      <c r="F45" s="52"/>
      <c r="G45" s="52"/>
      <c r="H45" s="52"/>
      <c r="I45" s="52"/>
      <c r="J45" s="52"/>
      <c r="K45" s="64" t="s">
        <v>673</v>
      </c>
      <c r="M45" s="87"/>
      <c r="N45" s="85"/>
    </row>
    <row r="46" ht="28.5" customHeight="1">
      <c r="A46" s="50">
        <v>41.0</v>
      </c>
      <c r="B46" s="51" t="s">
        <v>325</v>
      </c>
      <c r="C46" s="75" t="s">
        <v>578</v>
      </c>
      <c r="D46" s="51" t="s">
        <v>9</v>
      </c>
      <c r="E46" s="56" t="s">
        <v>674</v>
      </c>
      <c r="F46" s="56" t="s">
        <v>675</v>
      </c>
      <c r="G46" s="56" t="s">
        <v>676</v>
      </c>
      <c r="H46" s="56" t="s">
        <v>677</v>
      </c>
      <c r="I46" s="56" t="s">
        <v>678</v>
      </c>
      <c r="J46" s="56">
        <v>19.0</v>
      </c>
      <c r="K46" s="64" t="s">
        <v>679</v>
      </c>
      <c r="M46" s="87"/>
      <c r="N46" s="85"/>
    </row>
    <row r="47" ht="28.5" customHeight="1">
      <c r="A47" s="50">
        <v>42.0</v>
      </c>
      <c r="B47" s="51" t="s">
        <v>70</v>
      </c>
      <c r="C47" s="75" t="s">
        <v>680</v>
      </c>
      <c r="D47" s="51" t="s">
        <v>9</v>
      </c>
      <c r="E47" s="56" t="s">
        <v>681</v>
      </c>
      <c r="F47" s="56" t="s">
        <v>682</v>
      </c>
      <c r="G47" s="56" t="s">
        <v>683</v>
      </c>
      <c r="H47" s="56" t="s">
        <v>684</v>
      </c>
      <c r="I47" s="56" t="s">
        <v>685</v>
      </c>
      <c r="J47" s="56">
        <v>20.0</v>
      </c>
      <c r="K47" s="64" t="s">
        <v>679</v>
      </c>
      <c r="M47" s="87"/>
      <c r="N47" s="84"/>
    </row>
    <row r="48" ht="28.5" customHeight="1">
      <c r="A48" s="50">
        <v>43.0</v>
      </c>
      <c r="B48" s="51" t="s">
        <v>346</v>
      </c>
      <c r="C48" s="75" t="s">
        <v>686</v>
      </c>
      <c r="D48" s="51" t="s">
        <v>9</v>
      </c>
      <c r="E48" s="56" t="s">
        <v>687</v>
      </c>
      <c r="F48" s="56" t="s">
        <v>688</v>
      </c>
      <c r="G48" s="56" t="s">
        <v>689</v>
      </c>
      <c r="H48" s="56" t="s">
        <v>690</v>
      </c>
      <c r="I48" s="56" t="s">
        <v>691</v>
      </c>
      <c r="J48" s="56">
        <v>21.0</v>
      </c>
      <c r="K48" s="64" t="s">
        <v>692</v>
      </c>
      <c r="M48" s="87"/>
      <c r="N48" s="85"/>
    </row>
    <row r="49" ht="28.5" customHeight="1">
      <c r="A49" s="50">
        <v>44.0</v>
      </c>
      <c r="B49" s="51" t="s">
        <v>352</v>
      </c>
      <c r="C49" s="78" t="s">
        <v>693</v>
      </c>
      <c r="D49" s="51" t="s">
        <v>17</v>
      </c>
      <c r="E49" s="56" t="s">
        <v>694</v>
      </c>
      <c r="F49" s="56" t="s">
        <v>695</v>
      </c>
      <c r="G49" s="56" t="s">
        <v>696</v>
      </c>
      <c r="H49" s="56" t="s">
        <v>697</v>
      </c>
      <c r="I49" s="56" t="s">
        <v>353</v>
      </c>
      <c r="J49" s="56">
        <v>22.0</v>
      </c>
      <c r="K49" s="89" t="s">
        <v>698</v>
      </c>
      <c r="L49" s="41">
        <f t="shared" ref="L49:L50" si="5">counta(E49:K49)</f>
        <v>7</v>
      </c>
      <c r="M49" s="87"/>
      <c r="N49" s="85"/>
    </row>
    <row r="50" ht="28.5" customHeight="1">
      <c r="A50" s="50">
        <v>45.0</v>
      </c>
      <c r="B50" s="51" t="s">
        <v>74</v>
      </c>
      <c r="C50" s="75" t="s">
        <v>699</v>
      </c>
      <c r="D50" s="51" t="s">
        <v>17</v>
      </c>
      <c r="E50" s="52"/>
      <c r="F50" s="52"/>
      <c r="G50" s="52"/>
      <c r="H50" s="52"/>
      <c r="I50" s="52"/>
      <c r="J50" s="52"/>
      <c r="K50" s="59" t="s">
        <v>596</v>
      </c>
      <c r="L50" s="41">
        <f t="shared" si="5"/>
        <v>1</v>
      </c>
      <c r="M50" s="87"/>
      <c r="N50" s="85"/>
    </row>
    <row r="51" ht="28.5" customHeight="1">
      <c r="A51" s="50">
        <v>46.0</v>
      </c>
      <c r="B51" s="51" t="s">
        <v>361</v>
      </c>
      <c r="C51" s="78" t="s">
        <v>693</v>
      </c>
      <c r="D51" s="51" t="s">
        <v>21</v>
      </c>
      <c r="E51" s="53" t="s">
        <v>362</v>
      </c>
      <c r="F51" s="53" t="s">
        <v>363</v>
      </c>
      <c r="G51" s="53" t="s">
        <v>364</v>
      </c>
      <c r="H51" s="53">
        <v>3.79</v>
      </c>
      <c r="I51" s="53"/>
      <c r="J51" s="53"/>
      <c r="K51" s="64" t="s">
        <v>700</v>
      </c>
      <c r="M51" s="87"/>
      <c r="N51" s="85"/>
    </row>
    <row r="52" ht="28.5" customHeight="1">
      <c r="A52" s="50">
        <v>47.0</v>
      </c>
      <c r="B52" s="60" t="s">
        <v>370</v>
      </c>
      <c r="C52" s="75" t="s">
        <v>693</v>
      </c>
      <c r="D52" s="51" t="s">
        <v>9</v>
      </c>
      <c r="E52" s="53">
        <v>3.44</v>
      </c>
      <c r="F52" s="53">
        <v>4.06</v>
      </c>
      <c r="G52" s="53">
        <v>3.41</v>
      </c>
      <c r="H52" s="53">
        <v>4.22</v>
      </c>
      <c r="I52" s="53">
        <v>3.86</v>
      </c>
      <c r="J52" s="53" t="s">
        <v>701</v>
      </c>
      <c r="K52" s="64" t="s">
        <v>702</v>
      </c>
      <c r="M52" s="87"/>
      <c r="N52" s="85"/>
    </row>
    <row r="53" ht="28.5" customHeight="1">
      <c r="A53" s="50">
        <v>48.0</v>
      </c>
      <c r="B53" s="60" t="s">
        <v>375</v>
      </c>
      <c r="C53" s="75" t="s">
        <v>693</v>
      </c>
      <c r="D53" s="51" t="s">
        <v>17</v>
      </c>
      <c r="E53" s="52"/>
      <c r="F53" s="52"/>
      <c r="G53" s="52"/>
      <c r="H53" s="52"/>
      <c r="I53" s="52"/>
      <c r="J53" s="52"/>
      <c r="K53" s="59" t="s">
        <v>596</v>
      </c>
      <c r="L53" s="41">
        <f t="shared" ref="L53:L57" si="6">counta(E53:K53)</f>
        <v>1</v>
      </c>
      <c r="M53" s="87"/>
      <c r="N53" s="85"/>
    </row>
    <row r="54" ht="28.5" customHeight="1">
      <c r="A54" s="50">
        <v>49.0</v>
      </c>
      <c r="B54" s="51" t="s">
        <v>381</v>
      </c>
      <c r="C54" s="75" t="s">
        <v>664</v>
      </c>
      <c r="D54" s="51" t="s">
        <v>17</v>
      </c>
      <c r="E54" s="52"/>
      <c r="F54" s="52"/>
      <c r="G54" s="52"/>
      <c r="H54" s="52"/>
      <c r="I54" s="52"/>
      <c r="J54" s="52"/>
      <c r="K54" s="59" t="s">
        <v>663</v>
      </c>
      <c r="L54" s="41">
        <f t="shared" si="6"/>
        <v>1</v>
      </c>
      <c r="M54" s="87"/>
      <c r="N54" s="85"/>
    </row>
    <row r="55" ht="28.5" customHeight="1">
      <c r="A55" s="50">
        <v>49.0</v>
      </c>
      <c r="B55" s="51" t="s">
        <v>385</v>
      </c>
      <c r="C55" s="75" t="s">
        <v>703</v>
      </c>
      <c r="D55" s="51" t="s">
        <v>17</v>
      </c>
      <c r="E55" s="52"/>
      <c r="F55" s="52"/>
      <c r="G55" s="52"/>
      <c r="H55" s="52"/>
      <c r="I55" s="52"/>
      <c r="J55" s="52"/>
      <c r="K55" s="59" t="s">
        <v>663</v>
      </c>
      <c r="L55" s="41">
        <f t="shared" si="6"/>
        <v>1</v>
      </c>
      <c r="M55" s="87"/>
      <c r="N55" s="85"/>
    </row>
    <row r="56" ht="27.75" customHeight="1">
      <c r="A56" s="50">
        <v>50.0</v>
      </c>
      <c r="B56" s="51" t="s">
        <v>390</v>
      </c>
      <c r="C56" s="75" t="s">
        <v>704</v>
      </c>
      <c r="D56" s="51" t="s">
        <v>17</v>
      </c>
      <c r="E56" s="90"/>
      <c r="F56" s="90"/>
      <c r="G56" s="90"/>
      <c r="H56" s="56" t="s">
        <v>705</v>
      </c>
      <c r="I56" s="56" t="s">
        <v>706</v>
      </c>
      <c r="J56" s="56">
        <v>24.0</v>
      </c>
      <c r="K56" s="59" t="s">
        <v>707</v>
      </c>
      <c r="L56" s="41">
        <f t="shared" si="6"/>
        <v>4</v>
      </c>
      <c r="M56" s="87"/>
      <c r="N56" s="84"/>
    </row>
    <row r="57" ht="28.5" customHeight="1">
      <c r="A57" s="50">
        <v>51.0</v>
      </c>
      <c r="B57" s="51" t="s">
        <v>396</v>
      </c>
      <c r="C57" s="75" t="s">
        <v>703</v>
      </c>
      <c r="D57" s="51" t="s">
        <v>17</v>
      </c>
      <c r="E57" s="53">
        <v>79.38</v>
      </c>
      <c r="F57" s="53">
        <v>78.79</v>
      </c>
      <c r="G57" s="53">
        <v>80.47</v>
      </c>
      <c r="H57" s="53">
        <v>77.35</v>
      </c>
      <c r="I57" s="53" t="s">
        <v>708</v>
      </c>
      <c r="J57" s="53" t="s">
        <v>709</v>
      </c>
      <c r="K57" s="64" t="s">
        <v>588</v>
      </c>
      <c r="L57" s="41">
        <f t="shared" si="6"/>
        <v>7</v>
      </c>
      <c r="M57" s="87"/>
      <c r="N57" s="85"/>
    </row>
    <row r="58" ht="28.5" customHeight="1">
      <c r="A58" s="50">
        <v>52.0</v>
      </c>
      <c r="B58" s="60" t="s">
        <v>80</v>
      </c>
      <c r="C58" s="75" t="s">
        <v>710</v>
      </c>
      <c r="D58" s="51" t="s">
        <v>9</v>
      </c>
      <c r="E58" s="52"/>
      <c r="F58" s="52"/>
      <c r="G58" s="52"/>
      <c r="H58" s="52"/>
      <c r="I58" s="52"/>
      <c r="J58" s="52"/>
      <c r="K58" s="83"/>
      <c r="M58" s="87"/>
      <c r="N58" s="85"/>
    </row>
    <row r="59" ht="28.5" customHeight="1">
      <c r="A59" s="50">
        <v>53.0</v>
      </c>
      <c r="B59" s="60" t="s">
        <v>406</v>
      </c>
      <c r="C59" s="75" t="s">
        <v>588</v>
      </c>
      <c r="D59" s="51" t="s">
        <v>21</v>
      </c>
      <c r="E59" s="56" t="s">
        <v>711</v>
      </c>
      <c r="F59" s="56" t="s">
        <v>712</v>
      </c>
      <c r="G59" s="56" t="s">
        <v>713</v>
      </c>
      <c r="H59" s="56" t="s">
        <v>275</v>
      </c>
      <c r="I59" s="56" t="s">
        <v>714</v>
      </c>
      <c r="J59" s="56">
        <v>26.0</v>
      </c>
      <c r="K59" s="64" t="s">
        <v>715</v>
      </c>
      <c r="M59" s="87"/>
      <c r="N59" s="85"/>
    </row>
    <row r="60" ht="28.5" customHeight="1">
      <c r="A60" s="50">
        <v>54.0</v>
      </c>
      <c r="B60" s="51" t="s">
        <v>82</v>
      </c>
      <c r="C60" s="75" t="s">
        <v>559</v>
      </c>
      <c r="D60" s="51" t="s">
        <v>9</v>
      </c>
      <c r="E60" s="52"/>
      <c r="F60" s="52"/>
      <c r="G60" s="52"/>
      <c r="H60" s="52"/>
      <c r="I60" s="52"/>
      <c r="J60" s="52"/>
      <c r="K60" s="64" t="s">
        <v>716</v>
      </c>
      <c r="M60" s="87"/>
      <c r="N60" s="85"/>
    </row>
    <row r="61" ht="28.5" customHeight="1">
      <c r="A61" s="50">
        <v>55.0</v>
      </c>
      <c r="B61" s="51" t="s">
        <v>717</v>
      </c>
      <c r="C61" s="75" t="s">
        <v>559</v>
      </c>
      <c r="D61" s="51" t="s">
        <v>9</v>
      </c>
      <c r="E61" s="52"/>
      <c r="F61" s="52"/>
      <c r="G61" s="52"/>
      <c r="H61" s="52"/>
      <c r="I61" s="52"/>
      <c r="J61" s="52"/>
      <c r="K61" s="64" t="s">
        <v>718</v>
      </c>
      <c r="M61" s="87"/>
      <c r="N61" s="85"/>
    </row>
    <row r="62" ht="28.5" customHeight="1">
      <c r="A62" s="50">
        <v>56.0</v>
      </c>
      <c r="B62" s="51" t="s">
        <v>418</v>
      </c>
      <c r="C62" s="75" t="s">
        <v>559</v>
      </c>
      <c r="D62" s="51" t="s">
        <v>9</v>
      </c>
      <c r="E62" s="52"/>
      <c r="F62" s="52"/>
      <c r="G62" s="52"/>
      <c r="H62" s="52"/>
      <c r="I62" s="52"/>
      <c r="J62" s="52"/>
      <c r="K62" s="64" t="s">
        <v>719</v>
      </c>
      <c r="M62" s="87"/>
      <c r="N62" s="85"/>
    </row>
    <row r="63" ht="28.5" customHeight="1">
      <c r="A63" s="50">
        <v>57.0</v>
      </c>
      <c r="B63" s="51" t="s">
        <v>424</v>
      </c>
      <c r="C63" s="75" t="s">
        <v>559</v>
      </c>
      <c r="D63" s="51" t="s">
        <v>9</v>
      </c>
      <c r="E63" s="52"/>
      <c r="F63" s="52"/>
      <c r="G63" s="52"/>
      <c r="H63" s="52"/>
      <c r="I63" s="52"/>
      <c r="J63" s="52"/>
      <c r="K63" s="64" t="s">
        <v>720</v>
      </c>
      <c r="M63" s="87"/>
      <c r="N63" s="85"/>
    </row>
    <row r="64" ht="28.5" customHeight="1">
      <c r="A64" s="50">
        <v>58.0</v>
      </c>
      <c r="B64" s="51" t="s">
        <v>430</v>
      </c>
      <c r="C64" s="75" t="s">
        <v>721</v>
      </c>
      <c r="D64" s="51" t="s">
        <v>17</v>
      </c>
      <c r="E64" s="91"/>
      <c r="F64" s="56" t="s">
        <v>722</v>
      </c>
      <c r="G64" s="91"/>
      <c r="H64" s="91"/>
      <c r="I64" s="91"/>
      <c r="J64" s="52"/>
      <c r="K64" s="59" t="s">
        <v>723</v>
      </c>
      <c r="L64" s="41">
        <f>counta(E64:K64)</f>
        <v>2</v>
      </c>
      <c r="M64" s="87"/>
      <c r="N64" s="84"/>
    </row>
    <row r="65" ht="28.5" customHeight="1">
      <c r="A65" s="50">
        <v>59.0</v>
      </c>
      <c r="B65" s="51" t="s">
        <v>84</v>
      </c>
      <c r="C65" s="78" t="s">
        <v>724</v>
      </c>
      <c r="D65" s="51" t="s">
        <v>9</v>
      </c>
      <c r="E65" s="52"/>
      <c r="F65" s="52"/>
      <c r="G65" s="52"/>
      <c r="H65" s="52"/>
      <c r="I65" s="52"/>
      <c r="J65" s="52"/>
      <c r="K65" s="64" t="s">
        <v>725</v>
      </c>
      <c r="M65" s="87"/>
      <c r="N65" s="85"/>
    </row>
    <row r="66" ht="28.5" customHeight="1">
      <c r="A66" s="50">
        <v>60.0</v>
      </c>
      <c r="B66" s="51" t="s">
        <v>85</v>
      </c>
      <c r="C66" s="78" t="s">
        <v>724</v>
      </c>
      <c r="D66" s="51" t="s">
        <v>9</v>
      </c>
      <c r="E66" s="52"/>
      <c r="F66" s="52"/>
      <c r="G66" s="52"/>
      <c r="H66" s="52"/>
      <c r="I66" s="52"/>
      <c r="J66" s="52"/>
      <c r="K66" s="64" t="s">
        <v>726</v>
      </c>
      <c r="M66" s="87"/>
      <c r="N66" s="85"/>
    </row>
    <row r="67" ht="28.5" customHeight="1">
      <c r="A67" s="50">
        <v>61.0</v>
      </c>
      <c r="B67" s="51" t="s">
        <v>443</v>
      </c>
      <c r="C67" s="75" t="s">
        <v>703</v>
      </c>
      <c r="D67" s="51" t="s">
        <v>17</v>
      </c>
      <c r="E67" s="56" t="s">
        <v>727</v>
      </c>
      <c r="F67" s="56" t="s">
        <v>728</v>
      </c>
      <c r="G67" s="56" t="s">
        <v>729</v>
      </c>
      <c r="H67" s="56" t="s">
        <v>730</v>
      </c>
      <c r="I67" s="52"/>
      <c r="J67" s="52"/>
      <c r="K67" s="59" t="s">
        <v>731</v>
      </c>
      <c r="L67" s="41">
        <f t="shared" ref="L67:L68" si="7">counta(E67:K67)</f>
        <v>5</v>
      </c>
      <c r="M67" s="87"/>
      <c r="N67" s="85"/>
    </row>
    <row r="68" ht="28.5" customHeight="1">
      <c r="A68" s="50">
        <v>62.0</v>
      </c>
      <c r="B68" s="51" t="s">
        <v>449</v>
      </c>
      <c r="C68" s="78" t="s">
        <v>732</v>
      </c>
      <c r="D68" s="51" t="s">
        <v>17</v>
      </c>
      <c r="E68" s="53">
        <v>75.63</v>
      </c>
      <c r="F68" s="53" t="s">
        <v>733</v>
      </c>
      <c r="G68" s="53" t="s">
        <v>734</v>
      </c>
      <c r="H68" s="53">
        <v>78.94</v>
      </c>
      <c r="I68" s="53">
        <v>87.23</v>
      </c>
      <c r="J68" s="53" t="s">
        <v>735</v>
      </c>
      <c r="K68" s="83"/>
      <c r="L68" s="41">
        <f t="shared" si="7"/>
        <v>6</v>
      </c>
      <c r="M68" s="87"/>
      <c r="N68" s="85"/>
    </row>
    <row r="69" ht="28.5" customHeight="1">
      <c r="A69" s="50">
        <v>63.0</v>
      </c>
      <c r="B69" s="51" t="s">
        <v>455</v>
      </c>
      <c r="C69" s="75" t="s">
        <v>664</v>
      </c>
      <c r="D69" s="51" t="s">
        <v>9</v>
      </c>
      <c r="E69" s="56" t="s">
        <v>456</v>
      </c>
      <c r="F69" s="53" t="s">
        <v>457</v>
      </c>
      <c r="G69" s="56" t="s">
        <v>458</v>
      </c>
      <c r="I69" s="52"/>
      <c r="J69" s="52"/>
      <c r="K69" s="64" t="s">
        <v>736</v>
      </c>
      <c r="M69" s="87"/>
      <c r="N69" s="85"/>
    </row>
    <row r="70" ht="28.5" customHeight="1">
      <c r="A70" s="50">
        <v>64.0</v>
      </c>
      <c r="B70" s="51" t="s">
        <v>464</v>
      </c>
      <c r="C70" s="78" t="s">
        <v>664</v>
      </c>
      <c r="D70" s="51" t="s">
        <v>9</v>
      </c>
      <c r="E70" s="56">
        <v>0.472</v>
      </c>
      <c r="F70" s="56">
        <v>0.444</v>
      </c>
      <c r="G70" s="65">
        <v>0.452</v>
      </c>
      <c r="H70" s="65">
        <v>0.418</v>
      </c>
      <c r="I70" s="65">
        <v>0.34</v>
      </c>
      <c r="J70" s="56">
        <v>28.0</v>
      </c>
      <c r="K70" s="83"/>
      <c r="M70" s="87"/>
      <c r="N70" s="85"/>
    </row>
    <row r="71" ht="28.5" customHeight="1">
      <c r="A71" s="50">
        <v>65.0</v>
      </c>
      <c r="B71" s="51" t="s">
        <v>737</v>
      </c>
      <c r="C71" s="78" t="s">
        <v>738</v>
      </c>
      <c r="D71" s="51" t="s">
        <v>17</v>
      </c>
      <c r="E71" s="53"/>
      <c r="F71" s="53"/>
      <c r="G71" s="53"/>
      <c r="H71" s="53"/>
      <c r="I71" s="53"/>
      <c r="J71" s="53"/>
      <c r="K71" s="59" t="s">
        <v>596</v>
      </c>
      <c r="L71" s="41">
        <f t="shared" ref="L71:L77" si="8">counta(E71:K71)</f>
        <v>1</v>
      </c>
      <c r="M71" s="87"/>
      <c r="N71" s="85"/>
    </row>
    <row r="72" ht="28.5" customHeight="1">
      <c r="A72" s="50">
        <v>66.0</v>
      </c>
      <c r="B72" s="51" t="s">
        <v>474</v>
      </c>
      <c r="C72" s="78" t="s">
        <v>738</v>
      </c>
      <c r="D72" s="51" t="s">
        <v>17</v>
      </c>
      <c r="E72" s="53" t="s">
        <v>475</v>
      </c>
      <c r="F72" s="53" t="s">
        <v>476</v>
      </c>
      <c r="G72" s="53" t="s">
        <v>477</v>
      </c>
      <c r="H72" s="53" t="s">
        <v>478</v>
      </c>
      <c r="I72" s="53" t="s">
        <v>479</v>
      </c>
      <c r="J72" s="53"/>
      <c r="K72" s="64"/>
      <c r="L72" s="41">
        <f t="shared" si="8"/>
        <v>5</v>
      </c>
      <c r="M72" s="87"/>
      <c r="N72" s="85"/>
    </row>
    <row r="73" ht="28.5" customHeight="1">
      <c r="A73" s="50">
        <v>67.0</v>
      </c>
      <c r="B73" s="51" t="s">
        <v>481</v>
      </c>
      <c r="C73" s="75" t="s">
        <v>738</v>
      </c>
      <c r="D73" s="51" t="s">
        <v>17</v>
      </c>
      <c r="E73" s="53" t="s">
        <v>482</v>
      </c>
      <c r="F73" s="53" t="s">
        <v>483</v>
      </c>
      <c r="G73" s="53" t="s">
        <v>484</v>
      </c>
      <c r="H73" s="53" t="s">
        <v>485</v>
      </c>
      <c r="I73" s="53" t="s">
        <v>486</v>
      </c>
      <c r="J73" s="53"/>
      <c r="K73" s="64"/>
      <c r="L73" s="41">
        <f t="shared" si="8"/>
        <v>5</v>
      </c>
      <c r="M73" s="87"/>
      <c r="N73" s="85"/>
    </row>
    <row r="74" ht="28.5" customHeight="1">
      <c r="A74" s="50">
        <v>68.0</v>
      </c>
      <c r="B74" s="51" t="s">
        <v>487</v>
      </c>
      <c r="C74" s="78" t="s">
        <v>738</v>
      </c>
      <c r="D74" s="51" t="s">
        <v>17</v>
      </c>
      <c r="E74" s="53" t="s">
        <v>488</v>
      </c>
      <c r="F74" s="53">
        <v>100.0</v>
      </c>
      <c r="G74" s="53">
        <v>100.0</v>
      </c>
      <c r="H74" s="53">
        <v>100.0</v>
      </c>
      <c r="I74" s="53">
        <v>100.0</v>
      </c>
      <c r="J74" s="53"/>
      <c r="K74" s="64"/>
      <c r="L74" s="41">
        <f t="shared" si="8"/>
        <v>5</v>
      </c>
      <c r="M74" s="87"/>
      <c r="N74" s="85"/>
    </row>
    <row r="75" ht="28.5" customHeight="1">
      <c r="A75" s="50">
        <v>69.0</v>
      </c>
      <c r="B75" s="60" t="s">
        <v>489</v>
      </c>
      <c r="C75" s="78" t="s">
        <v>738</v>
      </c>
      <c r="D75" s="51" t="s">
        <v>17</v>
      </c>
      <c r="E75" s="53" t="s">
        <v>490</v>
      </c>
      <c r="F75" s="53" t="s">
        <v>491</v>
      </c>
      <c r="G75" s="53" t="s">
        <v>492</v>
      </c>
      <c r="H75" s="53" t="s">
        <v>493</v>
      </c>
      <c r="I75" s="53" t="s">
        <v>494</v>
      </c>
      <c r="J75" s="53"/>
      <c r="K75" s="64"/>
      <c r="L75" s="41">
        <f t="shared" si="8"/>
        <v>5</v>
      </c>
      <c r="M75" s="87"/>
      <c r="N75" s="85"/>
    </row>
    <row r="76" ht="28.5" customHeight="1">
      <c r="A76" s="50">
        <v>70.0</v>
      </c>
      <c r="B76" s="60" t="s">
        <v>495</v>
      </c>
      <c r="C76" s="75"/>
      <c r="D76" s="51" t="s">
        <v>17</v>
      </c>
      <c r="E76" s="53" t="s">
        <v>739</v>
      </c>
      <c r="F76" s="53" t="s">
        <v>740</v>
      </c>
      <c r="G76" s="53" t="s">
        <v>741</v>
      </c>
      <c r="H76" s="53" t="s">
        <v>742</v>
      </c>
      <c r="I76" s="53" t="s">
        <v>743</v>
      </c>
      <c r="J76" s="53" t="s">
        <v>744</v>
      </c>
      <c r="K76" s="59" t="s">
        <v>632</v>
      </c>
      <c r="L76" s="41">
        <f t="shared" si="8"/>
        <v>7</v>
      </c>
      <c r="M76" s="87"/>
      <c r="N76" s="85"/>
    </row>
    <row r="77" ht="28.5" customHeight="1">
      <c r="A77" s="50">
        <v>71.0</v>
      </c>
      <c r="B77" s="60" t="s">
        <v>500</v>
      </c>
      <c r="C77" s="78" t="s">
        <v>738</v>
      </c>
      <c r="D77" s="51" t="s">
        <v>17</v>
      </c>
      <c r="E77" s="53"/>
      <c r="F77" s="53"/>
      <c r="G77" s="53"/>
      <c r="H77" s="53"/>
      <c r="I77" s="53"/>
      <c r="J77" s="53"/>
      <c r="K77" s="59" t="s">
        <v>596</v>
      </c>
      <c r="L77" s="41">
        <f t="shared" si="8"/>
        <v>1</v>
      </c>
      <c r="M77" s="87"/>
      <c r="N77" s="85"/>
    </row>
    <row r="78">
      <c r="A78" s="50" t="s">
        <v>507</v>
      </c>
      <c r="B78" s="60" t="s">
        <v>508</v>
      </c>
      <c r="C78" s="75"/>
      <c r="D78" s="51" t="s">
        <v>25</v>
      </c>
      <c r="E78" s="67"/>
      <c r="F78" s="67"/>
      <c r="G78" s="67"/>
      <c r="H78" s="67"/>
      <c r="I78" s="67"/>
      <c r="J78" s="67"/>
      <c r="K78" s="64" t="s">
        <v>745</v>
      </c>
      <c r="M78" s="87"/>
      <c r="N78" s="85"/>
    </row>
    <row r="79">
      <c r="A79" s="50" t="s">
        <v>514</v>
      </c>
      <c r="B79" s="60" t="s">
        <v>515</v>
      </c>
      <c r="C79" s="78"/>
      <c r="D79" s="51" t="s">
        <v>25</v>
      </c>
      <c r="E79" s="67"/>
      <c r="F79" s="67"/>
      <c r="G79" s="67"/>
      <c r="H79" s="67"/>
      <c r="I79" s="67"/>
      <c r="J79" s="67"/>
      <c r="K79" s="64" t="s">
        <v>746</v>
      </c>
      <c r="M79" s="87"/>
      <c r="N79" s="85"/>
    </row>
    <row r="80" ht="28.5" customHeight="1">
      <c r="A80" s="50">
        <v>73.0</v>
      </c>
      <c r="B80" s="51" t="s">
        <v>521</v>
      </c>
      <c r="C80" s="78"/>
      <c r="D80" s="51" t="s">
        <v>17</v>
      </c>
      <c r="E80" s="56" t="s">
        <v>747</v>
      </c>
      <c r="F80" s="56" t="s">
        <v>748</v>
      </c>
      <c r="G80" s="56" t="s">
        <v>749</v>
      </c>
      <c r="H80" s="56" t="s">
        <v>750</v>
      </c>
      <c r="I80" s="56" t="s">
        <v>751</v>
      </c>
      <c r="J80" s="56">
        <v>30.0</v>
      </c>
      <c r="K80" s="59" t="s">
        <v>632</v>
      </c>
      <c r="L80" s="41">
        <f>counta(E80:K80)</f>
        <v>7</v>
      </c>
      <c r="M80" s="87"/>
      <c r="N80" s="85"/>
    </row>
    <row r="81">
      <c r="A81" s="50">
        <v>74.0</v>
      </c>
      <c r="B81" s="51" t="s">
        <v>91</v>
      </c>
      <c r="C81" s="78"/>
      <c r="D81" s="51" t="s">
        <v>25</v>
      </c>
      <c r="E81" s="67"/>
      <c r="F81" s="67"/>
      <c r="G81" s="67"/>
      <c r="H81" s="67"/>
      <c r="I81" s="67"/>
      <c r="J81" s="67"/>
      <c r="K81" s="64" t="s">
        <v>752</v>
      </c>
      <c r="M81" s="87"/>
      <c r="N81" s="85"/>
    </row>
    <row r="82" ht="32.25" customHeight="1">
      <c r="A82" s="68">
        <v>75.0</v>
      </c>
      <c r="B82" s="64" t="s">
        <v>529</v>
      </c>
      <c r="C82" s="88" t="s">
        <v>597</v>
      </c>
      <c r="D82" s="51" t="s">
        <v>17</v>
      </c>
      <c r="E82" s="54"/>
      <c r="F82" s="54"/>
      <c r="G82" s="54"/>
      <c r="H82" s="54"/>
      <c r="I82" s="54"/>
      <c r="J82" s="54"/>
      <c r="K82" s="59" t="s">
        <v>753</v>
      </c>
      <c r="L82" s="41">
        <f>counta(E82:K82)</f>
        <v>1</v>
      </c>
      <c r="M82" s="87"/>
      <c r="N82" s="85"/>
    </row>
    <row r="83" ht="32.25" customHeight="1">
      <c r="A83" s="68">
        <v>76.0</v>
      </c>
      <c r="B83" s="64" t="s">
        <v>92</v>
      </c>
      <c r="C83" s="78" t="s">
        <v>754</v>
      </c>
      <c r="D83" s="51" t="s">
        <v>9</v>
      </c>
      <c r="E83" s="53">
        <v>157.03</v>
      </c>
      <c r="F83" s="53">
        <v>157.47</v>
      </c>
      <c r="G83" s="53">
        <v>148.16</v>
      </c>
      <c r="H83" s="53">
        <v>131.84</v>
      </c>
      <c r="I83" s="53" t="s">
        <v>535</v>
      </c>
      <c r="J83" s="53"/>
      <c r="K83" s="83"/>
      <c r="M83" s="87"/>
      <c r="N83" s="85"/>
    </row>
    <row r="84" ht="32.25" customHeight="1">
      <c r="A84" s="68">
        <v>77.0</v>
      </c>
      <c r="B84" s="64" t="s">
        <v>541</v>
      </c>
      <c r="C84" s="78" t="s">
        <v>738</v>
      </c>
      <c r="D84" s="51" t="s">
        <v>17</v>
      </c>
      <c r="E84" s="54"/>
      <c r="F84" s="54"/>
      <c r="G84" s="54"/>
      <c r="H84" s="54"/>
      <c r="I84" s="54"/>
      <c r="J84" s="54"/>
      <c r="K84" s="59" t="s">
        <v>596</v>
      </c>
      <c r="L84" s="41">
        <f t="shared" ref="L84:L85" si="9">counta(E84:K84)</f>
        <v>1</v>
      </c>
      <c r="M84" s="87"/>
      <c r="N84" s="84"/>
    </row>
    <row r="85" ht="32.25" customHeight="1">
      <c r="A85" s="68">
        <v>78.0</v>
      </c>
      <c r="B85" s="64" t="s">
        <v>547</v>
      </c>
      <c r="C85" s="88" t="s">
        <v>597</v>
      </c>
      <c r="D85" s="51" t="s">
        <v>17</v>
      </c>
      <c r="E85" s="54"/>
      <c r="F85" s="54"/>
      <c r="G85" s="54"/>
      <c r="H85" s="54"/>
      <c r="I85" s="54"/>
      <c r="J85" s="54"/>
      <c r="K85" s="59" t="s">
        <v>596</v>
      </c>
      <c r="L85" s="41">
        <f t="shared" si="9"/>
        <v>1</v>
      </c>
      <c r="M85" s="87"/>
      <c r="N85" s="85"/>
    </row>
    <row r="86">
      <c r="A86" s="70"/>
      <c r="K86" s="92"/>
      <c r="M86" s="87"/>
      <c r="N86" s="84"/>
    </row>
    <row r="87">
      <c r="A87" s="70"/>
      <c r="E87" s="74">
        <v>43.0</v>
      </c>
      <c r="K87" s="92"/>
      <c r="M87" s="87"/>
      <c r="N87" s="85"/>
    </row>
    <row r="88">
      <c r="A88" s="70"/>
      <c r="K88" s="92"/>
      <c r="M88" s="87"/>
      <c r="N88" s="85"/>
    </row>
    <row r="89">
      <c r="A89" s="70"/>
      <c r="K89" s="92"/>
      <c r="M89" s="87"/>
      <c r="N89" s="85"/>
    </row>
    <row r="90">
      <c r="A90" s="70"/>
      <c r="K90" s="92"/>
      <c r="M90" s="87"/>
      <c r="N90" s="85"/>
    </row>
    <row r="91">
      <c r="A91" s="70"/>
      <c r="K91" s="92"/>
      <c r="M91" s="93"/>
      <c r="N91" s="94"/>
    </row>
    <row r="92">
      <c r="A92" s="70"/>
      <c r="K92" s="92"/>
      <c r="M92" s="93"/>
      <c r="N92" s="93"/>
    </row>
    <row r="93">
      <c r="A93" s="70"/>
      <c r="K93" s="92"/>
      <c r="M93" s="93"/>
      <c r="N93" s="94"/>
    </row>
    <row r="94">
      <c r="A94" s="70"/>
      <c r="K94" s="92"/>
      <c r="M94" s="93"/>
      <c r="N94" s="94"/>
    </row>
    <row r="95">
      <c r="A95" s="70"/>
      <c r="K95" s="92"/>
      <c r="M95" s="93"/>
      <c r="N95" s="93"/>
    </row>
    <row r="96">
      <c r="A96" s="70"/>
      <c r="K96" s="92"/>
      <c r="M96" s="93"/>
      <c r="N96" s="93"/>
    </row>
    <row r="97">
      <c r="A97" s="70"/>
      <c r="K97" s="92"/>
      <c r="M97" s="93"/>
      <c r="N97" s="93"/>
    </row>
    <row r="98">
      <c r="A98" s="70"/>
      <c r="K98" s="92"/>
      <c r="M98" s="93"/>
      <c r="N98" s="93"/>
    </row>
    <row r="99">
      <c r="A99" s="70"/>
      <c r="K99" s="92"/>
      <c r="M99" s="93"/>
      <c r="N99" s="93"/>
    </row>
    <row r="100">
      <c r="A100" s="70"/>
      <c r="K100" s="92"/>
      <c r="M100" s="93"/>
      <c r="N100" s="93"/>
    </row>
    <row r="101">
      <c r="A101" s="70"/>
      <c r="K101" s="92"/>
      <c r="M101" s="93"/>
      <c r="N101" s="93"/>
    </row>
    <row r="102">
      <c r="A102" s="70"/>
      <c r="K102" s="92"/>
      <c r="M102" s="93"/>
      <c r="N102" s="93"/>
    </row>
    <row r="103">
      <c r="A103" s="70"/>
      <c r="K103" s="92"/>
      <c r="M103" s="93"/>
      <c r="N103" s="93"/>
    </row>
    <row r="104">
      <c r="A104" s="70"/>
      <c r="K104" s="92"/>
      <c r="M104" s="93"/>
      <c r="N104" s="93"/>
    </row>
    <row r="105">
      <c r="A105" s="70"/>
      <c r="K105" s="92"/>
      <c r="M105" s="93"/>
      <c r="N105" s="93"/>
    </row>
    <row r="106">
      <c r="A106" s="70"/>
      <c r="K106" s="92"/>
      <c r="M106" s="93"/>
      <c r="N106" s="93"/>
    </row>
    <row r="107">
      <c r="A107" s="70"/>
      <c r="K107" s="92"/>
      <c r="M107" s="93"/>
      <c r="N107" s="93"/>
    </row>
    <row r="108">
      <c r="A108" s="70"/>
      <c r="K108" s="92"/>
      <c r="M108" s="93"/>
      <c r="N108" s="93"/>
    </row>
    <row r="109">
      <c r="A109" s="70"/>
      <c r="K109" s="92"/>
      <c r="M109" s="93"/>
      <c r="N109" s="93"/>
    </row>
    <row r="110">
      <c r="A110" s="70"/>
      <c r="K110" s="92"/>
      <c r="M110" s="93"/>
      <c r="N110" s="93"/>
    </row>
    <row r="111">
      <c r="A111" s="70"/>
      <c r="K111" s="92"/>
      <c r="M111" s="93"/>
      <c r="N111" s="93"/>
    </row>
    <row r="112">
      <c r="A112" s="70"/>
      <c r="K112" s="92"/>
      <c r="M112" s="93"/>
      <c r="N112" s="93"/>
    </row>
    <row r="113">
      <c r="A113" s="70"/>
      <c r="K113" s="92"/>
      <c r="M113" s="93"/>
      <c r="N113" s="93"/>
    </row>
    <row r="114">
      <c r="A114" s="70"/>
      <c r="K114" s="92"/>
      <c r="M114" s="93"/>
      <c r="N114" s="93"/>
    </row>
    <row r="115">
      <c r="A115" s="70"/>
      <c r="K115" s="92"/>
      <c r="M115" s="93"/>
      <c r="N115" s="93"/>
    </row>
    <row r="116">
      <c r="A116" s="70"/>
      <c r="K116" s="92"/>
      <c r="M116" s="93"/>
      <c r="N116" s="93"/>
    </row>
    <row r="117">
      <c r="A117" s="70"/>
      <c r="K117" s="92"/>
      <c r="M117" s="93"/>
      <c r="N117" s="93"/>
    </row>
    <row r="118">
      <c r="A118" s="70"/>
      <c r="K118" s="92"/>
      <c r="M118" s="93"/>
      <c r="N118" s="93"/>
    </row>
    <row r="119">
      <c r="A119" s="70"/>
      <c r="K119" s="92"/>
      <c r="M119" s="93"/>
      <c r="N119" s="93"/>
    </row>
    <row r="120">
      <c r="A120" s="70"/>
      <c r="K120" s="92"/>
      <c r="M120" s="93"/>
      <c r="N120" s="93"/>
    </row>
    <row r="121">
      <c r="A121" s="70"/>
      <c r="K121" s="92"/>
      <c r="M121" s="93"/>
      <c r="N121" s="93"/>
    </row>
    <row r="122">
      <c r="A122" s="70"/>
      <c r="K122" s="92"/>
      <c r="M122" s="93"/>
      <c r="N122" s="93"/>
    </row>
    <row r="123">
      <c r="A123" s="70"/>
      <c r="K123" s="92"/>
      <c r="M123" s="93"/>
      <c r="N123" s="93"/>
    </row>
    <row r="124">
      <c r="A124" s="70"/>
      <c r="K124" s="92"/>
      <c r="M124" s="93"/>
      <c r="N124" s="93"/>
    </row>
    <row r="125">
      <c r="A125" s="70"/>
      <c r="K125" s="92"/>
      <c r="M125" s="93"/>
      <c r="N125" s="93"/>
    </row>
    <row r="126">
      <c r="A126" s="70"/>
      <c r="K126" s="92"/>
      <c r="M126" s="93"/>
      <c r="N126" s="93"/>
    </row>
    <row r="127">
      <c r="A127" s="70"/>
      <c r="K127" s="92"/>
      <c r="M127" s="93"/>
      <c r="N127" s="93"/>
    </row>
    <row r="128">
      <c r="A128" s="70"/>
      <c r="K128" s="92"/>
      <c r="M128" s="93"/>
      <c r="N128" s="93"/>
    </row>
    <row r="129">
      <c r="A129" s="70"/>
      <c r="K129" s="92"/>
      <c r="M129" s="93"/>
      <c r="N129" s="93"/>
    </row>
    <row r="130">
      <c r="A130" s="70"/>
      <c r="K130" s="92"/>
      <c r="M130" s="93"/>
      <c r="N130" s="93"/>
    </row>
    <row r="131">
      <c r="A131" s="70"/>
      <c r="K131" s="92"/>
      <c r="M131" s="93"/>
      <c r="N131" s="93"/>
    </row>
    <row r="132">
      <c r="A132" s="70"/>
      <c r="K132" s="92"/>
      <c r="M132" s="93"/>
      <c r="N132" s="93"/>
    </row>
    <row r="133">
      <c r="A133" s="70"/>
      <c r="K133" s="92"/>
      <c r="M133" s="93"/>
      <c r="N133" s="93"/>
    </row>
    <row r="134">
      <c r="A134" s="70"/>
      <c r="K134" s="92"/>
      <c r="M134" s="93"/>
      <c r="N134" s="93"/>
    </row>
    <row r="135">
      <c r="A135" s="70"/>
      <c r="K135" s="92"/>
      <c r="M135" s="93"/>
      <c r="N135" s="93"/>
    </row>
    <row r="136">
      <c r="A136" s="70"/>
      <c r="K136" s="92"/>
      <c r="M136" s="93"/>
      <c r="N136" s="93"/>
    </row>
    <row r="137">
      <c r="A137" s="70"/>
      <c r="K137" s="92"/>
      <c r="M137" s="93"/>
      <c r="N137" s="93"/>
    </row>
    <row r="138">
      <c r="A138" s="70"/>
      <c r="K138" s="92"/>
      <c r="M138" s="93"/>
      <c r="N138" s="93"/>
    </row>
    <row r="139">
      <c r="A139" s="70"/>
      <c r="K139" s="92"/>
      <c r="M139" s="93"/>
      <c r="N139" s="93"/>
    </row>
    <row r="140">
      <c r="A140" s="70"/>
      <c r="K140" s="92"/>
      <c r="M140" s="93"/>
      <c r="N140" s="93"/>
    </row>
    <row r="141">
      <c r="A141" s="70"/>
      <c r="K141" s="92"/>
      <c r="M141" s="93"/>
      <c r="N141" s="93"/>
    </row>
    <row r="142">
      <c r="A142" s="70"/>
      <c r="K142" s="92"/>
      <c r="M142" s="93"/>
      <c r="N142" s="93"/>
    </row>
    <row r="143">
      <c r="A143" s="70"/>
      <c r="K143" s="92"/>
      <c r="M143" s="93"/>
      <c r="N143" s="93"/>
    </row>
    <row r="144">
      <c r="A144" s="70"/>
      <c r="K144" s="92"/>
      <c r="M144" s="93"/>
      <c r="N144" s="93"/>
    </row>
    <row r="145">
      <c r="A145" s="70"/>
      <c r="K145" s="92"/>
      <c r="M145" s="93"/>
      <c r="N145" s="93"/>
    </row>
    <row r="146">
      <c r="A146" s="70"/>
      <c r="K146" s="92"/>
      <c r="M146" s="93"/>
      <c r="N146" s="93"/>
    </row>
    <row r="147">
      <c r="A147" s="70"/>
      <c r="K147" s="92"/>
      <c r="M147" s="93"/>
      <c r="N147" s="93"/>
    </row>
    <row r="148">
      <c r="A148" s="70"/>
      <c r="K148" s="92"/>
      <c r="M148" s="93"/>
      <c r="N148" s="93"/>
    </row>
    <row r="149">
      <c r="A149" s="70"/>
      <c r="K149" s="92"/>
      <c r="M149" s="93"/>
      <c r="N149" s="93"/>
    </row>
    <row r="150">
      <c r="A150" s="70"/>
      <c r="K150" s="92"/>
      <c r="M150" s="93"/>
      <c r="N150" s="93"/>
    </row>
    <row r="151">
      <c r="A151" s="70"/>
      <c r="K151" s="92"/>
      <c r="M151" s="93"/>
      <c r="N151" s="93"/>
    </row>
    <row r="152">
      <c r="A152" s="70"/>
      <c r="K152" s="92"/>
      <c r="M152" s="93"/>
      <c r="N152" s="93"/>
    </row>
    <row r="153">
      <c r="A153" s="70"/>
      <c r="K153" s="92"/>
      <c r="M153" s="93"/>
      <c r="N153" s="93"/>
    </row>
    <row r="154">
      <c r="A154" s="70"/>
      <c r="K154" s="92"/>
      <c r="M154" s="93"/>
      <c r="N154" s="93"/>
    </row>
    <row r="155">
      <c r="A155" s="70"/>
      <c r="K155" s="92"/>
      <c r="M155" s="93"/>
      <c r="N155" s="93"/>
    </row>
    <row r="156">
      <c r="A156" s="70"/>
      <c r="K156" s="92"/>
      <c r="M156" s="93"/>
      <c r="N156" s="93"/>
    </row>
    <row r="157">
      <c r="A157" s="70"/>
      <c r="K157" s="92"/>
      <c r="M157" s="93"/>
      <c r="N157" s="93"/>
    </row>
    <row r="158">
      <c r="A158" s="70"/>
      <c r="K158" s="92"/>
      <c r="M158" s="93"/>
      <c r="N158" s="93"/>
    </row>
    <row r="159">
      <c r="A159" s="70"/>
      <c r="K159" s="92"/>
      <c r="M159" s="93"/>
      <c r="N159" s="93"/>
    </row>
    <row r="160">
      <c r="A160" s="70"/>
      <c r="K160" s="92"/>
      <c r="M160" s="93"/>
      <c r="N160" s="93"/>
    </row>
    <row r="161">
      <c r="A161" s="70"/>
      <c r="K161" s="92"/>
      <c r="M161" s="93"/>
      <c r="N161" s="93"/>
    </row>
    <row r="162">
      <c r="A162" s="70"/>
      <c r="K162" s="92"/>
      <c r="M162" s="93"/>
      <c r="N162" s="93"/>
    </row>
    <row r="163">
      <c r="A163" s="70"/>
      <c r="K163" s="92"/>
      <c r="M163" s="93"/>
      <c r="N163" s="93"/>
    </row>
    <row r="164">
      <c r="A164" s="70"/>
      <c r="K164" s="92"/>
      <c r="M164" s="93"/>
      <c r="N164" s="93"/>
    </row>
    <row r="165">
      <c r="A165" s="70"/>
      <c r="K165" s="92"/>
      <c r="M165" s="93"/>
      <c r="N165" s="93"/>
    </row>
    <row r="166">
      <c r="A166" s="70"/>
      <c r="K166" s="92"/>
      <c r="M166" s="93"/>
      <c r="N166" s="93"/>
    </row>
    <row r="167">
      <c r="A167" s="70"/>
      <c r="K167" s="92"/>
      <c r="M167" s="93"/>
      <c r="N167" s="93"/>
    </row>
    <row r="168">
      <c r="A168" s="70"/>
      <c r="K168" s="92"/>
      <c r="M168" s="93"/>
      <c r="N168" s="93"/>
    </row>
    <row r="169">
      <c r="A169" s="70"/>
      <c r="K169" s="92"/>
      <c r="M169" s="93"/>
      <c r="N169" s="93"/>
    </row>
    <row r="170">
      <c r="A170" s="70"/>
      <c r="K170" s="92"/>
      <c r="M170" s="93"/>
      <c r="N170" s="93"/>
    </row>
    <row r="171">
      <c r="A171" s="70"/>
      <c r="K171" s="92"/>
      <c r="M171" s="93"/>
      <c r="N171" s="93"/>
    </row>
    <row r="172">
      <c r="A172" s="70"/>
      <c r="K172" s="92"/>
      <c r="M172" s="93"/>
      <c r="N172" s="93"/>
    </row>
    <row r="173">
      <c r="A173" s="70"/>
      <c r="K173" s="92"/>
      <c r="M173" s="93"/>
      <c r="N173" s="93"/>
    </row>
    <row r="174">
      <c r="A174" s="70"/>
      <c r="K174" s="92"/>
      <c r="M174" s="93"/>
      <c r="N174" s="93"/>
    </row>
    <row r="175">
      <c r="A175" s="70"/>
      <c r="K175" s="92"/>
      <c r="M175" s="93"/>
      <c r="N175" s="93"/>
    </row>
    <row r="176">
      <c r="A176" s="70"/>
      <c r="K176" s="92"/>
      <c r="M176" s="93"/>
      <c r="N176" s="93"/>
    </row>
    <row r="177">
      <c r="A177" s="70"/>
      <c r="K177" s="92"/>
      <c r="M177" s="93"/>
      <c r="N177" s="93"/>
    </row>
    <row r="178">
      <c r="A178" s="70"/>
      <c r="K178" s="92"/>
      <c r="M178" s="93"/>
      <c r="N178" s="93"/>
    </row>
    <row r="179">
      <c r="A179" s="70"/>
      <c r="K179" s="92"/>
      <c r="M179" s="93"/>
      <c r="N179" s="93"/>
    </row>
    <row r="180">
      <c r="A180" s="70"/>
      <c r="K180" s="92"/>
      <c r="M180" s="93"/>
      <c r="N180" s="93"/>
    </row>
    <row r="181">
      <c r="A181" s="70"/>
      <c r="K181" s="92"/>
      <c r="M181" s="93"/>
      <c r="N181" s="93"/>
    </row>
    <row r="182">
      <c r="A182" s="70"/>
      <c r="K182" s="92"/>
      <c r="M182" s="93"/>
      <c r="N182" s="93"/>
    </row>
    <row r="183">
      <c r="A183" s="70"/>
      <c r="K183" s="92"/>
      <c r="M183" s="93"/>
      <c r="N183" s="93"/>
    </row>
    <row r="184">
      <c r="A184" s="70"/>
      <c r="K184" s="92"/>
      <c r="M184" s="93"/>
      <c r="N184" s="93"/>
    </row>
    <row r="185">
      <c r="A185" s="70"/>
      <c r="K185" s="92"/>
      <c r="M185" s="93"/>
      <c r="N185" s="93"/>
    </row>
    <row r="186">
      <c r="A186" s="70"/>
      <c r="K186" s="92"/>
      <c r="M186" s="93"/>
      <c r="N186" s="93"/>
    </row>
    <row r="187">
      <c r="A187" s="70"/>
      <c r="K187" s="92"/>
      <c r="M187" s="93"/>
      <c r="N187" s="93"/>
    </row>
    <row r="188">
      <c r="A188" s="70"/>
      <c r="K188" s="92"/>
      <c r="M188" s="93"/>
      <c r="N188" s="93"/>
    </row>
    <row r="189">
      <c r="A189" s="70"/>
      <c r="K189" s="92"/>
      <c r="M189" s="93"/>
      <c r="N189" s="93"/>
    </row>
    <row r="190">
      <c r="A190" s="70"/>
      <c r="K190" s="92"/>
      <c r="M190" s="93"/>
      <c r="N190" s="93"/>
    </row>
    <row r="191">
      <c r="A191" s="70"/>
      <c r="K191" s="92"/>
      <c r="M191" s="93"/>
      <c r="N191" s="93"/>
    </row>
    <row r="192">
      <c r="A192" s="70"/>
      <c r="K192" s="92"/>
      <c r="M192" s="93"/>
      <c r="N192" s="93"/>
    </row>
    <row r="193">
      <c r="A193" s="70"/>
      <c r="K193" s="92"/>
      <c r="M193" s="93"/>
      <c r="N193" s="93"/>
    </row>
    <row r="194">
      <c r="A194" s="70"/>
      <c r="K194" s="92"/>
      <c r="M194" s="93"/>
      <c r="N194" s="93"/>
    </row>
    <row r="195">
      <c r="A195" s="70"/>
      <c r="K195" s="92"/>
      <c r="M195" s="93"/>
      <c r="N195" s="93"/>
    </row>
    <row r="196">
      <c r="A196" s="70"/>
      <c r="K196" s="92"/>
      <c r="M196" s="93"/>
      <c r="N196" s="93"/>
    </row>
    <row r="197">
      <c r="A197" s="70"/>
      <c r="K197" s="92"/>
      <c r="M197" s="93"/>
      <c r="N197" s="93"/>
    </row>
    <row r="198">
      <c r="A198" s="70"/>
      <c r="K198" s="92"/>
      <c r="M198" s="93"/>
      <c r="N198" s="93"/>
    </row>
    <row r="199">
      <c r="A199" s="70"/>
      <c r="K199" s="92"/>
      <c r="M199" s="93"/>
      <c r="N199" s="93"/>
    </row>
    <row r="200">
      <c r="A200" s="70"/>
      <c r="K200" s="92"/>
      <c r="M200" s="93"/>
      <c r="N200" s="93"/>
    </row>
    <row r="201">
      <c r="A201" s="70"/>
      <c r="K201" s="92"/>
      <c r="M201" s="93"/>
      <c r="N201" s="93"/>
    </row>
    <row r="202">
      <c r="A202" s="70"/>
      <c r="K202" s="92"/>
      <c r="M202" s="93"/>
      <c r="N202" s="93"/>
    </row>
    <row r="203">
      <c r="A203" s="70"/>
      <c r="K203" s="92"/>
      <c r="M203" s="93"/>
      <c r="N203" s="93"/>
    </row>
    <row r="204">
      <c r="A204" s="70"/>
      <c r="K204" s="92"/>
      <c r="M204" s="93"/>
      <c r="N204" s="93"/>
    </row>
    <row r="205">
      <c r="A205" s="70"/>
      <c r="K205" s="92"/>
      <c r="M205" s="93"/>
      <c r="N205" s="93"/>
    </row>
    <row r="206">
      <c r="A206" s="70"/>
      <c r="K206" s="92"/>
      <c r="M206" s="93"/>
      <c r="N206" s="93"/>
    </row>
    <row r="207">
      <c r="A207" s="70"/>
      <c r="K207" s="92"/>
      <c r="M207" s="93"/>
      <c r="N207" s="93"/>
    </row>
    <row r="208">
      <c r="A208" s="70"/>
      <c r="K208" s="92"/>
      <c r="M208" s="93"/>
      <c r="N208" s="93"/>
    </row>
    <row r="209">
      <c r="A209" s="70"/>
      <c r="K209" s="92"/>
      <c r="M209" s="93"/>
      <c r="N209" s="93"/>
    </row>
    <row r="210">
      <c r="A210" s="70"/>
      <c r="K210" s="92"/>
      <c r="M210" s="93"/>
      <c r="N210" s="93"/>
    </row>
    <row r="211">
      <c r="A211" s="70"/>
      <c r="K211" s="92"/>
      <c r="M211" s="93"/>
      <c r="N211" s="93"/>
    </row>
    <row r="212">
      <c r="A212" s="70"/>
      <c r="K212" s="92"/>
      <c r="M212" s="93"/>
      <c r="N212" s="93"/>
    </row>
    <row r="213">
      <c r="A213" s="70"/>
      <c r="K213" s="92"/>
      <c r="M213" s="93"/>
      <c r="N213" s="93"/>
    </row>
    <row r="214">
      <c r="A214" s="70"/>
      <c r="K214" s="92"/>
      <c r="M214" s="93"/>
      <c r="N214" s="93"/>
    </row>
    <row r="215">
      <c r="A215" s="70"/>
      <c r="K215" s="92"/>
      <c r="M215" s="93"/>
      <c r="N215" s="93"/>
    </row>
    <row r="216">
      <c r="A216" s="70"/>
      <c r="K216" s="92"/>
      <c r="M216" s="93"/>
      <c r="N216" s="93"/>
    </row>
    <row r="217">
      <c r="A217" s="70"/>
      <c r="K217" s="92"/>
      <c r="M217" s="93"/>
      <c r="N217" s="93"/>
    </row>
    <row r="218">
      <c r="A218" s="70"/>
      <c r="K218" s="92"/>
      <c r="M218" s="93"/>
      <c r="N218" s="93"/>
    </row>
    <row r="219">
      <c r="A219" s="70"/>
      <c r="K219" s="92"/>
      <c r="M219" s="93"/>
      <c r="N219" s="93"/>
    </row>
    <row r="220">
      <c r="A220" s="70"/>
      <c r="K220" s="92"/>
      <c r="M220" s="93"/>
      <c r="N220" s="93"/>
    </row>
    <row r="221">
      <c r="A221" s="70"/>
      <c r="K221" s="92"/>
      <c r="M221" s="93"/>
      <c r="N221" s="93"/>
    </row>
    <row r="222">
      <c r="A222" s="70"/>
      <c r="K222" s="92"/>
      <c r="M222" s="93"/>
      <c r="N222" s="93"/>
    </row>
    <row r="223">
      <c r="A223" s="70"/>
      <c r="K223" s="92"/>
      <c r="M223" s="93"/>
      <c r="N223" s="93"/>
    </row>
    <row r="224">
      <c r="A224" s="70"/>
      <c r="K224" s="92"/>
      <c r="M224" s="93"/>
      <c r="N224" s="93"/>
    </row>
    <row r="225">
      <c r="A225" s="70"/>
      <c r="K225" s="92"/>
      <c r="M225" s="93"/>
      <c r="N225" s="93"/>
    </row>
    <row r="226">
      <c r="A226" s="70"/>
      <c r="K226" s="92"/>
      <c r="M226" s="93"/>
      <c r="N226" s="93"/>
    </row>
    <row r="227">
      <c r="A227" s="70"/>
      <c r="K227" s="92"/>
      <c r="M227" s="93"/>
      <c r="N227" s="93"/>
    </row>
    <row r="228">
      <c r="A228" s="70"/>
      <c r="K228" s="92"/>
      <c r="M228" s="93"/>
      <c r="N228" s="93"/>
    </row>
    <row r="229">
      <c r="A229" s="70"/>
      <c r="K229" s="92"/>
      <c r="M229" s="93"/>
      <c r="N229" s="93"/>
    </row>
    <row r="230">
      <c r="A230" s="70"/>
      <c r="K230" s="92"/>
      <c r="M230" s="93"/>
      <c r="N230" s="93"/>
    </row>
    <row r="231">
      <c r="A231" s="70"/>
      <c r="K231" s="92"/>
      <c r="M231" s="93"/>
      <c r="N231" s="93"/>
    </row>
    <row r="232">
      <c r="A232" s="70"/>
      <c r="K232" s="92"/>
      <c r="M232" s="93"/>
      <c r="N232" s="93"/>
    </row>
    <row r="233">
      <c r="A233" s="70"/>
      <c r="K233" s="92"/>
      <c r="M233" s="93"/>
      <c r="N233" s="93"/>
    </row>
    <row r="234">
      <c r="A234" s="70"/>
      <c r="K234" s="92"/>
      <c r="M234" s="93"/>
      <c r="N234" s="93"/>
    </row>
    <row r="235">
      <c r="A235" s="70"/>
      <c r="K235" s="92"/>
      <c r="M235" s="93"/>
      <c r="N235" s="93"/>
    </row>
    <row r="236">
      <c r="A236" s="70"/>
      <c r="K236" s="92"/>
      <c r="M236" s="93"/>
      <c r="N236" s="93"/>
    </row>
    <row r="237">
      <c r="A237" s="70"/>
      <c r="K237" s="92"/>
      <c r="M237" s="93"/>
      <c r="N237" s="93"/>
    </row>
    <row r="238">
      <c r="A238" s="70"/>
      <c r="K238" s="92"/>
      <c r="M238" s="93"/>
      <c r="N238" s="93"/>
    </row>
    <row r="239">
      <c r="A239" s="70"/>
      <c r="K239" s="92"/>
      <c r="M239" s="93"/>
      <c r="N239" s="93"/>
    </row>
    <row r="240">
      <c r="A240" s="70"/>
      <c r="K240" s="92"/>
      <c r="M240" s="93"/>
      <c r="N240" s="93"/>
    </row>
    <row r="241">
      <c r="A241" s="70"/>
      <c r="K241" s="92"/>
      <c r="M241" s="93"/>
      <c r="N241" s="93"/>
    </row>
    <row r="242">
      <c r="A242" s="70"/>
      <c r="K242" s="92"/>
      <c r="M242" s="93"/>
      <c r="N242" s="93"/>
    </row>
    <row r="243">
      <c r="A243" s="70"/>
      <c r="K243" s="92"/>
      <c r="M243" s="93"/>
      <c r="N243" s="93"/>
    </row>
    <row r="244">
      <c r="A244" s="70"/>
      <c r="K244" s="92"/>
      <c r="M244" s="93"/>
      <c r="N244" s="93"/>
    </row>
    <row r="245">
      <c r="A245" s="70"/>
      <c r="K245" s="92"/>
      <c r="M245" s="93"/>
      <c r="N245" s="93"/>
    </row>
    <row r="246">
      <c r="A246" s="70"/>
      <c r="K246" s="92"/>
      <c r="M246" s="93"/>
      <c r="N246" s="93"/>
    </row>
    <row r="247">
      <c r="A247" s="70"/>
      <c r="K247" s="92"/>
      <c r="M247" s="93"/>
      <c r="N247" s="93"/>
    </row>
    <row r="248">
      <c r="A248" s="70"/>
      <c r="K248" s="92"/>
      <c r="M248" s="93"/>
      <c r="N248" s="93"/>
    </row>
    <row r="249">
      <c r="A249" s="70"/>
      <c r="K249" s="92"/>
      <c r="M249" s="93"/>
      <c r="N249" s="93"/>
    </row>
    <row r="250">
      <c r="A250" s="70"/>
      <c r="K250" s="92"/>
      <c r="M250" s="93"/>
      <c r="N250" s="93"/>
    </row>
    <row r="251">
      <c r="A251" s="70"/>
      <c r="K251" s="92"/>
      <c r="M251" s="93"/>
      <c r="N251" s="93"/>
    </row>
    <row r="252">
      <c r="A252" s="70"/>
      <c r="K252" s="92"/>
      <c r="M252" s="93"/>
      <c r="N252" s="93"/>
    </row>
    <row r="253">
      <c r="A253" s="70"/>
      <c r="K253" s="92"/>
      <c r="M253" s="93"/>
      <c r="N253" s="93"/>
    </row>
    <row r="254">
      <c r="A254" s="70"/>
      <c r="K254" s="92"/>
      <c r="M254" s="93"/>
      <c r="N254" s="93"/>
    </row>
    <row r="255">
      <c r="A255" s="70"/>
      <c r="K255" s="92"/>
      <c r="M255" s="93"/>
      <c r="N255" s="93"/>
    </row>
    <row r="256">
      <c r="A256" s="70"/>
      <c r="K256" s="92"/>
      <c r="M256" s="93"/>
      <c r="N256" s="93"/>
    </row>
    <row r="257">
      <c r="A257" s="70"/>
      <c r="K257" s="92"/>
      <c r="M257" s="93"/>
      <c r="N257" s="93"/>
    </row>
    <row r="258">
      <c r="A258" s="70"/>
      <c r="K258" s="92"/>
      <c r="M258" s="93"/>
      <c r="N258" s="93"/>
    </row>
    <row r="259">
      <c r="A259" s="70"/>
      <c r="K259" s="92"/>
      <c r="M259" s="93"/>
      <c r="N259" s="93"/>
    </row>
    <row r="260">
      <c r="A260" s="70"/>
      <c r="K260" s="92"/>
      <c r="M260" s="93"/>
      <c r="N260" s="93"/>
    </row>
    <row r="261">
      <c r="A261" s="70"/>
      <c r="K261" s="92"/>
      <c r="M261" s="93"/>
      <c r="N261" s="93"/>
    </row>
    <row r="262">
      <c r="A262" s="70"/>
      <c r="K262" s="92"/>
      <c r="M262" s="93"/>
      <c r="N262" s="93"/>
    </row>
    <row r="263">
      <c r="A263" s="70"/>
      <c r="K263" s="92"/>
      <c r="M263" s="93"/>
      <c r="N263" s="93"/>
    </row>
    <row r="264">
      <c r="A264" s="70"/>
      <c r="K264" s="92"/>
      <c r="M264" s="93"/>
      <c r="N264" s="93"/>
    </row>
    <row r="265">
      <c r="A265" s="70"/>
      <c r="K265" s="92"/>
      <c r="M265" s="93"/>
      <c r="N265" s="93"/>
    </row>
    <row r="266">
      <c r="A266" s="70"/>
      <c r="K266" s="92"/>
      <c r="M266" s="93"/>
      <c r="N266" s="93"/>
    </row>
    <row r="267">
      <c r="A267" s="70"/>
      <c r="K267" s="92"/>
      <c r="M267" s="93"/>
      <c r="N267" s="93"/>
    </row>
    <row r="268">
      <c r="A268" s="70"/>
      <c r="K268" s="92"/>
      <c r="M268" s="93"/>
      <c r="N268" s="93"/>
    </row>
    <row r="269">
      <c r="A269" s="70"/>
      <c r="K269" s="92"/>
      <c r="M269" s="93"/>
      <c r="N269" s="93"/>
    </row>
    <row r="270">
      <c r="A270" s="70"/>
      <c r="K270" s="92"/>
      <c r="M270" s="93"/>
      <c r="N270" s="93"/>
    </row>
    <row r="271">
      <c r="A271" s="70"/>
      <c r="K271" s="92"/>
      <c r="M271" s="93"/>
      <c r="N271" s="93"/>
    </row>
    <row r="272">
      <c r="A272" s="70"/>
      <c r="K272" s="92"/>
      <c r="M272" s="93"/>
      <c r="N272" s="93"/>
    </row>
    <row r="273">
      <c r="A273" s="70"/>
      <c r="K273" s="92"/>
      <c r="M273" s="93"/>
      <c r="N273" s="93"/>
    </row>
    <row r="274">
      <c r="A274" s="70"/>
      <c r="K274" s="92"/>
      <c r="M274" s="93"/>
      <c r="N274" s="93"/>
    </row>
    <row r="275">
      <c r="A275" s="70"/>
      <c r="K275" s="92"/>
      <c r="M275" s="93"/>
      <c r="N275" s="93"/>
    </row>
    <row r="276">
      <c r="A276" s="70"/>
      <c r="K276" s="92"/>
      <c r="M276" s="93"/>
      <c r="N276" s="93"/>
    </row>
    <row r="277">
      <c r="A277" s="70"/>
      <c r="K277" s="92"/>
      <c r="M277" s="93"/>
      <c r="N277" s="93"/>
    </row>
    <row r="278">
      <c r="A278" s="70"/>
      <c r="K278" s="92"/>
      <c r="M278" s="93"/>
      <c r="N278" s="93"/>
    </row>
    <row r="279">
      <c r="A279" s="70"/>
      <c r="K279" s="92"/>
      <c r="M279" s="93"/>
      <c r="N279" s="93"/>
    </row>
    <row r="280">
      <c r="A280" s="70"/>
      <c r="K280" s="92"/>
      <c r="M280" s="93"/>
      <c r="N280" s="93"/>
    </row>
    <row r="281">
      <c r="A281" s="70"/>
      <c r="K281" s="92"/>
      <c r="M281" s="93"/>
      <c r="N281" s="93"/>
    </row>
    <row r="282">
      <c r="A282" s="70"/>
      <c r="K282" s="92"/>
      <c r="M282" s="93"/>
      <c r="N282" s="93"/>
    </row>
    <row r="283">
      <c r="A283" s="70"/>
      <c r="K283" s="92"/>
      <c r="M283" s="93"/>
      <c r="N283" s="93"/>
    </row>
    <row r="284">
      <c r="A284" s="70"/>
      <c r="K284" s="92"/>
      <c r="M284" s="93"/>
      <c r="N284" s="93"/>
    </row>
    <row r="285">
      <c r="A285" s="70"/>
      <c r="K285" s="92"/>
      <c r="M285" s="93"/>
      <c r="N285" s="93"/>
    </row>
    <row r="286">
      <c r="A286" s="70"/>
      <c r="K286" s="92"/>
      <c r="M286" s="93"/>
      <c r="N286" s="93"/>
    </row>
    <row r="287">
      <c r="A287" s="70"/>
      <c r="K287" s="92"/>
      <c r="M287" s="93"/>
      <c r="N287" s="93"/>
    </row>
    <row r="288">
      <c r="A288" s="70"/>
      <c r="K288" s="92"/>
      <c r="M288" s="93"/>
      <c r="N288" s="93"/>
    </row>
    <row r="289">
      <c r="A289" s="70"/>
      <c r="K289" s="92"/>
      <c r="M289" s="93"/>
      <c r="N289" s="93"/>
    </row>
    <row r="290">
      <c r="A290" s="70"/>
      <c r="K290" s="92"/>
      <c r="M290" s="93"/>
      <c r="N290" s="93"/>
    </row>
    <row r="291">
      <c r="A291" s="70"/>
      <c r="K291" s="92"/>
      <c r="M291" s="94"/>
      <c r="N291" s="94"/>
    </row>
    <row r="292">
      <c r="A292" s="70"/>
      <c r="K292" s="92"/>
      <c r="M292" s="94"/>
      <c r="N292" s="94"/>
    </row>
    <row r="293">
      <c r="A293" s="70"/>
      <c r="K293" s="92"/>
      <c r="M293" s="94"/>
      <c r="N293" s="94"/>
    </row>
    <row r="294">
      <c r="A294" s="70"/>
      <c r="K294" s="92"/>
      <c r="M294" s="94"/>
      <c r="N294" s="94"/>
    </row>
    <row r="295">
      <c r="A295" s="70"/>
      <c r="K295" s="92"/>
      <c r="M295" s="94"/>
      <c r="N295" s="94"/>
    </row>
    <row r="296">
      <c r="A296" s="70"/>
      <c r="K296" s="92"/>
      <c r="M296" s="94"/>
      <c r="N296" s="94"/>
    </row>
    <row r="297">
      <c r="A297" s="70"/>
      <c r="K297" s="92"/>
      <c r="M297" s="94"/>
      <c r="N297" s="94"/>
    </row>
    <row r="298">
      <c r="A298" s="70"/>
      <c r="K298" s="92"/>
      <c r="M298" s="94"/>
      <c r="N298" s="94"/>
    </row>
    <row r="299">
      <c r="A299" s="70"/>
      <c r="K299" s="92"/>
      <c r="M299" s="94"/>
      <c r="N299" s="94"/>
    </row>
    <row r="300">
      <c r="A300" s="70"/>
      <c r="K300" s="92"/>
      <c r="M300" s="94"/>
      <c r="N300" s="94"/>
    </row>
    <row r="301">
      <c r="A301" s="70"/>
      <c r="K301" s="92"/>
      <c r="M301" s="94"/>
      <c r="N301" s="94"/>
    </row>
    <row r="302">
      <c r="A302" s="70"/>
      <c r="K302" s="92"/>
      <c r="M302" s="94"/>
      <c r="N302" s="94"/>
    </row>
    <row r="303">
      <c r="A303" s="70"/>
      <c r="K303" s="92"/>
      <c r="M303" s="94"/>
      <c r="N303" s="94"/>
    </row>
    <row r="304">
      <c r="A304" s="70"/>
      <c r="K304" s="92"/>
      <c r="M304" s="94"/>
      <c r="N304" s="94"/>
    </row>
    <row r="305">
      <c r="A305" s="70"/>
      <c r="K305" s="92"/>
      <c r="M305" s="94"/>
      <c r="N305" s="94"/>
    </row>
    <row r="306">
      <c r="A306" s="70"/>
      <c r="K306" s="92"/>
      <c r="M306" s="94"/>
      <c r="N306" s="94"/>
    </row>
    <row r="307">
      <c r="A307" s="70"/>
      <c r="K307" s="92"/>
      <c r="M307" s="94"/>
      <c r="N307" s="94"/>
    </row>
    <row r="308">
      <c r="A308" s="70"/>
      <c r="K308" s="92"/>
      <c r="M308" s="94"/>
      <c r="N308" s="94"/>
    </row>
    <row r="309">
      <c r="A309" s="70"/>
      <c r="K309" s="92"/>
      <c r="M309" s="94"/>
      <c r="N309" s="94"/>
    </row>
    <row r="310">
      <c r="A310" s="70"/>
      <c r="K310" s="92"/>
      <c r="M310" s="94"/>
      <c r="N310" s="94"/>
    </row>
    <row r="311">
      <c r="A311" s="70"/>
      <c r="K311" s="92"/>
      <c r="M311" s="94"/>
      <c r="N311" s="94"/>
    </row>
    <row r="312">
      <c r="A312" s="70"/>
      <c r="K312" s="92"/>
      <c r="M312" s="94"/>
      <c r="N312" s="94"/>
    </row>
    <row r="313">
      <c r="A313" s="70"/>
      <c r="K313" s="92"/>
      <c r="M313" s="94"/>
      <c r="N313" s="94"/>
    </row>
    <row r="314">
      <c r="A314" s="70"/>
      <c r="K314" s="92"/>
      <c r="M314" s="94"/>
      <c r="N314" s="94"/>
    </row>
    <row r="315">
      <c r="A315" s="70"/>
      <c r="K315" s="92"/>
      <c r="M315" s="94"/>
      <c r="N315" s="94"/>
    </row>
    <row r="316">
      <c r="A316" s="70"/>
      <c r="K316" s="92"/>
      <c r="M316" s="94"/>
      <c r="N316" s="94"/>
    </row>
    <row r="317">
      <c r="A317" s="70"/>
      <c r="K317" s="92"/>
      <c r="M317" s="94"/>
      <c r="N317" s="94"/>
    </row>
    <row r="318">
      <c r="A318" s="70"/>
      <c r="K318" s="92"/>
      <c r="M318" s="94"/>
      <c r="N318" s="94"/>
    </row>
    <row r="319">
      <c r="A319" s="70"/>
      <c r="K319" s="92"/>
      <c r="M319" s="94"/>
      <c r="N319" s="94"/>
    </row>
    <row r="320">
      <c r="A320" s="70"/>
      <c r="K320" s="92"/>
      <c r="M320" s="94"/>
      <c r="N320" s="94"/>
    </row>
    <row r="321">
      <c r="A321" s="70"/>
      <c r="K321" s="92"/>
      <c r="M321" s="94"/>
      <c r="N321" s="94"/>
    </row>
    <row r="322">
      <c r="A322" s="70"/>
      <c r="K322" s="92"/>
      <c r="M322" s="94"/>
      <c r="N322" s="94"/>
    </row>
    <row r="323">
      <c r="A323" s="70"/>
      <c r="K323" s="92"/>
      <c r="M323" s="94"/>
      <c r="N323" s="94"/>
    </row>
    <row r="324">
      <c r="A324" s="70"/>
      <c r="K324" s="92"/>
      <c r="M324" s="94"/>
      <c r="N324" s="94"/>
    </row>
    <row r="325">
      <c r="A325" s="70"/>
      <c r="K325" s="92"/>
      <c r="M325" s="94"/>
      <c r="N325" s="94"/>
    </row>
    <row r="326">
      <c r="A326" s="70"/>
      <c r="K326" s="92"/>
      <c r="M326" s="94"/>
      <c r="N326" s="94"/>
    </row>
    <row r="327">
      <c r="A327" s="70"/>
      <c r="K327" s="92"/>
      <c r="M327" s="94"/>
      <c r="N327" s="94"/>
    </row>
    <row r="328">
      <c r="A328" s="70"/>
      <c r="K328" s="92"/>
      <c r="M328" s="94"/>
      <c r="N328" s="94"/>
    </row>
    <row r="329">
      <c r="A329" s="70"/>
      <c r="K329" s="92"/>
      <c r="M329" s="94"/>
      <c r="N329" s="94"/>
    </row>
    <row r="330">
      <c r="A330" s="70"/>
      <c r="K330" s="92"/>
      <c r="M330" s="94"/>
      <c r="N330" s="94"/>
    </row>
    <row r="331">
      <c r="A331" s="70"/>
      <c r="K331" s="92"/>
      <c r="M331" s="94"/>
      <c r="N331" s="94"/>
    </row>
    <row r="332">
      <c r="A332" s="70"/>
      <c r="K332" s="92"/>
      <c r="M332" s="94"/>
      <c r="N332" s="94"/>
    </row>
    <row r="333">
      <c r="A333" s="70"/>
      <c r="K333" s="92"/>
      <c r="M333" s="94"/>
      <c r="N333" s="94"/>
    </row>
    <row r="334">
      <c r="A334" s="70"/>
      <c r="K334" s="92"/>
      <c r="M334" s="94"/>
      <c r="N334" s="94"/>
    </row>
    <row r="335">
      <c r="A335" s="70"/>
      <c r="K335" s="92"/>
      <c r="M335" s="94"/>
      <c r="N335" s="94"/>
    </row>
    <row r="336">
      <c r="A336" s="70"/>
      <c r="K336" s="92"/>
      <c r="M336" s="94"/>
      <c r="N336" s="94"/>
    </row>
    <row r="337">
      <c r="A337" s="70"/>
      <c r="K337" s="92"/>
      <c r="M337" s="94"/>
      <c r="N337" s="94"/>
    </row>
    <row r="338">
      <c r="A338" s="70"/>
      <c r="K338" s="92"/>
      <c r="M338" s="94"/>
      <c r="N338" s="94"/>
    </row>
    <row r="339">
      <c r="A339" s="70"/>
      <c r="K339" s="92"/>
      <c r="M339" s="94"/>
      <c r="N339" s="94"/>
    </row>
    <row r="340">
      <c r="A340" s="70"/>
      <c r="K340" s="92"/>
      <c r="M340" s="94"/>
      <c r="N340" s="94"/>
    </row>
    <row r="341">
      <c r="A341" s="70"/>
      <c r="K341" s="92"/>
      <c r="M341" s="94"/>
      <c r="N341" s="94"/>
    </row>
    <row r="342">
      <c r="A342" s="70"/>
      <c r="K342" s="92"/>
      <c r="M342" s="94"/>
      <c r="N342" s="94"/>
    </row>
    <row r="343">
      <c r="A343" s="70"/>
      <c r="K343" s="92"/>
      <c r="M343" s="94"/>
      <c r="N343" s="94"/>
    </row>
    <row r="344">
      <c r="A344" s="70"/>
      <c r="K344" s="92"/>
      <c r="M344" s="94"/>
      <c r="N344" s="94"/>
    </row>
    <row r="345">
      <c r="A345" s="70"/>
      <c r="K345" s="92"/>
      <c r="M345" s="94"/>
      <c r="N345" s="94"/>
    </row>
    <row r="346">
      <c r="A346" s="70"/>
      <c r="K346" s="92"/>
      <c r="M346" s="94"/>
      <c r="N346" s="94"/>
    </row>
    <row r="347">
      <c r="A347" s="70"/>
      <c r="K347" s="92"/>
      <c r="M347" s="94"/>
      <c r="N347" s="94"/>
    </row>
    <row r="348">
      <c r="A348" s="70"/>
      <c r="K348" s="92"/>
      <c r="M348" s="94"/>
      <c r="N348" s="94"/>
    </row>
    <row r="349">
      <c r="A349" s="70"/>
      <c r="K349" s="92"/>
      <c r="M349" s="94"/>
      <c r="N349" s="94"/>
    </row>
    <row r="350">
      <c r="A350" s="70"/>
      <c r="K350" s="92"/>
      <c r="M350" s="94"/>
      <c r="N350" s="94"/>
    </row>
    <row r="351">
      <c r="A351" s="70"/>
      <c r="K351" s="92"/>
      <c r="M351" s="94"/>
      <c r="N351" s="94"/>
    </row>
    <row r="352">
      <c r="A352" s="70"/>
      <c r="K352" s="92"/>
      <c r="M352" s="94"/>
      <c r="N352" s="94"/>
    </row>
    <row r="353">
      <c r="A353" s="70"/>
      <c r="K353" s="92"/>
      <c r="M353" s="94"/>
      <c r="N353" s="94"/>
    </row>
    <row r="354">
      <c r="A354" s="70"/>
      <c r="K354" s="92"/>
      <c r="M354" s="94"/>
      <c r="N354" s="94"/>
    </row>
    <row r="355">
      <c r="A355" s="70"/>
      <c r="K355" s="92"/>
      <c r="M355" s="94"/>
      <c r="N355" s="94"/>
    </row>
    <row r="356">
      <c r="A356" s="70"/>
      <c r="K356" s="92"/>
      <c r="M356" s="94"/>
      <c r="N356" s="94"/>
    </row>
    <row r="357">
      <c r="A357" s="70"/>
      <c r="K357" s="92"/>
      <c r="M357" s="94"/>
      <c r="N357" s="94"/>
    </row>
    <row r="358">
      <c r="A358" s="70"/>
      <c r="K358" s="92"/>
      <c r="M358" s="94"/>
      <c r="N358" s="94"/>
    </row>
    <row r="359">
      <c r="A359" s="70"/>
      <c r="K359" s="92"/>
      <c r="M359" s="94"/>
      <c r="N359" s="94"/>
    </row>
    <row r="360">
      <c r="A360" s="70"/>
      <c r="K360" s="92"/>
      <c r="M360" s="94"/>
      <c r="N360" s="94"/>
    </row>
    <row r="361">
      <c r="A361" s="70"/>
      <c r="K361" s="92"/>
      <c r="M361" s="94"/>
      <c r="N361" s="94"/>
    </row>
    <row r="362">
      <c r="A362" s="70"/>
      <c r="K362" s="92"/>
      <c r="M362" s="94"/>
      <c r="N362" s="94"/>
    </row>
    <row r="363">
      <c r="A363" s="70"/>
      <c r="K363" s="92"/>
      <c r="M363" s="94"/>
      <c r="N363" s="94"/>
    </row>
    <row r="364">
      <c r="A364" s="70"/>
      <c r="K364" s="92"/>
      <c r="M364" s="94"/>
      <c r="N364" s="94"/>
    </row>
    <row r="365">
      <c r="A365" s="70"/>
      <c r="K365" s="92"/>
      <c r="M365" s="94"/>
      <c r="N365" s="94"/>
    </row>
    <row r="366">
      <c r="A366" s="70"/>
      <c r="K366" s="92"/>
      <c r="M366" s="94"/>
      <c r="N366" s="94"/>
    </row>
    <row r="367">
      <c r="A367" s="70"/>
      <c r="K367" s="92"/>
      <c r="M367" s="94"/>
      <c r="N367" s="94"/>
    </row>
    <row r="368">
      <c r="A368" s="70"/>
      <c r="K368" s="92"/>
      <c r="M368" s="94"/>
      <c r="N368" s="94"/>
    </row>
    <row r="369">
      <c r="A369" s="70"/>
      <c r="K369" s="92"/>
      <c r="M369" s="94"/>
      <c r="N369" s="94"/>
    </row>
    <row r="370">
      <c r="A370" s="70"/>
      <c r="K370" s="92"/>
      <c r="M370" s="94"/>
      <c r="N370" s="94"/>
    </row>
    <row r="371">
      <c r="A371" s="70"/>
      <c r="K371" s="92"/>
      <c r="M371" s="94"/>
      <c r="N371" s="94"/>
    </row>
    <row r="372">
      <c r="A372" s="70"/>
      <c r="K372" s="92"/>
      <c r="M372" s="94"/>
      <c r="N372" s="94"/>
    </row>
    <row r="373">
      <c r="A373" s="70"/>
      <c r="K373" s="92"/>
      <c r="M373" s="94"/>
      <c r="N373" s="94"/>
    </row>
    <row r="374">
      <c r="A374" s="70"/>
      <c r="K374" s="92"/>
      <c r="M374" s="94"/>
      <c r="N374" s="94"/>
    </row>
    <row r="375">
      <c r="A375" s="70"/>
      <c r="K375" s="92"/>
      <c r="M375" s="94"/>
      <c r="N375" s="94"/>
    </row>
    <row r="376">
      <c r="A376" s="70"/>
      <c r="K376" s="92"/>
      <c r="M376" s="94"/>
      <c r="N376" s="94"/>
    </row>
    <row r="377">
      <c r="A377" s="70"/>
      <c r="K377" s="92"/>
      <c r="M377" s="94"/>
      <c r="N377" s="94"/>
    </row>
    <row r="378">
      <c r="A378" s="70"/>
      <c r="K378" s="92"/>
      <c r="M378" s="94"/>
      <c r="N378" s="94"/>
    </row>
    <row r="379">
      <c r="A379" s="70"/>
      <c r="K379" s="92"/>
      <c r="M379" s="94"/>
      <c r="N379" s="94"/>
    </row>
    <row r="380">
      <c r="A380" s="70"/>
      <c r="K380" s="92"/>
      <c r="M380" s="94"/>
      <c r="N380" s="94"/>
    </row>
    <row r="381">
      <c r="A381" s="70"/>
      <c r="K381" s="92"/>
      <c r="M381" s="94"/>
      <c r="N381" s="94"/>
    </row>
    <row r="382">
      <c r="A382" s="70"/>
      <c r="K382" s="92"/>
      <c r="M382" s="94"/>
      <c r="N382" s="94"/>
    </row>
    <row r="383">
      <c r="A383" s="70"/>
      <c r="K383" s="92"/>
      <c r="M383" s="94"/>
      <c r="N383" s="94"/>
    </row>
    <row r="384">
      <c r="A384" s="70"/>
      <c r="K384" s="92"/>
      <c r="M384" s="94"/>
      <c r="N384" s="94"/>
    </row>
    <row r="385">
      <c r="A385" s="70"/>
      <c r="K385" s="92"/>
      <c r="M385" s="94"/>
      <c r="N385" s="94"/>
    </row>
    <row r="386">
      <c r="A386" s="70"/>
      <c r="K386" s="92"/>
      <c r="M386" s="94"/>
      <c r="N386" s="94"/>
    </row>
    <row r="387">
      <c r="A387" s="70"/>
      <c r="K387" s="92"/>
      <c r="M387" s="94"/>
      <c r="N387" s="94"/>
    </row>
    <row r="388">
      <c r="A388" s="70"/>
      <c r="K388" s="92"/>
      <c r="M388" s="94"/>
      <c r="N388" s="94"/>
    </row>
    <row r="389">
      <c r="A389" s="70"/>
      <c r="K389" s="92"/>
      <c r="M389" s="94"/>
      <c r="N389" s="94"/>
    </row>
    <row r="390">
      <c r="A390" s="70"/>
      <c r="K390" s="92"/>
      <c r="M390" s="94"/>
      <c r="N390" s="94"/>
    </row>
    <row r="391">
      <c r="A391" s="70"/>
      <c r="K391" s="92"/>
      <c r="M391" s="94"/>
      <c r="N391" s="94"/>
    </row>
    <row r="392">
      <c r="A392" s="70"/>
      <c r="K392" s="92"/>
      <c r="M392" s="94"/>
      <c r="N392" s="94"/>
    </row>
    <row r="393">
      <c r="A393" s="70"/>
      <c r="K393" s="92"/>
      <c r="M393" s="94"/>
      <c r="N393" s="94"/>
    </row>
    <row r="394">
      <c r="A394" s="70"/>
      <c r="K394" s="92"/>
      <c r="M394" s="94"/>
      <c r="N394" s="94"/>
    </row>
    <row r="395">
      <c r="A395" s="70"/>
      <c r="K395" s="92"/>
      <c r="M395" s="94"/>
      <c r="N395" s="94"/>
    </row>
    <row r="396">
      <c r="A396" s="70"/>
      <c r="K396" s="92"/>
      <c r="M396" s="94"/>
      <c r="N396" s="94"/>
    </row>
    <row r="397">
      <c r="A397" s="70"/>
      <c r="K397" s="92"/>
      <c r="M397" s="94"/>
      <c r="N397" s="94"/>
    </row>
    <row r="398">
      <c r="A398" s="70"/>
      <c r="K398" s="92"/>
      <c r="M398" s="94"/>
      <c r="N398" s="94"/>
    </row>
    <row r="399">
      <c r="A399" s="70"/>
      <c r="K399" s="92"/>
      <c r="M399" s="94"/>
      <c r="N399" s="94"/>
    </row>
    <row r="400">
      <c r="A400" s="70"/>
      <c r="K400" s="92"/>
      <c r="M400" s="94"/>
      <c r="N400" s="94"/>
    </row>
    <row r="401">
      <c r="A401" s="70"/>
      <c r="K401" s="92"/>
      <c r="M401" s="94"/>
      <c r="N401" s="94"/>
    </row>
    <row r="402">
      <c r="A402" s="70"/>
      <c r="K402" s="92"/>
      <c r="M402" s="94"/>
      <c r="N402" s="94"/>
    </row>
    <row r="403">
      <c r="A403" s="70"/>
      <c r="K403" s="92"/>
      <c r="M403" s="94"/>
      <c r="N403" s="94"/>
    </row>
    <row r="404">
      <c r="A404" s="70"/>
      <c r="K404" s="92"/>
      <c r="M404" s="94"/>
      <c r="N404" s="94"/>
    </row>
    <row r="405">
      <c r="A405" s="70"/>
      <c r="K405" s="92"/>
      <c r="M405" s="94"/>
      <c r="N405" s="94"/>
    </row>
    <row r="406">
      <c r="A406" s="70"/>
      <c r="K406" s="92"/>
      <c r="M406" s="94"/>
      <c r="N406" s="94"/>
    </row>
    <row r="407">
      <c r="A407" s="70"/>
      <c r="K407" s="92"/>
      <c r="M407" s="94"/>
      <c r="N407" s="94"/>
    </row>
    <row r="408">
      <c r="A408" s="70"/>
      <c r="K408" s="92"/>
      <c r="M408" s="94"/>
      <c r="N408" s="94"/>
    </row>
    <row r="409">
      <c r="A409" s="70"/>
      <c r="K409" s="92"/>
      <c r="M409" s="94"/>
      <c r="N409" s="94"/>
    </row>
    <row r="410">
      <c r="A410" s="70"/>
      <c r="K410" s="92"/>
      <c r="M410" s="94"/>
      <c r="N410" s="94"/>
    </row>
    <row r="411">
      <c r="A411" s="70"/>
      <c r="K411" s="92"/>
      <c r="M411" s="94"/>
      <c r="N411" s="94"/>
    </row>
    <row r="412">
      <c r="A412" s="70"/>
      <c r="K412" s="92"/>
      <c r="M412" s="94"/>
      <c r="N412" s="94"/>
    </row>
    <row r="413">
      <c r="A413" s="70"/>
      <c r="K413" s="92"/>
      <c r="M413" s="94"/>
      <c r="N413" s="94"/>
    </row>
    <row r="414">
      <c r="A414" s="70"/>
      <c r="K414" s="92"/>
      <c r="M414" s="94"/>
      <c r="N414" s="94"/>
    </row>
    <row r="415">
      <c r="A415" s="70"/>
      <c r="K415" s="92"/>
      <c r="M415" s="94"/>
      <c r="N415" s="94"/>
    </row>
    <row r="416">
      <c r="A416" s="70"/>
      <c r="K416" s="92"/>
      <c r="M416" s="94"/>
      <c r="N416" s="94"/>
    </row>
    <row r="417">
      <c r="A417" s="70"/>
      <c r="K417" s="92"/>
      <c r="M417" s="94"/>
      <c r="N417" s="94"/>
    </row>
    <row r="418">
      <c r="A418" s="70"/>
      <c r="K418" s="92"/>
      <c r="M418" s="94"/>
      <c r="N418" s="94"/>
    </row>
    <row r="419">
      <c r="A419" s="70"/>
      <c r="K419" s="92"/>
      <c r="M419" s="94"/>
      <c r="N419" s="94"/>
    </row>
    <row r="420">
      <c r="A420" s="70"/>
      <c r="K420" s="92"/>
      <c r="M420" s="94"/>
      <c r="N420" s="94"/>
    </row>
    <row r="421">
      <c r="A421" s="70"/>
      <c r="K421" s="92"/>
      <c r="M421" s="94"/>
      <c r="N421" s="94"/>
    </row>
    <row r="422">
      <c r="A422" s="70"/>
      <c r="K422" s="92"/>
      <c r="M422" s="94"/>
      <c r="N422" s="94"/>
    </row>
    <row r="423">
      <c r="A423" s="70"/>
      <c r="K423" s="92"/>
      <c r="M423" s="94"/>
      <c r="N423" s="94"/>
    </row>
    <row r="424">
      <c r="A424" s="70"/>
      <c r="K424" s="92"/>
      <c r="M424" s="94"/>
      <c r="N424" s="94"/>
    </row>
    <row r="425">
      <c r="A425" s="70"/>
      <c r="K425" s="92"/>
      <c r="M425" s="94"/>
      <c r="N425" s="94"/>
    </row>
    <row r="426">
      <c r="A426" s="70"/>
      <c r="K426" s="92"/>
      <c r="M426" s="94"/>
      <c r="N426" s="94"/>
    </row>
    <row r="427">
      <c r="A427" s="70"/>
      <c r="K427" s="92"/>
      <c r="M427" s="94"/>
      <c r="N427" s="94"/>
    </row>
    <row r="428">
      <c r="A428" s="70"/>
      <c r="K428" s="92"/>
      <c r="M428" s="94"/>
      <c r="N428" s="94"/>
    </row>
    <row r="429">
      <c r="A429" s="70"/>
      <c r="K429" s="92"/>
      <c r="M429" s="94"/>
      <c r="N429" s="94"/>
    </row>
    <row r="430">
      <c r="A430" s="70"/>
      <c r="K430" s="92"/>
      <c r="M430" s="94"/>
      <c r="N430" s="94"/>
    </row>
    <row r="431">
      <c r="A431" s="70"/>
      <c r="K431" s="92"/>
      <c r="M431" s="94"/>
      <c r="N431" s="94"/>
    </row>
    <row r="432">
      <c r="A432" s="70"/>
      <c r="K432" s="92"/>
      <c r="M432" s="94"/>
      <c r="N432" s="94"/>
    </row>
    <row r="433">
      <c r="A433" s="70"/>
      <c r="K433" s="92"/>
      <c r="M433" s="94"/>
      <c r="N433" s="94"/>
    </row>
    <row r="434">
      <c r="A434" s="70"/>
      <c r="K434" s="92"/>
      <c r="M434" s="94"/>
      <c r="N434" s="94"/>
    </row>
    <row r="435">
      <c r="A435" s="70"/>
      <c r="K435" s="92"/>
      <c r="M435" s="94"/>
      <c r="N435" s="94"/>
    </row>
    <row r="436">
      <c r="A436" s="70"/>
      <c r="K436" s="92"/>
      <c r="M436" s="94"/>
      <c r="N436" s="94"/>
    </row>
    <row r="437">
      <c r="A437" s="70"/>
      <c r="K437" s="92"/>
      <c r="M437" s="94"/>
      <c r="N437" s="94"/>
    </row>
    <row r="438">
      <c r="A438" s="70"/>
      <c r="K438" s="92"/>
      <c r="M438" s="94"/>
      <c r="N438" s="94"/>
    </row>
    <row r="439">
      <c r="A439" s="70"/>
      <c r="K439" s="92"/>
      <c r="M439" s="94"/>
      <c r="N439" s="94"/>
    </row>
    <row r="440">
      <c r="A440" s="70"/>
      <c r="K440" s="92"/>
      <c r="M440" s="94"/>
      <c r="N440" s="94"/>
    </row>
    <row r="441">
      <c r="A441" s="70"/>
      <c r="K441" s="92"/>
      <c r="M441" s="94"/>
      <c r="N441" s="94"/>
    </row>
    <row r="442">
      <c r="A442" s="70"/>
      <c r="K442" s="92"/>
      <c r="M442" s="94"/>
      <c r="N442" s="94"/>
    </row>
    <row r="443">
      <c r="A443" s="70"/>
      <c r="K443" s="92"/>
      <c r="M443" s="94"/>
      <c r="N443" s="94"/>
    </row>
    <row r="444">
      <c r="A444" s="70"/>
      <c r="K444" s="92"/>
      <c r="M444" s="94"/>
      <c r="N444" s="94"/>
    </row>
    <row r="445">
      <c r="A445" s="70"/>
      <c r="K445" s="92"/>
      <c r="M445" s="94"/>
      <c r="N445" s="94"/>
    </row>
    <row r="446">
      <c r="A446" s="70"/>
      <c r="K446" s="92"/>
      <c r="M446" s="94"/>
      <c r="N446" s="94"/>
    </row>
    <row r="447">
      <c r="A447" s="70"/>
      <c r="K447" s="92"/>
      <c r="M447" s="94"/>
      <c r="N447" s="94"/>
    </row>
    <row r="448">
      <c r="A448" s="70"/>
      <c r="K448" s="92"/>
      <c r="M448" s="94"/>
      <c r="N448" s="94"/>
    </row>
    <row r="449">
      <c r="A449" s="70"/>
      <c r="K449" s="92"/>
      <c r="M449" s="94"/>
      <c r="N449" s="94"/>
    </row>
    <row r="450">
      <c r="A450" s="70"/>
      <c r="K450" s="92"/>
      <c r="M450" s="94"/>
      <c r="N450" s="94"/>
    </row>
    <row r="451">
      <c r="A451" s="70"/>
      <c r="K451" s="92"/>
      <c r="M451" s="94"/>
      <c r="N451" s="94"/>
    </row>
    <row r="452">
      <c r="A452" s="70"/>
      <c r="K452" s="92"/>
      <c r="M452" s="94"/>
      <c r="N452" s="94"/>
    </row>
    <row r="453">
      <c r="A453" s="70"/>
      <c r="K453" s="92"/>
      <c r="M453" s="94"/>
      <c r="N453" s="94"/>
    </row>
    <row r="454">
      <c r="A454" s="70"/>
      <c r="K454" s="92"/>
      <c r="M454" s="94"/>
      <c r="N454" s="94"/>
    </row>
    <row r="455">
      <c r="A455" s="70"/>
      <c r="K455" s="92"/>
      <c r="M455" s="94"/>
      <c r="N455" s="94"/>
    </row>
    <row r="456">
      <c r="A456" s="70"/>
      <c r="K456" s="92"/>
      <c r="M456" s="94"/>
      <c r="N456" s="94"/>
    </row>
    <row r="457">
      <c r="A457" s="70"/>
      <c r="K457" s="92"/>
      <c r="M457" s="94"/>
      <c r="N457" s="94"/>
    </row>
    <row r="458">
      <c r="A458" s="70"/>
      <c r="K458" s="92"/>
      <c r="M458" s="94"/>
      <c r="N458" s="94"/>
    </row>
    <row r="459">
      <c r="A459" s="70"/>
      <c r="K459" s="92"/>
      <c r="M459" s="94"/>
      <c r="N459" s="94"/>
    </row>
    <row r="460">
      <c r="A460" s="70"/>
      <c r="K460" s="92"/>
      <c r="M460" s="94"/>
      <c r="N460" s="94"/>
    </row>
    <row r="461">
      <c r="A461" s="70"/>
      <c r="K461" s="92"/>
      <c r="M461" s="94"/>
      <c r="N461" s="94"/>
    </row>
    <row r="462">
      <c r="A462" s="70"/>
      <c r="K462" s="92"/>
      <c r="M462" s="94"/>
      <c r="N462" s="94"/>
    </row>
    <row r="463">
      <c r="A463" s="70"/>
      <c r="K463" s="92"/>
      <c r="M463" s="94"/>
      <c r="N463" s="94"/>
    </row>
    <row r="464">
      <c r="A464" s="70"/>
      <c r="K464" s="92"/>
      <c r="M464" s="94"/>
      <c r="N464" s="94"/>
    </row>
    <row r="465">
      <c r="A465" s="70"/>
      <c r="K465" s="92"/>
      <c r="M465" s="94"/>
      <c r="N465" s="94"/>
    </row>
    <row r="466">
      <c r="A466" s="70"/>
      <c r="K466" s="92"/>
      <c r="M466" s="94"/>
      <c r="N466" s="94"/>
    </row>
    <row r="467">
      <c r="A467" s="70"/>
      <c r="K467" s="92"/>
      <c r="M467" s="94"/>
      <c r="N467" s="94"/>
    </row>
    <row r="468">
      <c r="A468" s="70"/>
      <c r="K468" s="92"/>
      <c r="M468" s="94"/>
      <c r="N468" s="94"/>
    </row>
    <row r="469">
      <c r="A469" s="70"/>
      <c r="K469" s="92"/>
      <c r="M469" s="94"/>
      <c r="N469" s="94"/>
    </row>
    <row r="470">
      <c r="A470" s="70"/>
      <c r="K470" s="92"/>
      <c r="M470" s="94"/>
      <c r="N470" s="94"/>
    </row>
    <row r="471">
      <c r="A471" s="70"/>
      <c r="K471" s="92"/>
      <c r="M471" s="94"/>
      <c r="N471" s="94"/>
    </row>
    <row r="472">
      <c r="A472" s="70"/>
      <c r="K472" s="92"/>
      <c r="M472" s="94"/>
      <c r="N472" s="94"/>
    </row>
    <row r="473">
      <c r="A473" s="70"/>
      <c r="K473" s="92"/>
      <c r="M473" s="94"/>
      <c r="N473" s="94"/>
    </row>
    <row r="474">
      <c r="A474" s="70"/>
      <c r="K474" s="92"/>
      <c r="M474" s="94"/>
      <c r="N474" s="94"/>
    </row>
    <row r="475">
      <c r="A475" s="70"/>
      <c r="K475" s="92"/>
      <c r="M475" s="94"/>
      <c r="N475" s="94"/>
    </row>
    <row r="476">
      <c r="A476" s="70"/>
      <c r="K476" s="92"/>
      <c r="M476" s="94"/>
      <c r="N476" s="94"/>
    </row>
    <row r="477">
      <c r="A477" s="70"/>
      <c r="K477" s="92"/>
      <c r="M477" s="94"/>
      <c r="N477" s="94"/>
    </row>
    <row r="478">
      <c r="A478" s="70"/>
      <c r="K478" s="92"/>
      <c r="M478" s="94"/>
      <c r="N478" s="94"/>
    </row>
    <row r="479">
      <c r="A479" s="70"/>
      <c r="K479" s="92"/>
      <c r="M479" s="94"/>
      <c r="N479" s="94"/>
    </row>
    <row r="480">
      <c r="A480" s="70"/>
      <c r="K480" s="92"/>
      <c r="M480" s="94"/>
      <c r="N480" s="94"/>
    </row>
    <row r="481">
      <c r="A481" s="70"/>
      <c r="K481" s="92"/>
      <c r="M481" s="94"/>
      <c r="N481" s="94"/>
    </row>
    <row r="482">
      <c r="A482" s="70"/>
      <c r="K482" s="92"/>
      <c r="M482" s="94"/>
      <c r="N482" s="94"/>
    </row>
    <row r="483">
      <c r="A483" s="70"/>
      <c r="K483" s="92"/>
      <c r="M483" s="94"/>
      <c r="N483" s="94"/>
    </row>
    <row r="484">
      <c r="A484" s="70"/>
      <c r="K484" s="92"/>
      <c r="M484" s="94"/>
      <c r="N484" s="94"/>
    </row>
    <row r="485">
      <c r="A485" s="70"/>
      <c r="K485" s="92"/>
      <c r="M485" s="94"/>
      <c r="N485" s="94"/>
    </row>
    <row r="486">
      <c r="A486" s="70"/>
      <c r="K486" s="92"/>
      <c r="M486" s="94"/>
      <c r="N486" s="94"/>
    </row>
    <row r="487">
      <c r="A487" s="70"/>
      <c r="K487" s="92"/>
      <c r="M487" s="94"/>
      <c r="N487" s="94"/>
    </row>
    <row r="488">
      <c r="A488" s="70"/>
      <c r="K488" s="92"/>
      <c r="M488" s="94"/>
      <c r="N488" s="94"/>
    </row>
    <row r="489">
      <c r="A489" s="70"/>
      <c r="K489" s="92"/>
      <c r="M489" s="94"/>
      <c r="N489" s="94"/>
    </row>
    <row r="490">
      <c r="A490" s="70"/>
      <c r="K490" s="92"/>
      <c r="M490" s="94"/>
      <c r="N490" s="94"/>
    </row>
    <row r="491">
      <c r="A491" s="70"/>
      <c r="K491" s="92"/>
      <c r="M491" s="94"/>
      <c r="N491" s="94"/>
    </row>
    <row r="492">
      <c r="A492" s="70"/>
      <c r="K492" s="92"/>
      <c r="M492" s="94"/>
      <c r="N492" s="94"/>
    </row>
    <row r="493">
      <c r="A493" s="70"/>
      <c r="K493" s="92"/>
      <c r="M493" s="94"/>
      <c r="N493" s="94"/>
    </row>
    <row r="494">
      <c r="A494" s="70"/>
      <c r="K494" s="92"/>
      <c r="M494" s="94"/>
      <c r="N494" s="94"/>
    </row>
    <row r="495">
      <c r="A495" s="70"/>
      <c r="K495" s="92"/>
      <c r="M495" s="94"/>
      <c r="N495" s="94"/>
    </row>
    <row r="496">
      <c r="A496" s="70"/>
      <c r="K496" s="92"/>
      <c r="M496" s="94"/>
      <c r="N496" s="94"/>
    </row>
    <row r="497">
      <c r="A497" s="70"/>
      <c r="K497" s="92"/>
      <c r="M497" s="94"/>
      <c r="N497" s="94"/>
    </row>
    <row r="498">
      <c r="A498" s="70"/>
      <c r="K498" s="92"/>
      <c r="M498" s="94"/>
      <c r="N498" s="94"/>
    </row>
    <row r="499">
      <c r="A499" s="70"/>
      <c r="K499" s="92"/>
      <c r="M499" s="94"/>
      <c r="N499" s="94"/>
    </row>
    <row r="500">
      <c r="A500" s="70"/>
      <c r="K500" s="92"/>
      <c r="M500" s="94"/>
      <c r="N500" s="94"/>
    </row>
    <row r="501">
      <c r="A501" s="70"/>
      <c r="K501" s="92"/>
      <c r="M501" s="94"/>
      <c r="N501" s="94"/>
    </row>
    <row r="502">
      <c r="A502" s="70"/>
      <c r="K502" s="92"/>
      <c r="M502" s="94"/>
      <c r="N502" s="94"/>
    </row>
    <row r="503">
      <c r="A503" s="70"/>
      <c r="K503" s="92"/>
      <c r="M503" s="94"/>
      <c r="N503" s="94"/>
    </row>
    <row r="504">
      <c r="A504" s="70"/>
      <c r="K504" s="92"/>
      <c r="M504" s="94"/>
      <c r="N504" s="94"/>
    </row>
    <row r="505">
      <c r="A505" s="70"/>
      <c r="K505" s="92"/>
      <c r="M505" s="94"/>
      <c r="N505" s="94"/>
    </row>
    <row r="506">
      <c r="A506" s="70"/>
      <c r="K506" s="92"/>
      <c r="M506" s="94"/>
      <c r="N506" s="94"/>
    </row>
    <row r="507">
      <c r="A507" s="70"/>
      <c r="K507" s="92"/>
      <c r="M507" s="94"/>
      <c r="N507" s="94"/>
    </row>
    <row r="508">
      <c r="A508" s="70"/>
      <c r="K508" s="92"/>
      <c r="M508" s="94"/>
      <c r="N508" s="94"/>
    </row>
    <row r="509">
      <c r="A509" s="70"/>
      <c r="K509" s="92"/>
      <c r="M509" s="94"/>
      <c r="N509" s="94"/>
    </row>
    <row r="510">
      <c r="A510" s="70"/>
      <c r="K510" s="92"/>
      <c r="M510" s="94"/>
      <c r="N510" s="94"/>
    </row>
    <row r="511">
      <c r="A511" s="70"/>
      <c r="K511" s="92"/>
      <c r="M511" s="94"/>
      <c r="N511" s="94"/>
    </row>
    <row r="512">
      <c r="A512" s="70"/>
      <c r="K512" s="92"/>
      <c r="M512" s="94"/>
      <c r="N512" s="94"/>
    </row>
    <row r="513">
      <c r="A513" s="70"/>
      <c r="K513" s="92"/>
      <c r="M513" s="94"/>
      <c r="N513" s="94"/>
    </row>
    <row r="514">
      <c r="A514" s="70"/>
      <c r="K514" s="92"/>
      <c r="M514" s="94"/>
      <c r="N514" s="94"/>
    </row>
    <row r="515">
      <c r="A515" s="70"/>
      <c r="K515" s="92"/>
      <c r="M515" s="94"/>
      <c r="N515" s="94"/>
    </row>
    <row r="516">
      <c r="A516" s="70"/>
      <c r="K516" s="92"/>
      <c r="M516" s="94"/>
      <c r="N516" s="94"/>
    </row>
    <row r="517">
      <c r="A517" s="70"/>
      <c r="K517" s="92"/>
      <c r="M517" s="94"/>
      <c r="N517" s="94"/>
    </row>
    <row r="518">
      <c r="A518" s="70"/>
      <c r="K518" s="92"/>
      <c r="M518" s="94"/>
      <c r="N518" s="94"/>
    </row>
    <row r="519">
      <c r="A519" s="70"/>
      <c r="K519" s="92"/>
      <c r="M519" s="94"/>
      <c r="N519" s="94"/>
    </row>
    <row r="520">
      <c r="A520" s="70"/>
      <c r="K520" s="92"/>
      <c r="M520" s="94"/>
      <c r="N520" s="94"/>
    </row>
    <row r="521">
      <c r="A521" s="70"/>
      <c r="K521" s="92"/>
      <c r="M521" s="94"/>
      <c r="N521" s="94"/>
    </row>
    <row r="522">
      <c r="A522" s="70"/>
      <c r="K522" s="92"/>
      <c r="M522" s="94"/>
      <c r="N522" s="94"/>
    </row>
    <row r="523">
      <c r="A523" s="70"/>
      <c r="K523" s="92"/>
      <c r="M523" s="94"/>
      <c r="N523" s="94"/>
    </row>
    <row r="524">
      <c r="A524" s="70"/>
      <c r="K524" s="92"/>
      <c r="M524" s="94"/>
      <c r="N524" s="94"/>
    </row>
    <row r="525">
      <c r="A525" s="70"/>
      <c r="K525" s="92"/>
      <c r="M525" s="94"/>
      <c r="N525" s="94"/>
    </row>
    <row r="526">
      <c r="A526" s="70"/>
      <c r="K526" s="92"/>
      <c r="M526" s="94"/>
      <c r="N526" s="94"/>
    </row>
    <row r="527">
      <c r="A527" s="70"/>
      <c r="K527" s="92"/>
      <c r="M527" s="94"/>
      <c r="N527" s="94"/>
    </row>
    <row r="528">
      <c r="A528" s="70"/>
      <c r="K528" s="92"/>
      <c r="M528" s="94"/>
      <c r="N528" s="94"/>
    </row>
    <row r="529">
      <c r="A529" s="70"/>
      <c r="K529" s="92"/>
      <c r="M529" s="94"/>
      <c r="N529" s="94"/>
    </row>
    <row r="530">
      <c r="A530" s="70"/>
      <c r="K530" s="92"/>
      <c r="M530" s="94"/>
      <c r="N530" s="94"/>
    </row>
    <row r="531">
      <c r="A531" s="70"/>
      <c r="K531" s="92"/>
      <c r="M531" s="94"/>
      <c r="N531" s="94"/>
    </row>
    <row r="532">
      <c r="A532" s="70"/>
      <c r="K532" s="92"/>
      <c r="M532" s="94"/>
      <c r="N532" s="94"/>
    </row>
    <row r="533">
      <c r="A533" s="70"/>
      <c r="K533" s="92"/>
      <c r="M533" s="94"/>
      <c r="N533" s="94"/>
    </row>
    <row r="534">
      <c r="A534" s="70"/>
      <c r="K534" s="92"/>
      <c r="M534" s="94"/>
      <c r="N534" s="94"/>
    </row>
    <row r="535">
      <c r="A535" s="70"/>
      <c r="K535" s="92"/>
      <c r="M535" s="94"/>
      <c r="N535" s="94"/>
    </row>
    <row r="536">
      <c r="A536" s="70"/>
      <c r="K536" s="92"/>
      <c r="M536" s="94"/>
      <c r="N536" s="94"/>
    </row>
    <row r="537">
      <c r="A537" s="70"/>
      <c r="K537" s="92"/>
      <c r="M537" s="94"/>
      <c r="N537" s="94"/>
    </row>
    <row r="538">
      <c r="A538" s="70"/>
      <c r="K538" s="92"/>
      <c r="M538" s="94"/>
      <c r="N538" s="94"/>
    </row>
    <row r="539">
      <c r="A539" s="70"/>
      <c r="K539" s="92"/>
      <c r="M539" s="94"/>
      <c r="N539" s="94"/>
    </row>
    <row r="540">
      <c r="A540" s="70"/>
      <c r="K540" s="92"/>
      <c r="M540" s="94"/>
      <c r="N540" s="94"/>
    </row>
    <row r="541">
      <c r="A541" s="70"/>
      <c r="K541" s="92"/>
      <c r="M541" s="94"/>
      <c r="N541" s="94"/>
    </row>
    <row r="542">
      <c r="A542" s="70"/>
      <c r="K542" s="92"/>
      <c r="M542" s="94"/>
      <c r="N542" s="94"/>
    </row>
    <row r="543">
      <c r="A543" s="70"/>
      <c r="K543" s="92"/>
      <c r="M543" s="94"/>
      <c r="N543" s="94"/>
    </row>
    <row r="544">
      <c r="A544" s="70"/>
      <c r="K544" s="92"/>
      <c r="M544" s="94"/>
      <c r="N544" s="94"/>
    </row>
    <row r="545">
      <c r="A545" s="70"/>
      <c r="K545" s="92"/>
      <c r="M545" s="94"/>
      <c r="N545" s="94"/>
    </row>
    <row r="546">
      <c r="A546" s="70"/>
      <c r="K546" s="92"/>
      <c r="M546" s="94"/>
      <c r="N546" s="94"/>
    </row>
    <row r="547">
      <c r="A547" s="70"/>
      <c r="K547" s="92"/>
      <c r="M547" s="94"/>
      <c r="N547" s="94"/>
    </row>
    <row r="548">
      <c r="A548" s="70"/>
      <c r="K548" s="92"/>
      <c r="M548" s="94"/>
      <c r="N548" s="94"/>
    </row>
    <row r="549">
      <c r="A549" s="70"/>
      <c r="K549" s="92"/>
      <c r="M549" s="94"/>
      <c r="N549" s="94"/>
    </row>
    <row r="550">
      <c r="A550" s="70"/>
      <c r="K550" s="92"/>
      <c r="M550" s="94"/>
      <c r="N550" s="94"/>
    </row>
    <row r="551">
      <c r="A551" s="70"/>
      <c r="K551" s="92"/>
      <c r="M551" s="94"/>
      <c r="N551" s="94"/>
    </row>
    <row r="552">
      <c r="A552" s="70"/>
      <c r="K552" s="92"/>
      <c r="M552" s="94"/>
      <c r="N552" s="94"/>
    </row>
    <row r="553">
      <c r="A553" s="70"/>
      <c r="K553" s="92"/>
      <c r="M553" s="94"/>
      <c r="N553" s="94"/>
    </row>
    <row r="554">
      <c r="A554" s="70"/>
      <c r="K554" s="92"/>
      <c r="M554" s="94"/>
      <c r="N554" s="94"/>
    </row>
    <row r="555">
      <c r="A555" s="70"/>
      <c r="K555" s="92"/>
      <c r="M555" s="94"/>
      <c r="N555" s="94"/>
    </row>
    <row r="556">
      <c r="A556" s="70"/>
      <c r="K556" s="92"/>
      <c r="M556" s="94"/>
      <c r="N556" s="94"/>
    </row>
    <row r="557">
      <c r="A557" s="70"/>
      <c r="K557" s="92"/>
      <c r="M557" s="94"/>
      <c r="N557" s="94"/>
    </row>
    <row r="558">
      <c r="A558" s="70"/>
      <c r="K558" s="92"/>
      <c r="M558" s="94"/>
      <c r="N558" s="94"/>
    </row>
    <row r="559">
      <c r="A559" s="70"/>
      <c r="K559" s="92"/>
      <c r="M559" s="94"/>
      <c r="N559" s="94"/>
    </row>
    <row r="560">
      <c r="A560" s="70"/>
      <c r="K560" s="92"/>
      <c r="M560" s="94"/>
      <c r="N560" s="94"/>
    </row>
    <row r="561">
      <c r="A561" s="70"/>
      <c r="K561" s="92"/>
      <c r="M561" s="94"/>
      <c r="N561" s="94"/>
    </row>
    <row r="562">
      <c r="A562" s="70"/>
      <c r="K562" s="92"/>
      <c r="M562" s="94"/>
      <c r="N562" s="94"/>
    </row>
    <row r="563">
      <c r="A563" s="70"/>
      <c r="K563" s="92"/>
      <c r="M563" s="94"/>
      <c r="N563" s="94"/>
    </row>
    <row r="564">
      <c r="A564" s="70"/>
      <c r="K564" s="92"/>
      <c r="M564" s="94"/>
      <c r="N564" s="94"/>
    </row>
    <row r="565">
      <c r="A565" s="70"/>
      <c r="K565" s="92"/>
      <c r="M565" s="94"/>
      <c r="N565" s="94"/>
    </row>
    <row r="566">
      <c r="A566" s="70"/>
      <c r="K566" s="92"/>
      <c r="M566" s="94"/>
      <c r="N566" s="94"/>
    </row>
    <row r="567">
      <c r="A567" s="70"/>
      <c r="K567" s="92"/>
      <c r="M567" s="94"/>
      <c r="N567" s="94"/>
    </row>
    <row r="568">
      <c r="A568" s="70"/>
      <c r="K568" s="92"/>
      <c r="M568" s="94"/>
      <c r="N568" s="94"/>
    </row>
    <row r="569">
      <c r="A569" s="70"/>
      <c r="K569" s="92"/>
      <c r="M569" s="94"/>
      <c r="N569" s="94"/>
    </row>
    <row r="570">
      <c r="A570" s="70"/>
      <c r="K570" s="92"/>
      <c r="M570" s="94"/>
      <c r="N570" s="94"/>
    </row>
    <row r="571">
      <c r="A571" s="70"/>
      <c r="K571" s="92"/>
      <c r="M571" s="94"/>
      <c r="N571" s="94"/>
    </row>
    <row r="572">
      <c r="A572" s="70"/>
      <c r="K572" s="92"/>
      <c r="M572" s="94"/>
      <c r="N572" s="94"/>
    </row>
    <row r="573">
      <c r="A573" s="70"/>
      <c r="K573" s="92"/>
      <c r="M573" s="94"/>
      <c r="N573" s="94"/>
    </row>
    <row r="574">
      <c r="A574" s="70"/>
      <c r="K574" s="92"/>
      <c r="M574" s="94"/>
      <c r="N574" s="94"/>
    </row>
    <row r="575">
      <c r="A575" s="70"/>
      <c r="K575" s="92"/>
      <c r="M575" s="94"/>
      <c r="N575" s="94"/>
    </row>
    <row r="576">
      <c r="A576" s="70"/>
      <c r="K576" s="92"/>
      <c r="M576" s="94"/>
      <c r="N576" s="94"/>
    </row>
    <row r="577">
      <c r="A577" s="70"/>
      <c r="K577" s="92"/>
      <c r="M577" s="94"/>
      <c r="N577" s="94"/>
    </row>
    <row r="578">
      <c r="A578" s="70"/>
      <c r="K578" s="92"/>
      <c r="M578" s="94"/>
      <c r="N578" s="94"/>
    </row>
    <row r="579">
      <c r="A579" s="70"/>
      <c r="K579" s="92"/>
      <c r="M579" s="94"/>
      <c r="N579" s="94"/>
    </row>
    <row r="580">
      <c r="A580" s="70"/>
      <c r="K580" s="92"/>
      <c r="M580" s="94"/>
      <c r="N580" s="94"/>
    </row>
    <row r="581">
      <c r="A581" s="70"/>
      <c r="K581" s="92"/>
      <c r="M581" s="94"/>
      <c r="N581" s="94"/>
    </row>
    <row r="582">
      <c r="A582" s="70"/>
      <c r="K582" s="92"/>
      <c r="M582" s="94"/>
      <c r="N582" s="94"/>
    </row>
    <row r="583">
      <c r="A583" s="70"/>
      <c r="K583" s="92"/>
      <c r="M583" s="94"/>
      <c r="N583" s="94"/>
    </row>
    <row r="584">
      <c r="A584" s="70"/>
      <c r="K584" s="92"/>
      <c r="M584" s="94"/>
      <c r="N584" s="94"/>
    </row>
    <row r="585">
      <c r="A585" s="70"/>
      <c r="K585" s="92"/>
      <c r="M585" s="94"/>
      <c r="N585" s="94"/>
    </row>
    <row r="586">
      <c r="A586" s="70"/>
      <c r="K586" s="92"/>
      <c r="M586" s="94"/>
      <c r="N586" s="94"/>
    </row>
    <row r="587">
      <c r="A587" s="70"/>
      <c r="K587" s="92"/>
      <c r="M587" s="94"/>
      <c r="N587" s="94"/>
    </row>
    <row r="588">
      <c r="A588" s="70"/>
      <c r="K588" s="92"/>
      <c r="M588" s="94"/>
      <c r="N588" s="94"/>
    </row>
    <row r="589">
      <c r="A589" s="70"/>
      <c r="K589" s="92"/>
      <c r="M589" s="94"/>
      <c r="N589" s="94"/>
    </row>
    <row r="590">
      <c r="A590" s="70"/>
      <c r="K590" s="92"/>
      <c r="M590" s="94"/>
      <c r="N590" s="94"/>
    </row>
    <row r="591">
      <c r="A591" s="70"/>
      <c r="K591" s="92"/>
      <c r="M591" s="94"/>
      <c r="N591" s="94"/>
    </row>
    <row r="592">
      <c r="A592" s="70"/>
      <c r="K592" s="92"/>
      <c r="M592" s="94"/>
      <c r="N592" s="94"/>
    </row>
    <row r="593">
      <c r="A593" s="70"/>
      <c r="K593" s="92"/>
      <c r="M593" s="94"/>
      <c r="N593" s="94"/>
    </row>
    <row r="594">
      <c r="A594" s="70"/>
      <c r="K594" s="92"/>
      <c r="M594" s="94"/>
      <c r="N594" s="94"/>
    </row>
    <row r="595">
      <c r="A595" s="70"/>
      <c r="K595" s="92"/>
      <c r="M595" s="94"/>
      <c r="N595" s="94"/>
    </row>
    <row r="596">
      <c r="A596" s="70"/>
      <c r="K596" s="92"/>
      <c r="M596" s="94"/>
      <c r="N596" s="94"/>
    </row>
    <row r="597">
      <c r="A597" s="70"/>
      <c r="K597" s="92"/>
      <c r="M597" s="94"/>
      <c r="N597" s="94"/>
    </row>
    <row r="598">
      <c r="A598" s="70"/>
      <c r="K598" s="92"/>
      <c r="M598" s="94"/>
      <c r="N598" s="94"/>
    </row>
    <row r="599">
      <c r="A599" s="70"/>
      <c r="K599" s="92"/>
      <c r="M599" s="94"/>
      <c r="N599" s="94"/>
    </row>
    <row r="600">
      <c r="A600" s="70"/>
      <c r="K600" s="92"/>
      <c r="M600" s="94"/>
      <c r="N600" s="94"/>
    </row>
    <row r="601">
      <c r="A601" s="70"/>
      <c r="K601" s="92"/>
      <c r="M601" s="94"/>
      <c r="N601" s="94"/>
    </row>
    <row r="602">
      <c r="A602" s="70"/>
      <c r="K602" s="92"/>
      <c r="M602" s="94"/>
      <c r="N602" s="94"/>
    </row>
    <row r="603">
      <c r="A603" s="70"/>
      <c r="K603" s="92"/>
      <c r="M603" s="94"/>
      <c r="N603" s="94"/>
    </row>
    <row r="604">
      <c r="A604" s="70"/>
      <c r="K604" s="92"/>
      <c r="M604" s="94"/>
      <c r="N604" s="94"/>
    </row>
    <row r="605">
      <c r="A605" s="70"/>
      <c r="K605" s="92"/>
      <c r="M605" s="94"/>
      <c r="N605" s="94"/>
    </row>
    <row r="606">
      <c r="A606" s="70"/>
      <c r="K606" s="92"/>
      <c r="M606" s="94"/>
      <c r="N606" s="94"/>
    </row>
    <row r="607">
      <c r="A607" s="70"/>
      <c r="K607" s="92"/>
      <c r="M607" s="94"/>
      <c r="N607" s="94"/>
    </row>
    <row r="608">
      <c r="A608" s="70"/>
      <c r="K608" s="92"/>
      <c r="M608" s="94"/>
      <c r="N608" s="94"/>
    </row>
    <row r="609">
      <c r="A609" s="70"/>
      <c r="K609" s="92"/>
      <c r="M609" s="94"/>
      <c r="N609" s="94"/>
    </row>
    <row r="610">
      <c r="A610" s="70"/>
      <c r="K610" s="92"/>
      <c r="M610" s="94"/>
      <c r="N610" s="94"/>
    </row>
    <row r="611">
      <c r="A611" s="70"/>
      <c r="K611" s="92"/>
      <c r="M611" s="94"/>
      <c r="N611" s="94"/>
    </row>
    <row r="612">
      <c r="A612" s="70"/>
      <c r="K612" s="92"/>
      <c r="M612" s="94"/>
      <c r="N612" s="94"/>
    </row>
    <row r="613">
      <c r="A613" s="70"/>
      <c r="K613" s="92"/>
      <c r="M613" s="94"/>
      <c r="N613" s="94"/>
    </row>
    <row r="614">
      <c r="A614" s="70"/>
      <c r="K614" s="92"/>
      <c r="M614" s="94"/>
      <c r="N614" s="94"/>
    </row>
    <row r="615">
      <c r="A615" s="70"/>
      <c r="K615" s="92"/>
      <c r="M615" s="94"/>
      <c r="N615" s="94"/>
    </row>
    <row r="616">
      <c r="A616" s="70"/>
      <c r="K616" s="92"/>
      <c r="M616" s="94"/>
      <c r="N616" s="94"/>
    </row>
    <row r="617">
      <c r="A617" s="70"/>
      <c r="K617" s="92"/>
      <c r="M617" s="94"/>
      <c r="N617" s="94"/>
    </row>
    <row r="618">
      <c r="A618" s="70"/>
      <c r="K618" s="92"/>
      <c r="M618" s="94"/>
      <c r="N618" s="94"/>
    </row>
    <row r="619">
      <c r="A619" s="70"/>
      <c r="K619" s="92"/>
      <c r="M619" s="94"/>
      <c r="N619" s="94"/>
    </row>
    <row r="620">
      <c r="A620" s="70"/>
      <c r="K620" s="92"/>
      <c r="M620" s="94"/>
      <c r="N620" s="94"/>
    </row>
    <row r="621">
      <c r="A621" s="70"/>
      <c r="K621" s="92"/>
      <c r="M621" s="94"/>
      <c r="N621" s="94"/>
    </row>
    <row r="622">
      <c r="A622" s="70"/>
      <c r="K622" s="92"/>
      <c r="M622" s="94"/>
      <c r="N622" s="94"/>
    </row>
    <row r="623">
      <c r="A623" s="70"/>
      <c r="K623" s="92"/>
      <c r="M623" s="94"/>
      <c r="N623" s="94"/>
    </row>
    <row r="624">
      <c r="A624" s="70"/>
      <c r="K624" s="92"/>
      <c r="M624" s="94"/>
      <c r="N624" s="94"/>
    </row>
    <row r="625">
      <c r="A625" s="70"/>
      <c r="K625" s="92"/>
      <c r="M625" s="94"/>
      <c r="N625" s="94"/>
    </row>
    <row r="626">
      <c r="A626" s="70"/>
      <c r="K626" s="92"/>
      <c r="M626" s="94"/>
      <c r="N626" s="94"/>
    </row>
    <row r="627">
      <c r="A627" s="70"/>
      <c r="K627" s="92"/>
      <c r="M627" s="94"/>
      <c r="N627" s="94"/>
    </row>
    <row r="628">
      <c r="A628" s="70"/>
      <c r="K628" s="92"/>
      <c r="M628" s="94"/>
      <c r="N628" s="94"/>
    </row>
    <row r="629">
      <c r="A629" s="70"/>
      <c r="K629" s="92"/>
      <c r="M629" s="94"/>
      <c r="N629" s="94"/>
    </row>
    <row r="630">
      <c r="A630" s="70"/>
      <c r="K630" s="92"/>
      <c r="M630" s="94"/>
      <c r="N630" s="94"/>
    </row>
    <row r="631">
      <c r="A631" s="70"/>
      <c r="K631" s="92"/>
      <c r="M631" s="94"/>
      <c r="N631" s="94"/>
    </row>
    <row r="632">
      <c r="A632" s="70"/>
      <c r="K632" s="92"/>
      <c r="M632" s="94"/>
      <c r="N632" s="94"/>
    </row>
    <row r="633">
      <c r="A633" s="70"/>
      <c r="K633" s="92"/>
      <c r="M633" s="94"/>
      <c r="N633" s="94"/>
    </row>
    <row r="634">
      <c r="A634" s="70"/>
      <c r="K634" s="92"/>
      <c r="M634" s="94"/>
      <c r="N634" s="94"/>
    </row>
    <row r="635">
      <c r="A635" s="70"/>
      <c r="K635" s="92"/>
      <c r="M635" s="94"/>
      <c r="N635" s="94"/>
    </row>
    <row r="636">
      <c r="A636" s="70"/>
      <c r="K636" s="92"/>
      <c r="M636" s="94"/>
      <c r="N636" s="94"/>
    </row>
    <row r="637">
      <c r="A637" s="70"/>
      <c r="K637" s="92"/>
      <c r="M637" s="94"/>
      <c r="N637" s="94"/>
    </row>
    <row r="638">
      <c r="A638" s="70"/>
      <c r="K638" s="92"/>
      <c r="M638" s="94"/>
      <c r="N638" s="94"/>
    </row>
    <row r="639">
      <c r="A639" s="70"/>
      <c r="K639" s="92"/>
      <c r="M639" s="94"/>
      <c r="N639" s="94"/>
    </row>
    <row r="640">
      <c r="A640" s="70"/>
      <c r="K640" s="92"/>
      <c r="M640" s="94"/>
      <c r="N640" s="94"/>
    </row>
    <row r="641">
      <c r="A641" s="70"/>
      <c r="K641" s="92"/>
      <c r="M641" s="94"/>
      <c r="N641" s="94"/>
    </row>
    <row r="642">
      <c r="A642" s="70"/>
      <c r="K642" s="92"/>
      <c r="M642" s="94"/>
      <c r="N642" s="94"/>
    </row>
    <row r="643">
      <c r="A643" s="70"/>
      <c r="K643" s="92"/>
      <c r="M643" s="94"/>
      <c r="N643" s="94"/>
    </row>
    <row r="644">
      <c r="A644" s="70"/>
      <c r="K644" s="92"/>
      <c r="M644" s="94"/>
      <c r="N644" s="94"/>
    </row>
    <row r="645">
      <c r="A645" s="70"/>
      <c r="K645" s="92"/>
      <c r="M645" s="94"/>
      <c r="N645" s="94"/>
    </row>
    <row r="646">
      <c r="A646" s="70"/>
      <c r="K646" s="92"/>
      <c r="M646" s="94"/>
      <c r="N646" s="94"/>
    </row>
    <row r="647">
      <c r="A647" s="70"/>
      <c r="K647" s="92"/>
      <c r="M647" s="94"/>
      <c r="N647" s="94"/>
    </row>
    <row r="648">
      <c r="A648" s="70"/>
      <c r="K648" s="92"/>
      <c r="M648" s="94"/>
      <c r="N648" s="94"/>
    </row>
    <row r="649">
      <c r="A649" s="70"/>
      <c r="K649" s="92"/>
      <c r="M649" s="94"/>
      <c r="N649" s="94"/>
    </row>
    <row r="650">
      <c r="A650" s="70"/>
      <c r="K650" s="92"/>
      <c r="M650" s="94"/>
      <c r="N650" s="94"/>
    </row>
    <row r="651">
      <c r="A651" s="70"/>
      <c r="K651" s="92"/>
      <c r="M651" s="94"/>
      <c r="N651" s="94"/>
    </row>
    <row r="652">
      <c r="A652" s="70"/>
      <c r="K652" s="92"/>
      <c r="M652" s="94"/>
      <c r="N652" s="94"/>
    </row>
    <row r="653">
      <c r="A653" s="70"/>
      <c r="K653" s="92"/>
      <c r="M653" s="94"/>
      <c r="N653" s="94"/>
    </row>
    <row r="654">
      <c r="A654" s="70"/>
      <c r="K654" s="92"/>
      <c r="M654" s="94"/>
      <c r="N654" s="94"/>
    </row>
    <row r="655">
      <c r="A655" s="70"/>
      <c r="K655" s="92"/>
      <c r="M655" s="94"/>
      <c r="N655" s="94"/>
    </row>
    <row r="656">
      <c r="A656" s="70"/>
      <c r="K656" s="92"/>
      <c r="M656" s="94"/>
      <c r="N656" s="94"/>
    </row>
    <row r="657">
      <c r="A657" s="70"/>
      <c r="K657" s="92"/>
      <c r="M657" s="94"/>
      <c r="N657" s="94"/>
    </row>
    <row r="658">
      <c r="A658" s="70"/>
      <c r="K658" s="92"/>
      <c r="M658" s="94"/>
      <c r="N658" s="94"/>
    </row>
    <row r="659">
      <c r="A659" s="70"/>
      <c r="K659" s="92"/>
      <c r="M659" s="94"/>
      <c r="N659" s="94"/>
    </row>
    <row r="660">
      <c r="A660" s="70"/>
      <c r="K660" s="92"/>
      <c r="M660" s="94"/>
      <c r="N660" s="94"/>
    </row>
    <row r="661">
      <c r="A661" s="70"/>
      <c r="K661" s="92"/>
      <c r="M661" s="94"/>
      <c r="N661" s="94"/>
    </row>
    <row r="662">
      <c r="A662" s="70"/>
      <c r="K662" s="92"/>
      <c r="M662" s="94"/>
      <c r="N662" s="94"/>
    </row>
    <row r="663">
      <c r="A663" s="70"/>
      <c r="K663" s="92"/>
      <c r="M663" s="94"/>
      <c r="N663" s="94"/>
    </row>
    <row r="664">
      <c r="A664" s="70"/>
      <c r="K664" s="92"/>
      <c r="M664" s="94"/>
      <c r="N664" s="94"/>
    </row>
    <row r="665">
      <c r="A665" s="70"/>
      <c r="K665" s="92"/>
      <c r="M665" s="94"/>
      <c r="N665" s="94"/>
    </row>
    <row r="666">
      <c r="A666" s="70"/>
      <c r="K666" s="92"/>
      <c r="M666" s="94"/>
      <c r="N666" s="94"/>
    </row>
    <row r="667">
      <c r="A667" s="70"/>
      <c r="K667" s="92"/>
      <c r="M667" s="94"/>
      <c r="N667" s="94"/>
    </row>
    <row r="668">
      <c r="A668" s="70"/>
      <c r="K668" s="92"/>
      <c r="M668" s="94"/>
      <c r="N668" s="94"/>
    </row>
    <row r="669">
      <c r="A669" s="70"/>
      <c r="K669" s="92"/>
      <c r="M669" s="94"/>
      <c r="N669" s="94"/>
    </row>
    <row r="670">
      <c r="A670" s="70"/>
      <c r="K670" s="92"/>
      <c r="M670" s="94"/>
      <c r="N670" s="94"/>
    </row>
    <row r="671">
      <c r="A671" s="70"/>
      <c r="K671" s="92"/>
      <c r="M671" s="94"/>
      <c r="N671" s="94"/>
    </row>
    <row r="672">
      <c r="A672" s="70"/>
      <c r="K672" s="92"/>
      <c r="M672" s="94"/>
      <c r="N672" s="94"/>
    </row>
    <row r="673">
      <c r="A673" s="70"/>
      <c r="K673" s="92"/>
      <c r="M673" s="94"/>
      <c r="N673" s="94"/>
    </row>
    <row r="674">
      <c r="A674" s="70"/>
      <c r="K674" s="92"/>
      <c r="M674" s="94"/>
      <c r="N674" s="94"/>
    </row>
    <row r="675">
      <c r="A675" s="70"/>
      <c r="K675" s="92"/>
      <c r="M675" s="94"/>
      <c r="N675" s="94"/>
    </row>
    <row r="676">
      <c r="A676" s="70"/>
      <c r="K676" s="92"/>
      <c r="M676" s="94"/>
      <c r="N676" s="94"/>
    </row>
    <row r="677">
      <c r="A677" s="70"/>
      <c r="K677" s="92"/>
      <c r="M677" s="94"/>
      <c r="N677" s="94"/>
    </row>
    <row r="678">
      <c r="A678" s="70"/>
      <c r="K678" s="92"/>
      <c r="M678" s="94"/>
      <c r="N678" s="94"/>
    </row>
    <row r="679">
      <c r="A679" s="70"/>
      <c r="K679" s="92"/>
      <c r="M679" s="94"/>
      <c r="N679" s="94"/>
    </row>
    <row r="680">
      <c r="A680" s="70"/>
      <c r="K680" s="92"/>
      <c r="M680" s="94"/>
      <c r="N680" s="94"/>
    </row>
    <row r="681">
      <c r="A681" s="70"/>
      <c r="K681" s="92"/>
      <c r="M681" s="94"/>
      <c r="N681" s="94"/>
    </row>
    <row r="682">
      <c r="A682" s="70"/>
      <c r="K682" s="92"/>
      <c r="M682" s="94"/>
      <c r="N682" s="94"/>
    </row>
    <row r="683">
      <c r="A683" s="70"/>
      <c r="K683" s="92"/>
      <c r="M683" s="94"/>
      <c r="N683" s="94"/>
    </row>
    <row r="684">
      <c r="A684" s="70"/>
      <c r="K684" s="92"/>
      <c r="M684" s="94"/>
      <c r="N684" s="94"/>
    </row>
    <row r="685">
      <c r="A685" s="70"/>
      <c r="K685" s="92"/>
      <c r="M685" s="94"/>
      <c r="N685" s="94"/>
    </row>
    <row r="686">
      <c r="A686" s="70"/>
      <c r="K686" s="92"/>
      <c r="M686" s="94"/>
      <c r="N686" s="94"/>
    </row>
    <row r="687">
      <c r="A687" s="70"/>
      <c r="K687" s="92"/>
      <c r="M687" s="94"/>
      <c r="N687" s="94"/>
    </row>
    <row r="688">
      <c r="A688" s="70"/>
      <c r="K688" s="92"/>
      <c r="M688" s="94"/>
      <c r="N688" s="94"/>
    </row>
    <row r="689">
      <c r="A689" s="70"/>
      <c r="K689" s="92"/>
      <c r="M689" s="94"/>
      <c r="N689" s="94"/>
    </row>
    <row r="690">
      <c r="A690" s="70"/>
      <c r="K690" s="92"/>
      <c r="M690" s="94"/>
      <c r="N690" s="94"/>
    </row>
    <row r="691">
      <c r="A691" s="70"/>
      <c r="K691" s="92"/>
      <c r="M691" s="94"/>
      <c r="N691" s="94"/>
    </row>
    <row r="692">
      <c r="A692" s="70"/>
      <c r="K692" s="92"/>
      <c r="M692" s="94"/>
      <c r="N692" s="94"/>
    </row>
    <row r="693">
      <c r="A693" s="70"/>
      <c r="K693" s="92"/>
      <c r="M693" s="94"/>
      <c r="N693" s="94"/>
    </row>
    <row r="694">
      <c r="A694" s="70"/>
      <c r="K694" s="92"/>
      <c r="M694" s="94"/>
      <c r="N694" s="94"/>
    </row>
    <row r="695">
      <c r="A695" s="70"/>
      <c r="K695" s="92"/>
      <c r="M695" s="94"/>
      <c r="N695" s="94"/>
    </row>
    <row r="696">
      <c r="A696" s="70"/>
      <c r="K696" s="92"/>
      <c r="M696" s="94"/>
      <c r="N696" s="94"/>
    </row>
    <row r="697">
      <c r="A697" s="70"/>
      <c r="K697" s="92"/>
      <c r="M697" s="94"/>
      <c r="N697" s="94"/>
    </row>
    <row r="698">
      <c r="A698" s="70"/>
      <c r="K698" s="92"/>
      <c r="M698" s="94"/>
      <c r="N698" s="94"/>
    </row>
    <row r="699">
      <c r="A699" s="70"/>
      <c r="K699" s="92"/>
      <c r="M699" s="94"/>
      <c r="N699" s="94"/>
    </row>
    <row r="700">
      <c r="A700" s="70"/>
      <c r="K700" s="92"/>
      <c r="M700" s="94"/>
      <c r="N700" s="94"/>
    </row>
    <row r="701">
      <c r="A701" s="70"/>
      <c r="K701" s="92"/>
      <c r="M701" s="94"/>
      <c r="N701" s="94"/>
    </row>
    <row r="702">
      <c r="A702" s="70"/>
      <c r="K702" s="92"/>
      <c r="M702" s="94"/>
      <c r="N702" s="94"/>
    </row>
    <row r="703">
      <c r="A703" s="70"/>
      <c r="K703" s="92"/>
      <c r="M703" s="94"/>
      <c r="N703" s="94"/>
    </row>
    <row r="704">
      <c r="A704" s="70"/>
      <c r="K704" s="92"/>
      <c r="M704" s="94"/>
      <c r="N704" s="94"/>
    </row>
    <row r="705">
      <c r="A705" s="70"/>
      <c r="K705" s="92"/>
      <c r="M705" s="94"/>
      <c r="N705" s="94"/>
    </row>
    <row r="706">
      <c r="A706" s="70"/>
      <c r="K706" s="92"/>
      <c r="M706" s="94"/>
      <c r="N706" s="94"/>
    </row>
    <row r="707">
      <c r="A707" s="70"/>
      <c r="K707" s="92"/>
      <c r="M707" s="94"/>
      <c r="N707" s="94"/>
    </row>
    <row r="708">
      <c r="A708" s="70"/>
      <c r="K708" s="92"/>
      <c r="M708" s="94"/>
      <c r="N708" s="94"/>
    </row>
    <row r="709">
      <c r="A709" s="70"/>
      <c r="K709" s="92"/>
      <c r="M709" s="94"/>
      <c r="N709" s="94"/>
    </row>
    <row r="710">
      <c r="A710" s="70"/>
      <c r="K710" s="92"/>
      <c r="M710" s="94"/>
      <c r="N710" s="94"/>
    </row>
    <row r="711">
      <c r="A711" s="70"/>
      <c r="K711" s="92"/>
      <c r="M711" s="94"/>
      <c r="N711" s="94"/>
    </row>
    <row r="712">
      <c r="A712" s="70"/>
      <c r="K712" s="92"/>
      <c r="M712" s="94"/>
      <c r="N712" s="94"/>
    </row>
    <row r="713">
      <c r="A713" s="70"/>
      <c r="K713" s="92"/>
      <c r="M713" s="94"/>
      <c r="N713" s="94"/>
    </row>
    <row r="714">
      <c r="A714" s="70"/>
      <c r="K714" s="92"/>
      <c r="M714" s="94"/>
      <c r="N714" s="94"/>
    </row>
    <row r="715">
      <c r="A715" s="70"/>
      <c r="K715" s="92"/>
      <c r="M715" s="94"/>
      <c r="N715" s="94"/>
    </row>
    <row r="716">
      <c r="A716" s="70"/>
      <c r="K716" s="92"/>
      <c r="M716" s="94"/>
      <c r="N716" s="94"/>
    </row>
    <row r="717">
      <c r="A717" s="70"/>
      <c r="K717" s="92"/>
      <c r="M717" s="94"/>
      <c r="N717" s="94"/>
    </row>
    <row r="718">
      <c r="A718" s="70"/>
      <c r="K718" s="92"/>
      <c r="M718" s="94"/>
      <c r="N718" s="94"/>
    </row>
    <row r="719">
      <c r="A719" s="70"/>
      <c r="K719" s="92"/>
      <c r="M719" s="94"/>
      <c r="N719" s="94"/>
    </row>
    <row r="720">
      <c r="A720" s="70"/>
      <c r="K720" s="92"/>
      <c r="M720" s="94"/>
      <c r="N720" s="94"/>
    </row>
    <row r="721">
      <c r="A721" s="70"/>
      <c r="K721" s="92"/>
      <c r="M721" s="94"/>
      <c r="N721" s="94"/>
    </row>
    <row r="722">
      <c r="A722" s="70"/>
      <c r="K722" s="92"/>
      <c r="M722" s="94"/>
      <c r="N722" s="94"/>
    </row>
    <row r="723">
      <c r="A723" s="70"/>
      <c r="K723" s="92"/>
      <c r="M723" s="94"/>
      <c r="N723" s="94"/>
    </row>
    <row r="724">
      <c r="A724" s="70"/>
      <c r="K724" s="92"/>
      <c r="M724" s="94"/>
      <c r="N724" s="94"/>
    </row>
    <row r="725">
      <c r="A725" s="70"/>
      <c r="K725" s="92"/>
      <c r="M725" s="94"/>
      <c r="N725" s="94"/>
    </row>
    <row r="726">
      <c r="A726" s="70"/>
      <c r="K726" s="92"/>
      <c r="M726" s="94"/>
      <c r="N726" s="94"/>
    </row>
    <row r="727">
      <c r="A727" s="70"/>
      <c r="K727" s="92"/>
      <c r="M727" s="94"/>
      <c r="N727" s="94"/>
    </row>
    <row r="728">
      <c r="A728" s="70"/>
      <c r="K728" s="92"/>
      <c r="M728" s="94"/>
      <c r="N728" s="94"/>
    </row>
    <row r="729">
      <c r="A729" s="70"/>
      <c r="K729" s="92"/>
      <c r="M729" s="94"/>
      <c r="N729" s="94"/>
    </row>
    <row r="730">
      <c r="A730" s="70"/>
      <c r="K730" s="92"/>
      <c r="M730" s="94"/>
      <c r="N730" s="94"/>
    </row>
    <row r="731">
      <c r="A731" s="70"/>
      <c r="K731" s="92"/>
      <c r="M731" s="94"/>
      <c r="N731" s="94"/>
    </row>
    <row r="732">
      <c r="A732" s="70"/>
      <c r="K732" s="92"/>
      <c r="M732" s="94"/>
      <c r="N732" s="94"/>
    </row>
    <row r="733">
      <c r="A733" s="70"/>
      <c r="K733" s="92"/>
      <c r="M733" s="94"/>
      <c r="N733" s="94"/>
    </row>
    <row r="734">
      <c r="A734" s="70"/>
      <c r="K734" s="92"/>
      <c r="M734" s="94"/>
      <c r="N734" s="94"/>
    </row>
    <row r="735">
      <c r="A735" s="70"/>
      <c r="K735" s="92"/>
      <c r="M735" s="94"/>
      <c r="N735" s="94"/>
    </row>
    <row r="736">
      <c r="A736" s="70"/>
      <c r="K736" s="92"/>
      <c r="M736" s="94"/>
      <c r="N736" s="94"/>
    </row>
    <row r="737">
      <c r="A737" s="70"/>
      <c r="K737" s="92"/>
      <c r="M737" s="94"/>
      <c r="N737" s="94"/>
    </row>
    <row r="738">
      <c r="A738" s="70"/>
      <c r="K738" s="92"/>
      <c r="M738" s="94"/>
      <c r="N738" s="94"/>
    </row>
    <row r="739">
      <c r="A739" s="70"/>
      <c r="K739" s="92"/>
      <c r="M739" s="94"/>
      <c r="N739" s="94"/>
    </row>
    <row r="740">
      <c r="A740" s="70"/>
      <c r="K740" s="92"/>
      <c r="M740" s="94"/>
      <c r="N740" s="94"/>
    </row>
    <row r="741">
      <c r="A741" s="70"/>
      <c r="K741" s="92"/>
      <c r="M741" s="94"/>
      <c r="N741" s="94"/>
    </row>
    <row r="742">
      <c r="A742" s="70"/>
      <c r="K742" s="92"/>
      <c r="M742" s="94"/>
      <c r="N742" s="94"/>
    </row>
    <row r="743">
      <c r="A743" s="70"/>
      <c r="K743" s="92"/>
      <c r="M743" s="94"/>
      <c r="N743" s="94"/>
    </row>
    <row r="744">
      <c r="A744" s="70"/>
      <c r="K744" s="92"/>
      <c r="M744" s="94"/>
      <c r="N744" s="94"/>
    </row>
    <row r="745">
      <c r="A745" s="70"/>
      <c r="K745" s="92"/>
      <c r="M745" s="94"/>
      <c r="N745" s="94"/>
    </row>
    <row r="746">
      <c r="A746" s="70"/>
      <c r="K746" s="92"/>
      <c r="M746" s="94"/>
      <c r="N746" s="94"/>
    </row>
    <row r="747">
      <c r="A747" s="70"/>
      <c r="K747" s="92"/>
      <c r="M747" s="94"/>
      <c r="N747" s="94"/>
    </row>
    <row r="748">
      <c r="A748" s="70"/>
      <c r="K748" s="92"/>
      <c r="M748" s="94"/>
      <c r="N748" s="94"/>
    </row>
    <row r="749">
      <c r="A749" s="70"/>
      <c r="K749" s="92"/>
      <c r="M749" s="94"/>
      <c r="N749" s="94"/>
    </row>
    <row r="750">
      <c r="A750" s="70"/>
      <c r="K750" s="92"/>
      <c r="M750" s="94"/>
      <c r="N750" s="94"/>
    </row>
    <row r="751">
      <c r="A751" s="70"/>
      <c r="K751" s="92"/>
      <c r="M751" s="94"/>
      <c r="N751" s="94"/>
    </row>
    <row r="752">
      <c r="A752" s="70"/>
      <c r="K752" s="92"/>
      <c r="M752" s="94"/>
      <c r="N752" s="94"/>
    </row>
    <row r="753">
      <c r="A753" s="70"/>
      <c r="K753" s="92"/>
      <c r="M753" s="94"/>
      <c r="N753" s="94"/>
    </row>
    <row r="754">
      <c r="A754" s="70"/>
      <c r="K754" s="92"/>
      <c r="M754" s="94"/>
      <c r="N754" s="94"/>
    </row>
    <row r="755">
      <c r="A755" s="70"/>
      <c r="K755" s="92"/>
      <c r="M755" s="94"/>
      <c r="N755" s="94"/>
    </row>
    <row r="756">
      <c r="A756" s="70"/>
      <c r="K756" s="92"/>
      <c r="M756" s="94"/>
      <c r="N756" s="94"/>
    </row>
    <row r="757">
      <c r="A757" s="70"/>
      <c r="K757" s="92"/>
      <c r="M757" s="94"/>
      <c r="N757" s="94"/>
    </row>
    <row r="758">
      <c r="A758" s="70"/>
      <c r="K758" s="92"/>
      <c r="M758" s="94"/>
      <c r="N758" s="94"/>
    </row>
    <row r="759">
      <c r="A759" s="70"/>
      <c r="K759" s="92"/>
      <c r="M759" s="94"/>
      <c r="N759" s="94"/>
    </row>
    <row r="760">
      <c r="A760" s="70"/>
      <c r="K760" s="92"/>
      <c r="M760" s="94"/>
      <c r="N760" s="94"/>
    </row>
    <row r="761">
      <c r="A761" s="70"/>
      <c r="K761" s="92"/>
      <c r="M761" s="94"/>
      <c r="N761" s="94"/>
    </row>
    <row r="762">
      <c r="A762" s="70"/>
      <c r="K762" s="92"/>
      <c r="M762" s="94"/>
      <c r="N762" s="94"/>
    </row>
    <row r="763">
      <c r="A763" s="70"/>
      <c r="K763" s="92"/>
      <c r="M763" s="94"/>
      <c r="N763" s="94"/>
    </row>
    <row r="764">
      <c r="A764" s="70"/>
      <c r="K764" s="92"/>
      <c r="M764" s="94"/>
      <c r="N764" s="94"/>
    </row>
    <row r="765">
      <c r="A765" s="70"/>
      <c r="K765" s="92"/>
      <c r="M765" s="94"/>
      <c r="N765" s="94"/>
    </row>
    <row r="766">
      <c r="A766" s="70"/>
      <c r="K766" s="92"/>
      <c r="M766" s="94"/>
      <c r="N766" s="94"/>
    </row>
    <row r="767">
      <c r="A767" s="70"/>
      <c r="K767" s="92"/>
      <c r="M767" s="94"/>
      <c r="N767" s="94"/>
    </row>
    <row r="768">
      <c r="A768" s="70"/>
      <c r="K768" s="92"/>
      <c r="M768" s="94"/>
      <c r="N768" s="94"/>
    </row>
    <row r="769">
      <c r="A769" s="70"/>
      <c r="K769" s="92"/>
      <c r="M769" s="94"/>
      <c r="N769" s="94"/>
    </row>
    <row r="770">
      <c r="A770" s="70"/>
      <c r="K770" s="92"/>
      <c r="M770" s="94"/>
      <c r="N770" s="94"/>
    </row>
    <row r="771">
      <c r="A771" s="70"/>
      <c r="K771" s="92"/>
      <c r="M771" s="94"/>
      <c r="N771" s="94"/>
    </row>
    <row r="772">
      <c r="A772" s="70"/>
      <c r="K772" s="92"/>
      <c r="M772" s="94"/>
      <c r="N772" s="94"/>
    </row>
    <row r="773">
      <c r="A773" s="70"/>
      <c r="K773" s="92"/>
      <c r="M773" s="94"/>
      <c r="N773" s="94"/>
    </row>
    <row r="774">
      <c r="A774" s="70"/>
      <c r="K774" s="92"/>
      <c r="M774" s="94"/>
      <c r="N774" s="94"/>
    </row>
    <row r="775">
      <c r="A775" s="70"/>
      <c r="K775" s="92"/>
      <c r="M775" s="94"/>
      <c r="N775" s="94"/>
    </row>
    <row r="776">
      <c r="A776" s="70"/>
      <c r="K776" s="92"/>
      <c r="M776" s="94"/>
      <c r="N776" s="94"/>
    </row>
    <row r="777">
      <c r="A777" s="70"/>
      <c r="K777" s="92"/>
      <c r="M777" s="94"/>
      <c r="N777" s="94"/>
    </row>
    <row r="778">
      <c r="A778" s="70"/>
      <c r="K778" s="92"/>
      <c r="M778" s="94"/>
      <c r="N778" s="94"/>
    </row>
    <row r="779">
      <c r="A779" s="70"/>
      <c r="K779" s="92"/>
      <c r="M779" s="94"/>
      <c r="N779" s="94"/>
    </row>
    <row r="780">
      <c r="A780" s="70"/>
      <c r="K780" s="92"/>
      <c r="M780" s="94"/>
      <c r="N780" s="94"/>
    </row>
    <row r="781">
      <c r="A781" s="70"/>
      <c r="K781" s="92"/>
      <c r="M781" s="94"/>
      <c r="N781" s="94"/>
    </row>
    <row r="782">
      <c r="A782" s="70"/>
      <c r="K782" s="92"/>
      <c r="M782" s="94"/>
      <c r="N782" s="94"/>
    </row>
    <row r="783">
      <c r="A783" s="70"/>
      <c r="K783" s="92"/>
      <c r="M783" s="94"/>
      <c r="N783" s="94"/>
    </row>
    <row r="784">
      <c r="A784" s="70"/>
      <c r="K784" s="92"/>
      <c r="M784" s="94"/>
      <c r="N784" s="94"/>
    </row>
    <row r="785">
      <c r="A785" s="70"/>
      <c r="K785" s="92"/>
      <c r="M785" s="94"/>
      <c r="N785" s="94"/>
    </row>
    <row r="786">
      <c r="A786" s="70"/>
      <c r="K786" s="92"/>
      <c r="M786" s="94"/>
      <c r="N786" s="94"/>
    </row>
    <row r="787">
      <c r="A787" s="70"/>
      <c r="K787" s="92"/>
      <c r="M787" s="94"/>
      <c r="N787" s="94"/>
    </row>
    <row r="788">
      <c r="A788" s="70"/>
      <c r="K788" s="92"/>
      <c r="M788" s="94"/>
      <c r="N788" s="94"/>
    </row>
    <row r="789">
      <c r="A789" s="70"/>
      <c r="K789" s="92"/>
      <c r="M789" s="94"/>
      <c r="N789" s="94"/>
    </row>
    <row r="790">
      <c r="A790" s="70"/>
      <c r="K790" s="92"/>
      <c r="M790" s="94"/>
      <c r="N790" s="94"/>
    </row>
    <row r="791">
      <c r="A791" s="70"/>
      <c r="K791" s="92"/>
      <c r="M791" s="94"/>
      <c r="N791" s="94"/>
    </row>
    <row r="792">
      <c r="A792" s="70"/>
      <c r="K792" s="92"/>
      <c r="M792" s="94"/>
      <c r="N792" s="94"/>
    </row>
    <row r="793">
      <c r="A793" s="70"/>
      <c r="K793" s="92"/>
      <c r="M793" s="94"/>
      <c r="N793" s="94"/>
    </row>
    <row r="794">
      <c r="A794" s="70"/>
      <c r="K794" s="92"/>
      <c r="M794" s="94"/>
      <c r="N794" s="94"/>
    </row>
    <row r="795">
      <c r="A795" s="70"/>
      <c r="K795" s="92"/>
      <c r="M795" s="94"/>
      <c r="N795" s="94"/>
    </row>
    <row r="796">
      <c r="A796" s="70"/>
      <c r="K796" s="92"/>
      <c r="M796" s="94"/>
      <c r="N796" s="94"/>
    </row>
    <row r="797">
      <c r="A797" s="70"/>
      <c r="K797" s="92"/>
      <c r="M797" s="94"/>
      <c r="N797" s="94"/>
    </row>
    <row r="798">
      <c r="A798" s="70"/>
      <c r="K798" s="92"/>
      <c r="M798" s="94"/>
      <c r="N798" s="94"/>
    </row>
    <row r="799">
      <c r="A799" s="70"/>
      <c r="K799" s="92"/>
      <c r="M799" s="94"/>
      <c r="N799" s="94"/>
    </row>
    <row r="800">
      <c r="A800" s="70"/>
      <c r="K800" s="92"/>
      <c r="M800" s="94"/>
      <c r="N800" s="94"/>
    </row>
    <row r="801">
      <c r="A801" s="70"/>
      <c r="K801" s="92"/>
      <c r="M801" s="94"/>
      <c r="N801" s="94"/>
    </row>
    <row r="802">
      <c r="A802" s="70"/>
      <c r="K802" s="92"/>
      <c r="M802" s="94"/>
      <c r="N802" s="94"/>
    </row>
    <row r="803">
      <c r="A803" s="70"/>
      <c r="K803" s="92"/>
      <c r="M803" s="94"/>
      <c r="N803" s="94"/>
    </row>
    <row r="804">
      <c r="A804" s="70"/>
      <c r="K804" s="92"/>
      <c r="M804" s="94"/>
      <c r="N804" s="94"/>
    </row>
    <row r="805">
      <c r="A805" s="70"/>
      <c r="K805" s="92"/>
      <c r="M805" s="94"/>
      <c r="N805" s="94"/>
    </row>
    <row r="806">
      <c r="A806" s="70"/>
      <c r="K806" s="92"/>
      <c r="M806" s="94"/>
      <c r="N806" s="94"/>
    </row>
    <row r="807">
      <c r="A807" s="70"/>
      <c r="K807" s="92"/>
      <c r="M807" s="94"/>
      <c r="N807" s="94"/>
    </row>
    <row r="808">
      <c r="A808" s="70"/>
      <c r="K808" s="92"/>
      <c r="M808" s="94"/>
      <c r="N808" s="94"/>
    </row>
    <row r="809">
      <c r="A809" s="70"/>
      <c r="K809" s="92"/>
      <c r="M809" s="94"/>
      <c r="N809" s="94"/>
    </row>
    <row r="810">
      <c r="A810" s="70"/>
      <c r="K810" s="92"/>
      <c r="M810" s="94"/>
      <c r="N810" s="94"/>
    </row>
    <row r="811">
      <c r="A811" s="70"/>
      <c r="K811" s="92"/>
      <c r="M811" s="94"/>
      <c r="N811" s="94"/>
    </row>
    <row r="812">
      <c r="A812" s="70"/>
      <c r="K812" s="92"/>
      <c r="M812" s="94"/>
      <c r="N812" s="94"/>
    </row>
    <row r="813">
      <c r="A813" s="70"/>
      <c r="K813" s="92"/>
      <c r="M813" s="94"/>
      <c r="N813" s="94"/>
    </row>
    <row r="814">
      <c r="A814" s="70"/>
      <c r="K814" s="92"/>
      <c r="M814" s="94"/>
      <c r="N814" s="94"/>
    </row>
    <row r="815">
      <c r="A815" s="70"/>
      <c r="K815" s="92"/>
      <c r="M815" s="94"/>
      <c r="N815" s="94"/>
    </row>
    <row r="816">
      <c r="A816" s="70"/>
      <c r="K816" s="92"/>
      <c r="M816" s="94"/>
      <c r="N816" s="94"/>
    </row>
    <row r="817">
      <c r="A817" s="70"/>
      <c r="K817" s="92"/>
      <c r="M817" s="94"/>
      <c r="N817" s="94"/>
    </row>
    <row r="818">
      <c r="A818" s="70"/>
      <c r="K818" s="92"/>
      <c r="M818" s="94"/>
      <c r="N818" s="94"/>
    </row>
    <row r="819">
      <c r="A819" s="70"/>
      <c r="K819" s="92"/>
      <c r="M819" s="94"/>
      <c r="N819" s="94"/>
    </row>
    <row r="820">
      <c r="A820" s="70"/>
      <c r="K820" s="92"/>
      <c r="M820" s="94"/>
      <c r="N820" s="94"/>
    </row>
    <row r="821">
      <c r="A821" s="70"/>
      <c r="K821" s="92"/>
      <c r="M821" s="94"/>
      <c r="N821" s="94"/>
    </row>
    <row r="822">
      <c r="A822" s="70"/>
      <c r="K822" s="92"/>
      <c r="M822" s="94"/>
      <c r="N822" s="94"/>
    </row>
    <row r="823">
      <c r="A823" s="70"/>
      <c r="K823" s="92"/>
      <c r="M823" s="94"/>
      <c r="N823" s="94"/>
    </row>
    <row r="824">
      <c r="A824" s="70"/>
      <c r="K824" s="92"/>
      <c r="M824" s="94"/>
      <c r="N824" s="94"/>
    </row>
    <row r="825">
      <c r="A825" s="70"/>
      <c r="K825" s="92"/>
      <c r="M825" s="94"/>
      <c r="N825" s="94"/>
    </row>
    <row r="826">
      <c r="A826" s="70"/>
      <c r="K826" s="92"/>
      <c r="M826" s="94"/>
      <c r="N826" s="94"/>
    </row>
    <row r="827">
      <c r="A827" s="70"/>
      <c r="K827" s="92"/>
      <c r="M827" s="94"/>
      <c r="N827" s="94"/>
    </row>
    <row r="828">
      <c r="A828" s="70"/>
      <c r="K828" s="92"/>
      <c r="M828" s="94"/>
      <c r="N828" s="94"/>
    </row>
    <row r="829">
      <c r="A829" s="70"/>
      <c r="K829" s="92"/>
      <c r="M829" s="94"/>
      <c r="N829" s="94"/>
    </row>
    <row r="830">
      <c r="A830" s="70"/>
      <c r="K830" s="92"/>
      <c r="M830" s="94"/>
      <c r="N830" s="94"/>
    </row>
    <row r="831">
      <c r="A831" s="70"/>
      <c r="K831" s="92"/>
      <c r="M831" s="94"/>
      <c r="N831" s="94"/>
    </row>
    <row r="832">
      <c r="A832" s="70"/>
      <c r="K832" s="92"/>
      <c r="M832" s="94"/>
      <c r="N832" s="94"/>
    </row>
    <row r="833">
      <c r="A833" s="70"/>
      <c r="K833" s="92"/>
      <c r="M833" s="94"/>
      <c r="N833" s="94"/>
    </row>
    <row r="834">
      <c r="A834" s="70"/>
      <c r="K834" s="92"/>
      <c r="M834" s="94"/>
      <c r="N834" s="94"/>
    </row>
    <row r="835">
      <c r="A835" s="70"/>
      <c r="K835" s="92"/>
      <c r="M835" s="94"/>
      <c r="N835" s="94"/>
    </row>
    <row r="836">
      <c r="A836" s="70"/>
      <c r="K836" s="92"/>
      <c r="M836" s="94"/>
      <c r="N836" s="94"/>
    </row>
    <row r="837">
      <c r="A837" s="70"/>
      <c r="K837" s="92"/>
      <c r="M837" s="94"/>
      <c r="N837" s="94"/>
    </row>
    <row r="838">
      <c r="A838" s="70"/>
      <c r="K838" s="92"/>
      <c r="M838" s="94"/>
      <c r="N838" s="94"/>
    </row>
    <row r="839">
      <c r="A839" s="70"/>
      <c r="K839" s="92"/>
      <c r="M839" s="94"/>
      <c r="N839" s="94"/>
    </row>
    <row r="840">
      <c r="A840" s="70"/>
      <c r="K840" s="92"/>
      <c r="M840" s="94"/>
      <c r="N840" s="94"/>
    </row>
    <row r="841">
      <c r="A841" s="70"/>
      <c r="K841" s="92"/>
      <c r="M841" s="94"/>
      <c r="N841" s="94"/>
    </row>
    <row r="842">
      <c r="A842" s="70"/>
      <c r="K842" s="92"/>
      <c r="M842" s="94"/>
      <c r="N842" s="94"/>
    </row>
    <row r="843">
      <c r="A843" s="70"/>
      <c r="K843" s="92"/>
      <c r="M843" s="94"/>
      <c r="N843" s="94"/>
    </row>
    <row r="844">
      <c r="A844" s="70"/>
      <c r="K844" s="92"/>
      <c r="M844" s="94"/>
      <c r="N844" s="94"/>
    </row>
    <row r="845">
      <c r="A845" s="70"/>
      <c r="K845" s="92"/>
      <c r="M845" s="94"/>
      <c r="N845" s="94"/>
    </row>
    <row r="846">
      <c r="A846" s="70"/>
      <c r="K846" s="92"/>
      <c r="M846" s="94"/>
      <c r="N846" s="94"/>
    </row>
    <row r="847">
      <c r="A847" s="70"/>
      <c r="K847" s="92"/>
      <c r="M847" s="94"/>
      <c r="N847" s="94"/>
    </row>
    <row r="848">
      <c r="A848" s="70"/>
      <c r="K848" s="92"/>
      <c r="M848" s="94"/>
      <c r="N848" s="94"/>
    </row>
    <row r="849">
      <c r="A849" s="70"/>
      <c r="K849" s="92"/>
      <c r="M849" s="94"/>
      <c r="N849" s="94"/>
    </row>
    <row r="850">
      <c r="A850" s="70"/>
      <c r="K850" s="92"/>
      <c r="M850" s="94"/>
      <c r="N850" s="94"/>
    </row>
    <row r="851">
      <c r="A851" s="70"/>
      <c r="K851" s="92"/>
      <c r="M851" s="94"/>
      <c r="N851" s="94"/>
    </row>
    <row r="852">
      <c r="A852" s="70"/>
      <c r="K852" s="92"/>
      <c r="M852" s="94"/>
      <c r="N852" s="94"/>
    </row>
    <row r="853">
      <c r="A853" s="70"/>
      <c r="K853" s="92"/>
      <c r="M853" s="94"/>
      <c r="N853" s="94"/>
    </row>
    <row r="854">
      <c r="A854" s="70"/>
      <c r="K854" s="92"/>
      <c r="M854" s="94"/>
      <c r="N854" s="94"/>
    </row>
    <row r="855">
      <c r="A855" s="70"/>
      <c r="K855" s="92"/>
      <c r="M855" s="94"/>
      <c r="N855" s="94"/>
    </row>
    <row r="856">
      <c r="A856" s="70"/>
      <c r="K856" s="92"/>
      <c r="M856" s="94"/>
      <c r="N856" s="94"/>
    </row>
    <row r="857">
      <c r="A857" s="70"/>
      <c r="K857" s="92"/>
      <c r="M857" s="94"/>
      <c r="N857" s="94"/>
    </row>
    <row r="858">
      <c r="A858" s="70"/>
      <c r="K858" s="92"/>
      <c r="M858" s="94"/>
      <c r="N858" s="94"/>
    </row>
    <row r="859">
      <c r="A859" s="70"/>
      <c r="K859" s="92"/>
      <c r="M859" s="94"/>
      <c r="N859" s="94"/>
    </row>
    <row r="860">
      <c r="A860" s="70"/>
      <c r="K860" s="92"/>
      <c r="M860" s="94"/>
      <c r="N860" s="94"/>
    </row>
    <row r="861">
      <c r="A861" s="70"/>
      <c r="K861" s="92"/>
      <c r="M861" s="94"/>
      <c r="N861" s="94"/>
    </row>
    <row r="862">
      <c r="A862" s="70"/>
      <c r="K862" s="92"/>
      <c r="M862" s="94"/>
      <c r="N862" s="94"/>
    </row>
    <row r="863">
      <c r="A863" s="70"/>
      <c r="K863" s="92"/>
      <c r="M863" s="94"/>
      <c r="N863" s="94"/>
    </row>
    <row r="864">
      <c r="A864" s="70"/>
      <c r="K864" s="92"/>
      <c r="M864" s="94"/>
      <c r="N864" s="94"/>
    </row>
    <row r="865">
      <c r="A865" s="70"/>
      <c r="K865" s="92"/>
      <c r="M865" s="94"/>
      <c r="N865" s="94"/>
    </row>
    <row r="866">
      <c r="A866" s="70"/>
      <c r="K866" s="92"/>
      <c r="M866" s="94"/>
      <c r="N866" s="94"/>
    </row>
    <row r="867">
      <c r="A867" s="70"/>
      <c r="K867" s="92"/>
      <c r="M867" s="94"/>
      <c r="N867" s="94"/>
    </row>
    <row r="868">
      <c r="A868" s="70"/>
      <c r="K868" s="92"/>
      <c r="M868" s="94"/>
      <c r="N868" s="94"/>
    </row>
    <row r="869">
      <c r="A869" s="70"/>
      <c r="K869" s="92"/>
      <c r="M869" s="94"/>
      <c r="N869" s="94"/>
    </row>
    <row r="870">
      <c r="A870" s="70"/>
      <c r="K870" s="92"/>
      <c r="M870" s="94"/>
      <c r="N870" s="94"/>
    </row>
    <row r="871">
      <c r="A871" s="70"/>
      <c r="K871" s="92"/>
      <c r="M871" s="94"/>
      <c r="N871" s="94"/>
    </row>
    <row r="872">
      <c r="A872" s="70"/>
      <c r="K872" s="92"/>
      <c r="M872" s="94"/>
      <c r="N872" s="94"/>
    </row>
    <row r="873">
      <c r="A873" s="70"/>
      <c r="K873" s="92"/>
      <c r="M873" s="94"/>
      <c r="N873" s="94"/>
    </row>
    <row r="874">
      <c r="A874" s="70"/>
      <c r="K874" s="92"/>
      <c r="M874" s="94"/>
      <c r="N874" s="94"/>
    </row>
    <row r="875">
      <c r="A875" s="70"/>
      <c r="K875" s="92"/>
      <c r="M875" s="94"/>
      <c r="N875" s="94"/>
    </row>
    <row r="876">
      <c r="A876" s="70"/>
      <c r="K876" s="92"/>
      <c r="M876" s="94"/>
      <c r="N876" s="94"/>
    </row>
    <row r="877">
      <c r="A877" s="70"/>
      <c r="K877" s="92"/>
      <c r="M877" s="94"/>
      <c r="N877" s="94"/>
    </row>
    <row r="878">
      <c r="A878" s="70"/>
      <c r="K878" s="92"/>
      <c r="M878" s="94"/>
      <c r="N878" s="94"/>
    </row>
    <row r="879">
      <c r="A879" s="70"/>
      <c r="K879" s="92"/>
      <c r="M879" s="94"/>
      <c r="N879" s="94"/>
    </row>
    <row r="880">
      <c r="A880" s="70"/>
      <c r="K880" s="92"/>
      <c r="M880" s="94"/>
      <c r="N880" s="94"/>
    </row>
    <row r="881">
      <c r="A881" s="70"/>
      <c r="K881" s="92"/>
      <c r="M881" s="94"/>
      <c r="N881" s="94"/>
    </row>
    <row r="882">
      <c r="A882" s="70"/>
      <c r="K882" s="92"/>
      <c r="M882" s="94"/>
      <c r="N882" s="94"/>
    </row>
    <row r="883">
      <c r="A883" s="70"/>
      <c r="K883" s="92"/>
      <c r="M883" s="94"/>
      <c r="N883" s="94"/>
    </row>
    <row r="884">
      <c r="A884" s="70"/>
      <c r="K884" s="92"/>
      <c r="M884" s="94"/>
      <c r="N884" s="94"/>
    </row>
    <row r="885">
      <c r="A885" s="70"/>
      <c r="K885" s="92"/>
      <c r="M885" s="94"/>
      <c r="N885" s="94"/>
    </row>
    <row r="886">
      <c r="A886" s="70"/>
      <c r="K886" s="92"/>
      <c r="M886" s="94"/>
      <c r="N886" s="94"/>
    </row>
    <row r="887">
      <c r="A887" s="70"/>
      <c r="K887" s="92"/>
      <c r="M887" s="94"/>
      <c r="N887" s="94"/>
    </row>
    <row r="888">
      <c r="A888" s="70"/>
      <c r="K888" s="92"/>
      <c r="M888" s="94"/>
      <c r="N888" s="94"/>
    </row>
    <row r="889">
      <c r="A889" s="70"/>
      <c r="K889" s="92"/>
      <c r="M889" s="94"/>
      <c r="N889" s="94"/>
    </row>
    <row r="890">
      <c r="A890" s="70"/>
      <c r="K890" s="92"/>
      <c r="M890" s="94"/>
      <c r="N890" s="94"/>
    </row>
    <row r="891">
      <c r="A891" s="70"/>
      <c r="K891" s="92"/>
      <c r="M891" s="94"/>
      <c r="N891" s="94"/>
    </row>
    <row r="892">
      <c r="A892" s="70"/>
      <c r="K892" s="92"/>
      <c r="M892" s="94"/>
      <c r="N892" s="94"/>
    </row>
    <row r="893">
      <c r="A893" s="70"/>
      <c r="K893" s="92"/>
      <c r="M893" s="94"/>
      <c r="N893" s="94"/>
    </row>
    <row r="894">
      <c r="A894" s="70"/>
      <c r="K894" s="92"/>
      <c r="M894" s="94"/>
      <c r="N894" s="94"/>
    </row>
    <row r="895">
      <c r="A895" s="70"/>
      <c r="K895" s="92"/>
      <c r="M895" s="94"/>
      <c r="N895" s="94"/>
    </row>
    <row r="896">
      <c r="A896" s="70"/>
      <c r="K896" s="92"/>
      <c r="M896" s="94"/>
      <c r="N896" s="94"/>
    </row>
    <row r="897">
      <c r="A897" s="70"/>
      <c r="K897" s="92"/>
      <c r="M897" s="94"/>
      <c r="N897" s="94"/>
    </row>
    <row r="898">
      <c r="A898" s="70"/>
      <c r="K898" s="92"/>
      <c r="M898" s="94"/>
      <c r="N898" s="94"/>
    </row>
    <row r="899">
      <c r="A899" s="70"/>
      <c r="K899" s="92"/>
      <c r="M899" s="94"/>
      <c r="N899" s="94"/>
    </row>
    <row r="900">
      <c r="A900" s="70"/>
      <c r="K900" s="92"/>
      <c r="M900" s="94"/>
      <c r="N900" s="94"/>
    </row>
    <row r="901">
      <c r="A901" s="70"/>
      <c r="K901" s="92"/>
      <c r="M901" s="94"/>
      <c r="N901" s="94"/>
    </row>
    <row r="902">
      <c r="A902" s="70"/>
      <c r="K902" s="92"/>
      <c r="M902" s="94"/>
      <c r="N902" s="94"/>
    </row>
    <row r="903">
      <c r="A903" s="70"/>
      <c r="K903" s="92"/>
      <c r="M903" s="94"/>
      <c r="N903" s="94"/>
    </row>
    <row r="904">
      <c r="A904" s="70"/>
      <c r="K904" s="92"/>
      <c r="M904" s="94"/>
      <c r="N904" s="94"/>
    </row>
    <row r="905">
      <c r="A905" s="70"/>
      <c r="K905" s="92"/>
      <c r="M905" s="94"/>
      <c r="N905" s="94"/>
    </row>
    <row r="906">
      <c r="A906" s="70"/>
      <c r="K906" s="92"/>
      <c r="M906" s="94"/>
      <c r="N906" s="94"/>
    </row>
    <row r="907">
      <c r="A907" s="70"/>
      <c r="K907" s="92"/>
      <c r="M907" s="94"/>
      <c r="N907" s="94"/>
    </row>
    <row r="908">
      <c r="A908" s="70"/>
      <c r="K908" s="92"/>
      <c r="M908" s="94"/>
      <c r="N908" s="94"/>
    </row>
    <row r="909">
      <c r="A909" s="70"/>
      <c r="K909" s="92"/>
      <c r="M909" s="94"/>
      <c r="N909" s="94"/>
    </row>
    <row r="910">
      <c r="A910" s="70"/>
      <c r="K910" s="92"/>
      <c r="M910" s="94"/>
      <c r="N910" s="94"/>
    </row>
    <row r="911">
      <c r="A911" s="70"/>
      <c r="K911" s="92"/>
      <c r="M911" s="94"/>
      <c r="N911" s="94"/>
    </row>
    <row r="912">
      <c r="A912" s="70"/>
      <c r="K912" s="92"/>
      <c r="M912" s="94"/>
      <c r="N912" s="94"/>
    </row>
    <row r="913">
      <c r="A913" s="70"/>
      <c r="K913" s="92"/>
      <c r="M913" s="94"/>
      <c r="N913" s="94"/>
    </row>
    <row r="914">
      <c r="A914" s="70"/>
      <c r="K914" s="92"/>
      <c r="M914" s="94"/>
      <c r="N914" s="94"/>
    </row>
    <row r="915">
      <c r="A915" s="70"/>
      <c r="K915" s="92"/>
      <c r="M915" s="94"/>
      <c r="N915" s="94"/>
    </row>
    <row r="916">
      <c r="A916" s="70"/>
      <c r="K916" s="92"/>
      <c r="M916" s="94"/>
      <c r="N916" s="94"/>
    </row>
    <row r="917">
      <c r="A917" s="70"/>
      <c r="K917" s="92"/>
      <c r="M917" s="94"/>
      <c r="N917" s="94"/>
    </row>
    <row r="918">
      <c r="A918" s="70"/>
      <c r="K918" s="92"/>
      <c r="M918" s="94"/>
      <c r="N918" s="94"/>
    </row>
    <row r="919">
      <c r="A919" s="70"/>
      <c r="K919" s="92"/>
      <c r="M919" s="94"/>
      <c r="N919" s="94"/>
    </row>
    <row r="920">
      <c r="A920" s="70"/>
      <c r="K920" s="92"/>
      <c r="M920" s="94"/>
      <c r="N920" s="94"/>
    </row>
    <row r="921">
      <c r="A921" s="70"/>
      <c r="K921" s="92"/>
      <c r="M921" s="94"/>
      <c r="N921" s="94"/>
    </row>
    <row r="922">
      <c r="A922" s="70"/>
      <c r="K922" s="92"/>
      <c r="M922" s="94"/>
      <c r="N922" s="94"/>
    </row>
    <row r="923">
      <c r="A923" s="70"/>
      <c r="K923" s="92"/>
      <c r="M923" s="94"/>
      <c r="N923" s="94"/>
    </row>
    <row r="924">
      <c r="A924" s="70"/>
      <c r="K924" s="92"/>
      <c r="M924" s="94"/>
      <c r="N924" s="94"/>
    </row>
    <row r="925">
      <c r="A925" s="70"/>
      <c r="K925" s="92"/>
      <c r="M925" s="94"/>
      <c r="N925" s="94"/>
    </row>
    <row r="926">
      <c r="A926" s="70"/>
      <c r="K926" s="92"/>
      <c r="M926" s="94"/>
      <c r="N926" s="94"/>
    </row>
    <row r="927">
      <c r="A927" s="70"/>
      <c r="K927" s="92"/>
      <c r="M927" s="94"/>
      <c r="N927" s="94"/>
    </row>
    <row r="928">
      <c r="A928" s="70"/>
      <c r="K928" s="92"/>
      <c r="M928" s="94"/>
      <c r="N928" s="94"/>
    </row>
    <row r="929">
      <c r="A929" s="70"/>
      <c r="K929" s="92"/>
      <c r="M929" s="94"/>
      <c r="N929" s="94"/>
    </row>
    <row r="930">
      <c r="A930" s="70"/>
      <c r="K930" s="92"/>
      <c r="M930" s="94"/>
      <c r="N930" s="94"/>
    </row>
    <row r="931">
      <c r="A931" s="70"/>
      <c r="K931" s="92"/>
      <c r="M931" s="94"/>
      <c r="N931" s="94"/>
    </row>
    <row r="932">
      <c r="A932" s="70"/>
      <c r="K932" s="92"/>
      <c r="M932" s="94"/>
      <c r="N932" s="94"/>
    </row>
    <row r="933">
      <c r="A933" s="70"/>
      <c r="K933" s="92"/>
      <c r="M933" s="94"/>
      <c r="N933" s="94"/>
    </row>
    <row r="934">
      <c r="A934" s="70"/>
      <c r="K934" s="92"/>
      <c r="M934" s="94"/>
      <c r="N934" s="94"/>
    </row>
    <row r="935">
      <c r="A935" s="70"/>
      <c r="K935" s="92"/>
      <c r="M935" s="94"/>
      <c r="N935" s="94"/>
    </row>
    <row r="936">
      <c r="A936" s="70"/>
      <c r="K936" s="92"/>
      <c r="M936" s="94"/>
      <c r="N936" s="94"/>
    </row>
    <row r="937">
      <c r="A937" s="70"/>
      <c r="K937" s="92"/>
      <c r="M937" s="94"/>
      <c r="N937" s="94"/>
    </row>
    <row r="938">
      <c r="A938" s="70"/>
      <c r="K938" s="92"/>
      <c r="M938" s="94"/>
      <c r="N938" s="94"/>
    </row>
    <row r="939">
      <c r="A939" s="70"/>
      <c r="K939" s="92"/>
      <c r="M939" s="94"/>
      <c r="N939" s="94"/>
    </row>
    <row r="940">
      <c r="A940" s="70"/>
      <c r="K940" s="92"/>
      <c r="M940" s="94"/>
      <c r="N940" s="94"/>
    </row>
    <row r="941">
      <c r="A941" s="70"/>
      <c r="K941" s="92"/>
      <c r="M941" s="94"/>
      <c r="N941" s="94"/>
    </row>
    <row r="942">
      <c r="A942" s="70"/>
      <c r="K942" s="92"/>
      <c r="M942" s="94"/>
      <c r="N942" s="94"/>
    </row>
    <row r="943">
      <c r="A943" s="70"/>
      <c r="K943" s="92"/>
      <c r="M943" s="94"/>
      <c r="N943" s="94"/>
    </row>
    <row r="944">
      <c r="A944" s="70"/>
      <c r="K944" s="92"/>
      <c r="M944" s="94"/>
      <c r="N944" s="94"/>
    </row>
    <row r="945">
      <c r="A945" s="70"/>
      <c r="K945" s="92"/>
      <c r="M945" s="94"/>
      <c r="N945" s="94"/>
    </row>
    <row r="946">
      <c r="A946" s="70"/>
      <c r="K946" s="92"/>
      <c r="M946" s="94"/>
      <c r="N946" s="94"/>
    </row>
    <row r="947">
      <c r="A947" s="70"/>
      <c r="K947" s="92"/>
      <c r="M947" s="94"/>
      <c r="N947" s="94"/>
    </row>
    <row r="948">
      <c r="A948" s="70"/>
      <c r="K948" s="92"/>
      <c r="M948" s="94"/>
      <c r="N948" s="94"/>
    </row>
    <row r="949">
      <c r="A949" s="70"/>
      <c r="K949" s="92"/>
      <c r="M949" s="94"/>
      <c r="N949" s="94"/>
    </row>
    <row r="950">
      <c r="A950" s="70"/>
      <c r="K950" s="92"/>
      <c r="M950" s="94"/>
      <c r="N950" s="94"/>
    </row>
    <row r="951">
      <c r="A951" s="70"/>
      <c r="K951" s="92"/>
      <c r="M951" s="94"/>
      <c r="N951" s="94"/>
    </row>
    <row r="952">
      <c r="A952" s="70"/>
      <c r="K952" s="92"/>
      <c r="M952" s="94"/>
      <c r="N952" s="94"/>
    </row>
    <row r="953">
      <c r="A953" s="70"/>
      <c r="K953" s="92"/>
      <c r="M953" s="94"/>
      <c r="N953" s="94"/>
    </row>
    <row r="954">
      <c r="A954" s="70"/>
      <c r="K954" s="92"/>
      <c r="M954" s="94"/>
      <c r="N954" s="94"/>
    </row>
    <row r="955">
      <c r="A955" s="70"/>
      <c r="K955" s="92"/>
      <c r="M955" s="94"/>
      <c r="N955" s="94"/>
    </row>
    <row r="956">
      <c r="A956" s="70"/>
      <c r="K956" s="92"/>
      <c r="M956" s="94"/>
      <c r="N956" s="94"/>
    </row>
    <row r="957">
      <c r="A957" s="70"/>
      <c r="K957" s="92"/>
      <c r="M957" s="94"/>
      <c r="N957" s="94"/>
    </row>
    <row r="958">
      <c r="A958" s="70"/>
      <c r="K958" s="92"/>
      <c r="M958" s="94"/>
      <c r="N958" s="94"/>
    </row>
    <row r="959">
      <c r="A959" s="70"/>
      <c r="K959" s="92"/>
      <c r="M959" s="94"/>
      <c r="N959" s="94"/>
    </row>
    <row r="960">
      <c r="A960" s="70"/>
      <c r="K960" s="92"/>
      <c r="M960" s="94"/>
      <c r="N960" s="94"/>
    </row>
    <row r="961">
      <c r="A961" s="70"/>
      <c r="K961" s="92"/>
      <c r="M961" s="94"/>
      <c r="N961" s="94"/>
    </row>
    <row r="962">
      <c r="A962" s="70"/>
      <c r="K962" s="92"/>
      <c r="M962" s="94"/>
      <c r="N962" s="94"/>
    </row>
    <row r="963">
      <c r="A963" s="70"/>
      <c r="K963" s="92"/>
      <c r="M963" s="94"/>
      <c r="N963" s="94"/>
    </row>
    <row r="964">
      <c r="A964" s="70"/>
      <c r="K964" s="92"/>
      <c r="M964" s="94"/>
      <c r="N964" s="94"/>
    </row>
    <row r="965">
      <c r="A965" s="70"/>
      <c r="K965" s="92"/>
      <c r="M965" s="94"/>
      <c r="N965" s="94"/>
    </row>
    <row r="966">
      <c r="A966" s="70"/>
      <c r="K966" s="92"/>
      <c r="M966" s="94"/>
      <c r="N966" s="94"/>
    </row>
    <row r="967">
      <c r="A967" s="70"/>
      <c r="K967" s="92"/>
      <c r="M967" s="94"/>
      <c r="N967" s="94"/>
    </row>
    <row r="968">
      <c r="A968" s="70"/>
      <c r="K968" s="92"/>
      <c r="M968" s="94"/>
      <c r="N968" s="94"/>
    </row>
    <row r="969">
      <c r="A969" s="70"/>
      <c r="K969" s="92"/>
      <c r="M969" s="94"/>
      <c r="N969" s="94"/>
    </row>
    <row r="970">
      <c r="A970" s="70"/>
      <c r="K970" s="92"/>
      <c r="M970" s="94"/>
      <c r="N970" s="94"/>
    </row>
    <row r="971">
      <c r="A971" s="70"/>
      <c r="K971" s="92"/>
      <c r="M971" s="94"/>
      <c r="N971" s="94"/>
    </row>
    <row r="972">
      <c r="A972" s="70"/>
      <c r="K972" s="92"/>
      <c r="M972" s="94"/>
      <c r="N972" s="94"/>
    </row>
    <row r="973">
      <c r="A973" s="70"/>
      <c r="K973" s="92"/>
      <c r="M973" s="94"/>
      <c r="N973" s="94"/>
    </row>
    <row r="974">
      <c r="A974" s="70"/>
      <c r="K974" s="92"/>
      <c r="M974" s="94"/>
      <c r="N974" s="94"/>
    </row>
    <row r="975">
      <c r="A975" s="70"/>
      <c r="K975" s="92"/>
      <c r="M975" s="94"/>
      <c r="N975" s="94"/>
    </row>
    <row r="976">
      <c r="A976" s="70"/>
      <c r="K976" s="92"/>
      <c r="M976" s="94"/>
      <c r="N976" s="94"/>
    </row>
    <row r="977">
      <c r="A977" s="70"/>
      <c r="K977" s="92"/>
      <c r="M977" s="94"/>
      <c r="N977" s="94"/>
    </row>
    <row r="978">
      <c r="A978" s="70"/>
      <c r="K978" s="92"/>
      <c r="M978" s="94"/>
      <c r="N978" s="94"/>
    </row>
    <row r="979">
      <c r="A979" s="70"/>
      <c r="K979" s="92"/>
      <c r="M979" s="94"/>
      <c r="N979" s="94"/>
    </row>
    <row r="980">
      <c r="A980" s="70"/>
      <c r="K980" s="92"/>
      <c r="M980" s="94"/>
      <c r="N980" s="94"/>
    </row>
    <row r="981">
      <c r="A981" s="70"/>
      <c r="K981" s="92"/>
      <c r="M981" s="94"/>
      <c r="N981" s="94"/>
    </row>
    <row r="982">
      <c r="A982" s="70"/>
      <c r="K982" s="92"/>
      <c r="M982" s="94"/>
      <c r="N982" s="94"/>
    </row>
    <row r="983">
      <c r="A983" s="70"/>
      <c r="K983" s="92"/>
      <c r="M983" s="94"/>
      <c r="N983" s="94"/>
    </row>
    <row r="984">
      <c r="A984" s="70"/>
      <c r="K984" s="92"/>
      <c r="M984" s="94"/>
      <c r="N984" s="94"/>
    </row>
    <row r="985">
      <c r="A985" s="70"/>
      <c r="K985" s="92"/>
      <c r="M985" s="94"/>
      <c r="N985" s="94"/>
    </row>
    <row r="986">
      <c r="A986" s="70"/>
      <c r="K986" s="92"/>
      <c r="M986" s="94"/>
      <c r="N986" s="94"/>
    </row>
    <row r="987">
      <c r="A987" s="70"/>
      <c r="K987" s="92"/>
      <c r="M987" s="94"/>
      <c r="N987" s="94"/>
    </row>
    <row r="988">
      <c r="A988" s="70"/>
      <c r="K988" s="92"/>
      <c r="M988" s="94"/>
      <c r="N988" s="94"/>
    </row>
    <row r="989">
      <c r="A989" s="70"/>
      <c r="K989" s="92"/>
      <c r="M989" s="94"/>
      <c r="N989" s="94"/>
    </row>
    <row r="990">
      <c r="A990" s="70"/>
      <c r="K990" s="92"/>
      <c r="M990" s="94"/>
      <c r="N990" s="94"/>
    </row>
    <row r="991">
      <c r="A991" s="70"/>
      <c r="K991" s="92"/>
      <c r="M991" s="94"/>
      <c r="N991" s="94"/>
    </row>
    <row r="992">
      <c r="A992" s="70"/>
      <c r="K992" s="92"/>
      <c r="M992" s="94"/>
      <c r="N992" s="94"/>
    </row>
    <row r="993">
      <c r="A993" s="70"/>
      <c r="K993" s="92"/>
      <c r="M993" s="94"/>
      <c r="N993" s="94"/>
    </row>
    <row r="994">
      <c r="A994" s="70"/>
      <c r="K994" s="92"/>
      <c r="M994" s="94"/>
      <c r="N994" s="94"/>
    </row>
    <row r="995">
      <c r="A995" s="70"/>
      <c r="K995" s="92"/>
      <c r="M995" s="94"/>
      <c r="N995" s="94"/>
    </row>
    <row r="996">
      <c r="A996" s="70"/>
      <c r="K996" s="92"/>
      <c r="M996" s="94"/>
      <c r="N996" s="94"/>
    </row>
    <row r="997">
      <c r="A997" s="70"/>
      <c r="K997" s="92"/>
      <c r="M997" s="94"/>
      <c r="N997" s="94"/>
    </row>
    <row r="998">
      <c r="A998" s="70"/>
      <c r="K998" s="92"/>
      <c r="M998" s="94"/>
      <c r="N998" s="94"/>
    </row>
    <row r="999">
      <c r="A999" s="70"/>
      <c r="K999" s="92"/>
      <c r="M999" s="94"/>
      <c r="N999" s="94"/>
    </row>
    <row r="1000">
      <c r="A1000" s="70"/>
      <c r="K1000" s="92"/>
      <c r="M1000" s="94"/>
      <c r="N1000" s="94"/>
    </row>
    <row r="1001">
      <c r="A1001" s="70"/>
      <c r="K1001" s="92"/>
      <c r="M1001" s="94"/>
      <c r="N1001" s="94"/>
    </row>
    <row r="1002">
      <c r="A1002" s="70"/>
      <c r="K1002" s="92"/>
      <c r="M1002" s="94"/>
      <c r="N1002" s="94"/>
    </row>
    <row r="1003">
      <c r="A1003" s="70"/>
      <c r="K1003" s="92"/>
      <c r="M1003" s="94"/>
      <c r="N1003" s="94"/>
    </row>
    <row r="1004">
      <c r="A1004" s="70"/>
      <c r="K1004" s="92"/>
    </row>
  </sheetData>
  <customSheetViews>
    <customSheetView guid="{4EAE1BC8-65EE-4A00-A0E6-850D6B66D32C}" filter="1" showAutoFilter="1">
      <autoFilter ref="$A$2:$AB$85">
        <filterColumn colId="3">
          <filters blank="1">
            <filter val="Sosial"/>
          </filters>
        </filterColumn>
        <filterColumn colId="11">
          <filters blank="1">
            <filter val="1"/>
            <filter val="7"/>
          </filters>
        </filterColumn>
      </autoFilter>
      <extLst>
        <ext uri="GoogleSheetsCustomDataVersion1">
          <go:sheetsCustomData xmlns:go="http://customooxmlschemas.google.com/" filterViewId="1660032715"/>
        </ext>
      </extLst>
    </customSheetView>
    <customSheetView guid="{576DFCCB-C935-4554-80E9-8B98F1E7C008}" filter="1" showAutoFilter="1">
      <autoFilter ref="$A$2:$AB$85">
        <filterColumn colId="3">
          <filters blank="1">
            <filter val="Nerwilis"/>
          </filters>
        </filterColumn>
      </autoFilter>
      <extLst>
        <ext uri="GoogleSheetsCustomDataVersion1">
          <go:sheetsCustomData xmlns:go="http://customooxmlschemas.google.com/" filterViewId="35188198"/>
        </ext>
      </extLst>
    </customSheetView>
  </customSheetViews>
  <mergeCells count="5">
    <mergeCell ref="A1:A2"/>
    <mergeCell ref="B1:B2"/>
    <mergeCell ref="D1:D2"/>
    <mergeCell ref="E1:J1"/>
    <mergeCell ref="K1:K2"/>
  </mergeCells>
  <dataValidations>
    <dataValidation type="list" allowBlank="1" showErrorMessage="1" sqref="D3:D85">
      <formula1>"Nerwilis,Sosial,Distribusi,Produksi"</formula1>
    </dataValidation>
  </dataValidations>
  <hyperlinks>
    <hyperlink r:id="rId2" ref="K9"/>
    <hyperlink r:id="rId3" ref="K49"/>
  </hyperlink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7.75"/>
    <col customWidth="1" min="2" max="2" width="5.88"/>
    <col customWidth="1" min="3" max="3" width="74.5"/>
    <col customWidth="1" min="4" max="4" width="19.88"/>
    <col customWidth="1" min="5" max="5" width="13.63"/>
    <col customWidth="1" min="6" max="15" width="11.13"/>
    <col customWidth="1" min="16" max="16" width="50.13"/>
  </cols>
  <sheetData>
    <row r="1" ht="27.0" customHeight="1">
      <c r="A1" s="42" t="s">
        <v>755</v>
      </c>
      <c r="B1" s="42" t="s">
        <v>93</v>
      </c>
      <c r="C1" s="42" t="s">
        <v>94</v>
      </c>
      <c r="D1" s="71"/>
      <c r="E1" s="42" t="s">
        <v>553</v>
      </c>
      <c r="F1" s="43" t="s">
        <v>95</v>
      </c>
      <c r="G1" s="44"/>
      <c r="H1" s="44"/>
      <c r="I1" s="44"/>
      <c r="J1" s="44"/>
      <c r="K1" s="46" t="s">
        <v>96</v>
      </c>
      <c r="L1" s="44"/>
      <c r="M1" s="44"/>
      <c r="N1" s="44"/>
      <c r="O1" s="45"/>
      <c r="P1" s="42" t="s">
        <v>97</v>
      </c>
    </row>
    <row r="2" ht="27.0" customHeight="1">
      <c r="A2" s="47"/>
      <c r="B2" s="47"/>
      <c r="C2" s="47"/>
      <c r="D2" s="71"/>
      <c r="E2" s="47"/>
      <c r="F2" s="48">
        <v>2021.0</v>
      </c>
      <c r="G2" s="48">
        <v>2022.0</v>
      </c>
      <c r="H2" s="48">
        <v>2023.0</v>
      </c>
      <c r="I2" s="48">
        <v>2024.0</v>
      </c>
      <c r="J2" s="48">
        <v>2025.0</v>
      </c>
      <c r="K2" s="49">
        <v>2025.0</v>
      </c>
      <c r="L2" s="49">
        <v>2026.0</v>
      </c>
      <c r="M2" s="49">
        <v>2027.0</v>
      </c>
      <c r="N2" s="49">
        <v>2028.0</v>
      </c>
      <c r="O2" s="49">
        <v>2029.0</v>
      </c>
      <c r="P2" s="47"/>
    </row>
    <row r="3" ht="28.5" customHeight="1">
      <c r="A3" s="95" t="s">
        <v>756</v>
      </c>
      <c r="B3" s="95">
        <v>1.0</v>
      </c>
      <c r="C3" s="96" t="s">
        <v>13</v>
      </c>
      <c r="D3" s="97" t="s">
        <v>588</v>
      </c>
      <c r="E3" s="96" t="s">
        <v>9</v>
      </c>
      <c r="F3" s="98" t="s">
        <v>560</v>
      </c>
      <c r="G3" s="98" t="s">
        <v>561</v>
      </c>
      <c r="H3" s="98" t="s">
        <v>562</v>
      </c>
      <c r="I3" s="98" t="s">
        <v>563</v>
      </c>
      <c r="J3" s="98" t="s">
        <v>564</v>
      </c>
      <c r="K3" s="99" t="s">
        <v>98</v>
      </c>
      <c r="L3" s="99" t="s">
        <v>99</v>
      </c>
      <c r="M3" s="99" t="s">
        <v>100</v>
      </c>
      <c r="N3" s="99" t="s">
        <v>101</v>
      </c>
      <c r="O3" s="99" t="s">
        <v>102</v>
      </c>
      <c r="P3" s="100" t="s">
        <v>565</v>
      </c>
    </row>
    <row r="4" ht="28.5" customHeight="1">
      <c r="A4" s="95" t="s">
        <v>756</v>
      </c>
      <c r="B4" s="95">
        <v>2.0</v>
      </c>
      <c r="C4" s="96" t="s">
        <v>16</v>
      </c>
      <c r="D4" s="97" t="s">
        <v>571</v>
      </c>
      <c r="E4" s="96" t="s">
        <v>9</v>
      </c>
      <c r="F4" s="101"/>
      <c r="G4" s="101"/>
      <c r="H4" s="101"/>
      <c r="I4" s="98" t="s">
        <v>572</v>
      </c>
      <c r="J4" s="101"/>
      <c r="K4" s="99" t="s">
        <v>103</v>
      </c>
      <c r="L4" s="99" t="s">
        <v>104</v>
      </c>
      <c r="M4" s="99" t="s">
        <v>105</v>
      </c>
      <c r="N4" s="99" t="s">
        <v>106</v>
      </c>
      <c r="O4" s="99" t="s">
        <v>107</v>
      </c>
      <c r="P4" s="100" t="s">
        <v>573</v>
      </c>
    </row>
    <row r="5" ht="28.5" customHeight="1">
      <c r="A5" s="95" t="s">
        <v>756</v>
      </c>
      <c r="B5" s="95">
        <v>3.0</v>
      </c>
      <c r="C5" s="96" t="s">
        <v>19</v>
      </c>
      <c r="D5" s="97" t="s">
        <v>588</v>
      </c>
      <c r="E5" s="96" t="s">
        <v>9</v>
      </c>
      <c r="F5" s="98" t="s">
        <v>579</v>
      </c>
      <c r="G5" s="98" t="s">
        <v>580</v>
      </c>
      <c r="H5" s="98" t="s">
        <v>581</v>
      </c>
      <c r="I5" s="98" t="s">
        <v>321</v>
      </c>
      <c r="J5" s="98" t="s">
        <v>582</v>
      </c>
      <c r="K5" s="102" t="s">
        <v>108</v>
      </c>
      <c r="L5" s="102" t="s">
        <v>109</v>
      </c>
      <c r="M5" s="102" t="s">
        <v>110</v>
      </c>
      <c r="N5" s="102" t="s">
        <v>111</v>
      </c>
      <c r="O5" s="102" t="s">
        <v>112</v>
      </c>
      <c r="P5" s="100" t="s">
        <v>583</v>
      </c>
    </row>
    <row r="6" ht="28.5" customHeight="1">
      <c r="A6" s="95" t="s">
        <v>756</v>
      </c>
      <c r="B6" s="95">
        <v>4.0</v>
      </c>
      <c r="C6" s="96" t="s">
        <v>113</v>
      </c>
      <c r="D6" s="97" t="s">
        <v>588</v>
      </c>
      <c r="E6" s="96" t="s">
        <v>17</v>
      </c>
      <c r="F6" s="98" t="s">
        <v>114</v>
      </c>
      <c r="G6" s="98" t="s">
        <v>115</v>
      </c>
      <c r="H6" s="98" t="s">
        <v>116</v>
      </c>
      <c r="I6" s="98" t="s">
        <v>117</v>
      </c>
      <c r="J6" s="98" t="s">
        <v>118</v>
      </c>
      <c r="K6" s="99" t="s">
        <v>119</v>
      </c>
      <c r="L6" s="99" t="s">
        <v>120</v>
      </c>
      <c r="M6" s="99" t="s">
        <v>121</v>
      </c>
      <c r="N6" s="99" t="s">
        <v>122</v>
      </c>
      <c r="O6" s="99" t="s">
        <v>123</v>
      </c>
      <c r="P6" s="100" t="s">
        <v>588</v>
      </c>
    </row>
    <row r="7" ht="28.5" customHeight="1">
      <c r="A7" s="95" t="s">
        <v>756</v>
      </c>
      <c r="B7" s="95">
        <v>5.0</v>
      </c>
      <c r="C7" s="96" t="s">
        <v>124</v>
      </c>
      <c r="D7" s="97" t="s">
        <v>588</v>
      </c>
      <c r="E7" s="96" t="s">
        <v>17</v>
      </c>
      <c r="F7" s="103" t="s">
        <v>125</v>
      </c>
      <c r="G7" s="103" t="s">
        <v>126</v>
      </c>
      <c r="H7" s="103" t="s">
        <v>127</v>
      </c>
      <c r="I7" s="103" t="s">
        <v>128</v>
      </c>
      <c r="J7" s="103" t="s">
        <v>129</v>
      </c>
      <c r="K7" s="104" t="s">
        <v>130</v>
      </c>
      <c r="L7" s="104" t="s">
        <v>131</v>
      </c>
      <c r="M7" s="104" t="s">
        <v>132</v>
      </c>
      <c r="N7" s="104" t="s">
        <v>133</v>
      </c>
      <c r="O7" s="104" t="s">
        <v>134</v>
      </c>
      <c r="P7" s="100" t="s">
        <v>588</v>
      </c>
    </row>
    <row r="8" ht="28.5" customHeight="1">
      <c r="A8" s="95" t="s">
        <v>756</v>
      </c>
      <c r="B8" s="95">
        <v>6.0</v>
      </c>
      <c r="C8" s="96" t="s">
        <v>26</v>
      </c>
      <c r="D8" s="97" t="s">
        <v>588</v>
      </c>
      <c r="E8" s="96" t="s">
        <v>9</v>
      </c>
      <c r="F8" s="98" t="s">
        <v>592</v>
      </c>
      <c r="G8" s="98" t="s">
        <v>402</v>
      </c>
      <c r="H8" s="98" t="s">
        <v>402</v>
      </c>
      <c r="I8" s="98" t="s">
        <v>593</v>
      </c>
      <c r="J8" s="98" t="s">
        <v>592</v>
      </c>
      <c r="K8" s="99" t="s">
        <v>135</v>
      </c>
      <c r="L8" s="99" t="s">
        <v>135</v>
      </c>
      <c r="M8" s="99" t="s">
        <v>135</v>
      </c>
      <c r="N8" s="99" t="s">
        <v>135</v>
      </c>
      <c r="O8" s="99" t="s">
        <v>135</v>
      </c>
      <c r="P8" s="105"/>
    </row>
    <row r="9" ht="28.5" customHeight="1">
      <c r="A9" s="95" t="s">
        <v>756</v>
      </c>
      <c r="B9" s="95">
        <v>7.0</v>
      </c>
      <c r="C9" s="96" t="s">
        <v>28</v>
      </c>
      <c r="D9" s="97" t="s">
        <v>590</v>
      </c>
      <c r="E9" s="96" t="s">
        <v>9</v>
      </c>
      <c r="F9" s="101"/>
      <c r="G9" s="101"/>
      <c r="H9" s="101"/>
      <c r="I9" s="98" t="s">
        <v>136</v>
      </c>
      <c r="J9" s="98" t="s">
        <v>137</v>
      </c>
      <c r="K9" s="99" t="s">
        <v>138</v>
      </c>
      <c r="L9" s="99" t="s">
        <v>139</v>
      </c>
      <c r="M9" s="99" t="s">
        <v>140</v>
      </c>
      <c r="N9" s="99" t="s">
        <v>141</v>
      </c>
      <c r="O9" s="99" t="s">
        <v>142</v>
      </c>
      <c r="P9" s="100" t="s">
        <v>757</v>
      </c>
    </row>
    <row r="10" ht="28.5" customHeight="1">
      <c r="A10" s="95" t="s">
        <v>756</v>
      </c>
      <c r="B10" s="95">
        <v>8.0</v>
      </c>
      <c r="C10" s="96" t="s">
        <v>143</v>
      </c>
      <c r="D10" s="97" t="s">
        <v>590</v>
      </c>
      <c r="E10" s="96" t="s">
        <v>17</v>
      </c>
      <c r="F10" s="101"/>
      <c r="G10" s="101"/>
      <c r="H10" s="101"/>
      <c r="I10" s="101"/>
      <c r="J10" s="101"/>
      <c r="K10" s="99" t="s">
        <v>144</v>
      </c>
      <c r="L10" s="99" t="s">
        <v>145</v>
      </c>
      <c r="M10" s="99" t="s">
        <v>146</v>
      </c>
      <c r="N10" s="99" t="s">
        <v>146</v>
      </c>
      <c r="O10" s="99" t="s">
        <v>147</v>
      </c>
      <c r="P10" s="106" t="s">
        <v>596</v>
      </c>
    </row>
    <row r="11">
      <c r="A11" s="95" t="s">
        <v>756</v>
      </c>
      <c r="B11" s="95">
        <v>9.0</v>
      </c>
      <c r="C11" s="96" t="s">
        <v>148</v>
      </c>
      <c r="D11" s="97" t="s">
        <v>597</v>
      </c>
      <c r="E11" s="96" t="s">
        <v>17</v>
      </c>
      <c r="F11" s="98" t="s">
        <v>149</v>
      </c>
      <c r="G11" s="98" t="s">
        <v>150</v>
      </c>
      <c r="H11" s="98" t="s">
        <v>151</v>
      </c>
      <c r="I11" s="98"/>
      <c r="J11" s="98"/>
      <c r="K11" s="99" t="s">
        <v>152</v>
      </c>
      <c r="L11" s="99" t="s">
        <v>153</v>
      </c>
      <c r="M11" s="99" t="s">
        <v>154</v>
      </c>
      <c r="N11" s="99" t="s">
        <v>155</v>
      </c>
      <c r="O11" s="99" t="s">
        <v>156</v>
      </c>
      <c r="P11" s="100" t="s">
        <v>598</v>
      </c>
    </row>
    <row r="12" ht="28.5" customHeight="1">
      <c r="A12" s="95" t="s">
        <v>756</v>
      </c>
      <c r="B12" s="95">
        <v>10.0</v>
      </c>
      <c r="C12" s="96" t="s">
        <v>157</v>
      </c>
      <c r="D12" s="97" t="s">
        <v>597</v>
      </c>
      <c r="E12" s="96" t="s">
        <v>17</v>
      </c>
      <c r="F12" s="98" t="s">
        <v>158</v>
      </c>
      <c r="G12" s="98" t="s">
        <v>159</v>
      </c>
      <c r="H12" s="98" t="s">
        <v>160</v>
      </c>
      <c r="I12" s="98" t="s">
        <v>161</v>
      </c>
      <c r="J12" s="98" t="s">
        <v>162</v>
      </c>
      <c r="K12" s="99" t="s">
        <v>163</v>
      </c>
      <c r="L12" s="99" t="s">
        <v>164</v>
      </c>
      <c r="M12" s="99" t="s">
        <v>165</v>
      </c>
      <c r="N12" s="99" t="s">
        <v>166</v>
      </c>
      <c r="O12" s="99" t="s">
        <v>167</v>
      </c>
      <c r="P12" s="105"/>
    </row>
    <row r="13" ht="28.5" customHeight="1">
      <c r="A13" s="50" t="s">
        <v>758</v>
      </c>
      <c r="B13" s="50">
        <v>11.0</v>
      </c>
      <c r="C13" s="51" t="s">
        <v>168</v>
      </c>
      <c r="D13" s="107" t="s">
        <v>588</v>
      </c>
      <c r="E13" s="51" t="s">
        <v>17</v>
      </c>
      <c r="F13" s="56">
        <v>73.49</v>
      </c>
      <c r="G13" s="56">
        <v>73.51</v>
      </c>
      <c r="H13" s="56">
        <v>73.54</v>
      </c>
      <c r="I13" s="56">
        <v>73.57</v>
      </c>
      <c r="J13" s="56">
        <v>73.68</v>
      </c>
      <c r="K13" s="53" t="s">
        <v>169</v>
      </c>
      <c r="L13" s="53" t="s">
        <v>170</v>
      </c>
      <c r="M13" s="53" t="s">
        <v>171</v>
      </c>
      <c r="N13" s="53" t="s">
        <v>172</v>
      </c>
      <c r="O13" s="53" t="s">
        <v>173</v>
      </c>
      <c r="P13" s="64" t="s">
        <v>588</v>
      </c>
    </row>
    <row r="14" ht="28.5" customHeight="1">
      <c r="A14" s="50" t="s">
        <v>758</v>
      </c>
      <c r="B14" s="50">
        <v>12.0</v>
      </c>
      <c r="C14" s="51" t="s">
        <v>174</v>
      </c>
      <c r="D14" s="107" t="s">
        <v>599</v>
      </c>
      <c r="E14" s="51" t="s">
        <v>17</v>
      </c>
      <c r="F14" s="52"/>
      <c r="G14" s="52"/>
      <c r="H14" s="52"/>
      <c r="I14" s="52"/>
      <c r="J14" s="52"/>
      <c r="K14" s="53" t="s">
        <v>175</v>
      </c>
      <c r="L14" s="53" t="s">
        <v>176</v>
      </c>
      <c r="M14" s="53" t="s">
        <v>177</v>
      </c>
      <c r="N14" s="53" t="s">
        <v>178</v>
      </c>
      <c r="O14" s="53" t="s">
        <v>179</v>
      </c>
      <c r="P14" s="59" t="s">
        <v>596</v>
      </c>
    </row>
    <row r="15" ht="28.5" customHeight="1">
      <c r="A15" s="50" t="s">
        <v>758</v>
      </c>
      <c r="B15" s="50">
        <v>13.0</v>
      </c>
      <c r="C15" s="51" t="s">
        <v>180</v>
      </c>
      <c r="D15" s="107" t="s">
        <v>599</v>
      </c>
      <c r="E15" s="51" t="s">
        <v>17</v>
      </c>
      <c r="F15" s="56" t="s">
        <v>600</v>
      </c>
      <c r="G15" s="56" t="s">
        <v>601</v>
      </c>
      <c r="H15" s="56" t="s">
        <v>602</v>
      </c>
      <c r="I15" s="56" t="s">
        <v>603</v>
      </c>
      <c r="J15" s="52"/>
      <c r="K15" s="53" t="s">
        <v>181</v>
      </c>
      <c r="L15" s="53" t="s">
        <v>182</v>
      </c>
      <c r="M15" s="53" t="s">
        <v>183</v>
      </c>
      <c r="N15" s="53" t="s">
        <v>184</v>
      </c>
      <c r="O15" s="53" t="s">
        <v>185</v>
      </c>
      <c r="P15" s="59" t="s">
        <v>604</v>
      </c>
    </row>
    <row r="16" ht="28.5" customHeight="1">
      <c r="A16" s="50" t="s">
        <v>758</v>
      </c>
      <c r="B16" s="50">
        <v>14.0</v>
      </c>
      <c r="C16" s="51" t="s">
        <v>605</v>
      </c>
      <c r="D16" s="107" t="s">
        <v>599</v>
      </c>
      <c r="E16" s="51" t="s">
        <v>17</v>
      </c>
      <c r="F16" s="52"/>
      <c r="G16" s="52"/>
      <c r="H16" s="52"/>
      <c r="I16" s="52"/>
      <c r="J16" s="52"/>
      <c r="K16" s="53" t="s">
        <v>187</v>
      </c>
      <c r="L16" s="53" t="s">
        <v>187</v>
      </c>
      <c r="M16" s="53" t="s">
        <v>187</v>
      </c>
      <c r="N16" s="53" t="s">
        <v>187</v>
      </c>
      <c r="O16" s="53" t="s">
        <v>187</v>
      </c>
      <c r="P16" s="59" t="s">
        <v>606</v>
      </c>
    </row>
    <row r="17" ht="28.5" customHeight="1">
      <c r="A17" s="50" t="s">
        <v>758</v>
      </c>
      <c r="B17" s="50">
        <v>15.0</v>
      </c>
      <c r="C17" s="51" t="s">
        <v>189</v>
      </c>
      <c r="D17" s="107" t="s">
        <v>607</v>
      </c>
      <c r="E17" s="51" t="s">
        <v>17</v>
      </c>
      <c r="F17" s="56"/>
      <c r="G17" s="56"/>
      <c r="H17" s="56"/>
      <c r="I17" s="52"/>
      <c r="J17" s="56"/>
      <c r="K17" s="53" t="s">
        <v>190</v>
      </c>
      <c r="L17" s="53" t="s">
        <v>191</v>
      </c>
      <c r="M17" s="53" t="s">
        <v>192</v>
      </c>
      <c r="N17" s="53" t="s">
        <v>193</v>
      </c>
      <c r="O17" s="53" t="s">
        <v>194</v>
      </c>
      <c r="P17" s="59" t="s">
        <v>608</v>
      </c>
    </row>
    <row r="18">
      <c r="A18" s="50" t="s">
        <v>758</v>
      </c>
      <c r="B18" s="50">
        <v>16.0</v>
      </c>
      <c r="C18" s="60" t="s">
        <v>195</v>
      </c>
      <c r="D18" s="107" t="s">
        <v>610</v>
      </c>
      <c r="E18" s="51" t="s">
        <v>17</v>
      </c>
      <c r="F18" s="52"/>
      <c r="G18" s="52"/>
      <c r="H18" s="52"/>
      <c r="I18" s="52"/>
      <c r="J18" s="52"/>
      <c r="K18" s="53" t="s">
        <v>196</v>
      </c>
      <c r="L18" s="53" t="s">
        <v>197</v>
      </c>
      <c r="M18" s="53" t="s">
        <v>198</v>
      </c>
      <c r="N18" s="53" t="s">
        <v>199</v>
      </c>
      <c r="O18" s="53" t="s">
        <v>200</v>
      </c>
      <c r="P18" s="59" t="s">
        <v>596</v>
      </c>
    </row>
    <row r="19">
      <c r="A19" s="50" t="s">
        <v>758</v>
      </c>
      <c r="B19" s="50">
        <v>17.0</v>
      </c>
      <c r="C19" s="60" t="s">
        <v>201</v>
      </c>
      <c r="D19" s="107" t="s">
        <v>610</v>
      </c>
      <c r="E19" s="51" t="s">
        <v>17</v>
      </c>
      <c r="F19" s="52"/>
      <c r="G19" s="52"/>
      <c r="H19" s="52"/>
      <c r="I19" s="52"/>
      <c r="J19" s="52"/>
      <c r="K19" s="53" t="s">
        <v>196</v>
      </c>
      <c r="L19" s="53" t="s">
        <v>202</v>
      </c>
      <c r="M19" s="53" t="s">
        <v>197</v>
      </c>
      <c r="N19" s="53" t="s">
        <v>203</v>
      </c>
      <c r="O19" s="53" t="s">
        <v>198</v>
      </c>
      <c r="P19" s="59" t="s">
        <v>596</v>
      </c>
    </row>
    <row r="20" ht="28.5" customHeight="1">
      <c r="A20" s="50" t="s">
        <v>758</v>
      </c>
      <c r="B20" s="50">
        <v>18.0</v>
      </c>
      <c r="C20" s="51" t="s">
        <v>204</v>
      </c>
      <c r="D20" s="107" t="s">
        <v>588</v>
      </c>
      <c r="E20" s="51" t="s">
        <v>9</v>
      </c>
      <c r="F20" s="56" t="s">
        <v>109</v>
      </c>
      <c r="G20" s="56" t="s">
        <v>617</v>
      </c>
      <c r="H20" s="56" t="s">
        <v>618</v>
      </c>
      <c r="I20" s="56" t="s">
        <v>619</v>
      </c>
      <c r="J20" s="56" t="s">
        <v>620</v>
      </c>
      <c r="K20" s="53" t="s">
        <v>205</v>
      </c>
      <c r="L20" s="53" t="s">
        <v>110</v>
      </c>
      <c r="M20" s="53" t="s">
        <v>206</v>
      </c>
      <c r="N20" s="53" t="s">
        <v>207</v>
      </c>
      <c r="O20" s="53" t="s">
        <v>208</v>
      </c>
      <c r="P20" s="64" t="s">
        <v>588</v>
      </c>
    </row>
    <row r="21" ht="28.5" customHeight="1">
      <c r="A21" s="50" t="s">
        <v>758</v>
      </c>
      <c r="B21" s="50">
        <v>19.0</v>
      </c>
      <c r="C21" s="51" t="s">
        <v>209</v>
      </c>
      <c r="D21" s="107" t="s">
        <v>588</v>
      </c>
      <c r="E21" s="51" t="s">
        <v>9</v>
      </c>
      <c r="F21" s="56" t="s">
        <v>621</v>
      </c>
      <c r="G21" s="56" t="s">
        <v>622</v>
      </c>
      <c r="H21" s="56" t="s">
        <v>623</v>
      </c>
      <c r="I21" s="56" t="s">
        <v>624</v>
      </c>
      <c r="J21" s="56" t="s">
        <v>625</v>
      </c>
      <c r="K21" s="53" t="s">
        <v>210</v>
      </c>
      <c r="L21" s="53" t="s">
        <v>211</v>
      </c>
      <c r="M21" s="53" t="s">
        <v>212</v>
      </c>
      <c r="N21" s="53" t="s">
        <v>213</v>
      </c>
      <c r="O21" s="53" t="s">
        <v>214</v>
      </c>
      <c r="P21" s="64" t="s">
        <v>588</v>
      </c>
    </row>
    <row r="22" ht="28.5" customHeight="1">
      <c r="A22" s="50" t="s">
        <v>758</v>
      </c>
      <c r="B22" s="50">
        <v>20.0</v>
      </c>
      <c r="C22" s="51" t="s">
        <v>48</v>
      </c>
      <c r="D22" s="107" t="s">
        <v>588</v>
      </c>
      <c r="E22" s="51" t="s">
        <v>17</v>
      </c>
      <c r="F22" s="56" t="s">
        <v>627</v>
      </c>
      <c r="G22" s="56" t="s">
        <v>628</v>
      </c>
      <c r="H22" s="56" t="s">
        <v>629</v>
      </c>
      <c r="I22" s="56" t="s">
        <v>630</v>
      </c>
      <c r="J22" s="56" t="s">
        <v>631</v>
      </c>
      <c r="K22" s="53" t="s">
        <v>215</v>
      </c>
      <c r="L22" s="53" t="s">
        <v>216</v>
      </c>
      <c r="M22" s="53" t="s">
        <v>217</v>
      </c>
      <c r="N22" s="53" t="s">
        <v>218</v>
      </c>
      <c r="O22" s="53" t="s">
        <v>219</v>
      </c>
      <c r="P22" s="59" t="s">
        <v>632</v>
      </c>
    </row>
    <row r="23" ht="28.5" customHeight="1">
      <c r="A23" s="50" t="s">
        <v>758</v>
      </c>
      <c r="B23" s="50">
        <v>21.0</v>
      </c>
      <c r="C23" s="51" t="s">
        <v>220</v>
      </c>
      <c r="D23" s="107" t="s">
        <v>610</v>
      </c>
      <c r="E23" s="51" t="s">
        <v>17</v>
      </c>
      <c r="F23" s="52"/>
      <c r="G23" s="52"/>
      <c r="H23" s="52"/>
      <c r="I23" s="52"/>
      <c r="J23" s="52"/>
      <c r="K23" s="53" t="s">
        <v>190</v>
      </c>
      <c r="L23" s="53" t="s">
        <v>191</v>
      </c>
      <c r="M23" s="53" t="s">
        <v>192</v>
      </c>
      <c r="N23" s="53" t="s">
        <v>221</v>
      </c>
      <c r="O23" s="53" t="s">
        <v>193</v>
      </c>
      <c r="P23" s="59" t="s">
        <v>759</v>
      </c>
    </row>
    <row r="24" ht="28.5" customHeight="1">
      <c r="A24" s="50" t="s">
        <v>758</v>
      </c>
      <c r="B24" s="50">
        <v>22.0</v>
      </c>
      <c r="C24" s="51" t="s">
        <v>222</v>
      </c>
      <c r="D24" s="107" t="s">
        <v>587</v>
      </c>
      <c r="E24" s="51" t="s">
        <v>17</v>
      </c>
      <c r="F24" s="52"/>
      <c r="G24" s="52"/>
      <c r="H24" s="52"/>
      <c r="I24" s="52"/>
      <c r="J24" s="52"/>
      <c r="K24" s="53" t="s">
        <v>223</v>
      </c>
      <c r="L24" s="53" t="s">
        <v>164</v>
      </c>
      <c r="M24" s="53" t="s">
        <v>224</v>
      </c>
      <c r="N24" s="53" t="s">
        <v>225</v>
      </c>
      <c r="O24" s="53" t="s">
        <v>226</v>
      </c>
      <c r="P24" s="59" t="s">
        <v>634</v>
      </c>
    </row>
    <row r="25" ht="28.5" customHeight="1">
      <c r="A25" s="50" t="s">
        <v>758</v>
      </c>
      <c r="B25" s="50">
        <v>23.0</v>
      </c>
      <c r="C25" s="51" t="s">
        <v>227</v>
      </c>
      <c r="D25" s="107" t="s">
        <v>635</v>
      </c>
      <c r="E25" s="51" t="s">
        <v>17</v>
      </c>
      <c r="F25" s="52"/>
      <c r="G25" s="52"/>
      <c r="H25" s="52"/>
      <c r="I25" s="52"/>
      <c r="J25" s="52"/>
      <c r="K25" s="53" t="s">
        <v>198</v>
      </c>
      <c r="L25" s="53" t="s">
        <v>228</v>
      </c>
      <c r="M25" s="53" t="s">
        <v>229</v>
      </c>
      <c r="N25" s="53" t="s">
        <v>230</v>
      </c>
      <c r="O25" s="53" t="s">
        <v>199</v>
      </c>
      <c r="P25" s="59" t="s">
        <v>636</v>
      </c>
    </row>
    <row r="26" ht="28.5" customHeight="1">
      <c r="A26" s="50" t="s">
        <v>758</v>
      </c>
      <c r="B26" s="50">
        <v>24.0</v>
      </c>
      <c r="C26" s="51" t="s">
        <v>231</v>
      </c>
      <c r="D26" s="107" t="s">
        <v>588</v>
      </c>
      <c r="E26" s="51" t="s">
        <v>9</v>
      </c>
      <c r="F26" s="56" t="s">
        <v>579</v>
      </c>
      <c r="G26" s="56" t="s">
        <v>580</v>
      </c>
      <c r="H26" s="56" t="s">
        <v>581</v>
      </c>
      <c r="I26" s="56" t="s">
        <v>321</v>
      </c>
      <c r="J26" s="56" t="s">
        <v>582</v>
      </c>
      <c r="K26" s="53" t="s">
        <v>108</v>
      </c>
      <c r="L26" s="53" t="s">
        <v>109</v>
      </c>
      <c r="M26" s="53" t="s">
        <v>110</v>
      </c>
      <c r="N26" s="53" t="s">
        <v>111</v>
      </c>
      <c r="O26" s="53" t="s">
        <v>112</v>
      </c>
      <c r="P26" s="64" t="s">
        <v>583</v>
      </c>
    </row>
    <row r="27" ht="28.5" customHeight="1">
      <c r="A27" s="50" t="s">
        <v>758</v>
      </c>
      <c r="B27" s="50" t="s">
        <v>637</v>
      </c>
      <c r="C27" s="51" t="s">
        <v>638</v>
      </c>
      <c r="D27" s="107" t="s">
        <v>588</v>
      </c>
      <c r="E27" s="51" t="s">
        <v>9</v>
      </c>
      <c r="F27" s="56" t="s">
        <v>639</v>
      </c>
      <c r="G27" s="56" t="s">
        <v>640</v>
      </c>
      <c r="H27" s="56" t="s">
        <v>373</v>
      </c>
      <c r="I27" s="56" t="s">
        <v>239</v>
      </c>
      <c r="J27" s="56" t="s">
        <v>641</v>
      </c>
      <c r="K27" s="63" t="s">
        <v>233</v>
      </c>
      <c r="L27" s="63" t="s">
        <v>234</v>
      </c>
      <c r="M27" s="63" t="s">
        <v>235</v>
      </c>
      <c r="N27" s="63" t="s">
        <v>236</v>
      </c>
      <c r="O27" s="63" t="s">
        <v>237</v>
      </c>
      <c r="P27" s="64" t="s">
        <v>642</v>
      </c>
    </row>
    <row r="28" ht="28.5" customHeight="1">
      <c r="A28" s="50" t="s">
        <v>758</v>
      </c>
      <c r="B28" s="50" t="s">
        <v>643</v>
      </c>
      <c r="C28" s="51" t="s">
        <v>644</v>
      </c>
      <c r="D28" s="107" t="s">
        <v>588</v>
      </c>
      <c r="E28" s="51" t="s">
        <v>9</v>
      </c>
      <c r="F28" s="56">
        <v>2.32</v>
      </c>
      <c r="G28" s="56">
        <v>3.83</v>
      </c>
      <c r="H28" s="56">
        <v>1.67</v>
      </c>
      <c r="I28" s="56">
        <v>3.37</v>
      </c>
      <c r="J28" s="56">
        <v>8.88</v>
      </c>
      <c r="K28" s="53" t="s">
        <v>239</v>
      </c>
      <c r="L28" s="53" t="s">
        <v>240</v>
      </c>
      <c r="M28" s="53" t="s">
        <v>241</v>
      </c>
      <c r="N28" s="53" t="s">
        <v>242</v>
      </c>
      <c r="O28" s="53" t="s">
        <v>243</v>
      </c>
      <c r="P28" s="64" t="s">
        <v>645</v>
      </c>
    </row>
    <row r="29" ht="28.5" customHeight="1">
      <c r="A29" s="50" t="s">
        <v>758</v>
      </c>
      <c r="B29" s="50">
        <v>26.0</v>
      </c>
      <c r="C29" s="51" t="s">
        <v>52</v>
      </c>
      <c r="D29" s="107" t="s">
        <v>588</v>
      </c>
      <c r="E29" s="51" t="s">
        <v>9</v>
      </c>
      <c r="F29" s="56" t="s">
        <v>647</v>
      </c>
      <c r="G29" s="56" t="s">
        <v>648</v>
      </c>
      <c r="H29" s="56" t="s">
        <v>276</v>
      </c>
      <c r="I29" s="56" t="s">
        <v>649</v>
      </c>
      <c r="J29" s="56" t="s">
        <v>650</v>
      </c>
      <c r="K29" s="53"/>
      <c r="L29" s="53"/>
      <c r="M29" s="53"/>
      <c r="N29" s="53"/>
      <c r="O29" s="53"/>
      <c r="P29" s="83"/>
    </row>
    <row r="30" ht="28.5" customHeight="1">
      <c r="A30" s="50" t="s">
        <v>758</v>
      </c>
      <c r="B30" s="50">
        <v>27.0</v>
      </c>
      <c r="C30" s="51" t="s">
        <v>54</v>
      </c>
      <c r="D30" s="107" t="s">
        <v>646</v>
      </c>
      <c r="E30" s="51" t="s">
        <v>21</v>
      </c>
      <c r="F30" s="53" t="s">
        <v>244</v>
      </c>
      <c r="G30" s="53" t="s">
        <v>245</v>
      </c>
      <c r="H30" s="53" t="s">
        <v>246</v>
      </c>
      <c r="I30" s="53" t="s">
        <v>247</v>
      </c>
      <c r="J30" s="53" t="s">
        <v>248</v>
      </c>
      <c r="K30" s="53" t="s">
        <v>249</v>
      </c>
      <c r="L30" s="53" t="s">
        <v>250</v>
      </c>
      <c r="M30" s="53" t="s">
        <v>251</v>
      </c>
      <c r="N30" s="53" t="s">
        <v>252</v>
      </c>
      <c r="O30" s="53" t="s">
        <v>253</v>
      </c>
      <c r="P30" s="83"/>
    </row>
    <row r="31" ht="28.5" customHeight="1">
      <c r="A31" s="50" t="s">
        <v>758</v>
      </c>
      <c r="B31" s="50">
        <v>28.0</v>
      </c>
      <c r="C31" s="51" t="s">
        <v>55</v>
      </c>
      <c r="D31" s="107" t="s">
        <v>646</v>
      </c>
      <c r="E31" s="51" t="s">
        <v>9</v>
      </c>
      <c r="F31" s="56"/>
      <c r="G31" s="56"/>
      <c r="H31" s="56"/>
      <c r="I31" s="56"/>
      <c r="J31" s="56"/>
      <c r="K31" s="63" t="s">
        <v>254</v>
      </c>
      <c r="L31" s="63" t="s">
        <v>255</v>
      </c>
      <c r="M31" s="63" t="s">
        <v>256</v>
      </c>
      <c r="N31" s="63" t="s">
        <v>256</v>
      </c>
      <c r="O31" s="63" t="s">
        <v>256</v>
      </c>
      <c r="P31" s="64" t="s">
        <v>652</v>
      </c>
    </row>
    <row r="32" ht="28.5" customHeight="1">
      <c r="A32" s="50" t="s">
        <v>758</v>
      </c>
      <c r="B32" s="50">
        <v>29.0</v>
      </c>
      <c r="C32" s="51" t="s">
        <v>58</v>
      </c>
      <c r="D32" s="107" t="s">
        <v>653</v>
      </c>
      <c r="E32" s="51" t="s">
        <v>21</v>
      </c>
      <c r="F32" s="52"/>
      <c r="G32" s="52"/>
      <c r="H32" s="52"/>
      <c r="I32" s="52"/>
      <c r="J32" s="52"/>
      <c r="K32" s="53" t="s">
        <v>257</v>
      </c>
      <c r="L32" s="53" t="s">
        <v>258</v>
      </c>
      <c r="M32" s="53" t="s">
        <v>259</v>
      </c>
      <c r="N32" s="53" t="s">
        <v>260</v>
      </c>
      <c r="O32" s="53" t="s">
        <v>261</v>
      </c>
      <c r="P32" s="64" t="s">
        <v>654</v>
      </c>
    </row>
    <row r="33" ht="28.5" customHeight="1">
      <c r="A33" s="50" t="s">
        <v>758</v>
      </c>
      <c r="B33" s="50">
        <v>30.0</v>
      </c>
      <c r="C33" s="51" t="s">
        <v>262</v>
      </c>
      <c r="D33" s="107" t="s">
        <v>653</v>
      </c>
      <c r="E33" s="51" t="s">
        <v>17</v>
      </c>
      <c r="F33" s="52"/>
      <c r="G33" s="52"/>
      <c r="H33" s="52"/>
      <c r="I33" s="52"/>
      <c r="J33" s="52"/>
      <c r="K33" s="53" t="s">
        <v>263</v>
      </c>
      <c r="L33" s="53" t="s">
        <v>264</v>
      </c>
      <c r="M33" s="53" t="s">
        <v>265</v>
      </c>
      <c r="N33" s="53" t="s">
        <v>266</v>
      </c>
      <c r="O33" s="53" t="s">
        <v>267</v>
      </c>
      <c r="P33" s="59" t="s">
        <v>636</v>
      </c>
    </row>
    <row r="34" ht="28.5" customHeight="1">
      <c r="A34" s="50" t="s">
        <v>758</v>
      </c>
      <c r="B34" s="50">
        <v>31.0</v>
      </c>
      <c r="C34" s="51" t="s">
        <v>60</v>
      </c>
      <c r="D34" s="107" t="s">
        <v>653</v>
      </c>
      <c r="E34" s="51" t="s">
        <v>21</v>
      </c>
      <c r="F34" s="52"/>
      <c r="G34" s="52"/>
      <c r="H34" s="52"/>
      <c r="I34" s="52"/>
      <c r="J34" s="52"/>
      <c r="K34" s="53" t="s">
        <v>268</v>
      </c>
      <c r="L34" s="53" t="s">
        <v>269</v>
      </c>
      <c r="M34" s="53" t="s">
        <v>270</v>
      </c>
      <c r="N34" s="53" t="s">
        <v>271</v>
      </c>
      <c r="O34" s="53" t="s">
        <v>272</v>
      </c>
      <c r="P34" s="64" t="s">
        <v>655</v>
      </c>
    </row>
    <row r="35" ht="28.5" customHeight="1">
      <c r="A35" s="50" t="s">
        <v>758</v>
      </c>
      <c r="B35" s="50">
        <v>32.0</v>
      </c>
      <c r="C35" s="51" t="s">
        <v>62</v>
      </c>
      <c r="D35" s="107" t="s">
        <v>653</v>
      </c>
      <c r="E35" s="51" t="s">
        <v>21</v>
      </c>
      <c r="F35" s="52"/>
      <c r="G35" s="52"/>
      <c r="H35" s="52"/>
      <c r="I35" s="52"/>
      <c r="J35" s="52"/>
      <c r="K35" s="53" t="s">
        <v>273</v>
      </c>
      <c r="L35" s="53" t="s">
        <v>274</v>
      </c>
      <c r="M35" s="53" t="s">
        <v>275</v>
      </c>
      <c r="N35" s="53" t="s">
        <v>276</v>
      </c>
      <c r="O35" s="53" t="s">
        <v>277</v>
      </c>
      <c r="P35" s="64" t="s">
        <v>654</v>
      </c>
    </row>
    <row r="36" ht="28.5" customHeight="1">
      <c r="A36" s="50" t="s">
        <v>758</v>
      </c>
      <c r="B36" s="50">
        <v>33.0</v>
      </c>
      <c r="C36" s="51" t="s">
        <v>656</v>
      </c>
      <c r="D36" s="107" t="s">
        <v>588</v>
      </c>
      <c r="E36" s="51" t="s">
        <v>17</v>
      </c>
      <c r="F36" s="56" t="s">
        <v>658</v>
      </c>
      <c r="G36" s="56" t="s">
        <v>659</v>
      </c>
      <c r="H36" s="56" t="s">
        <v>660</v>
      </c>
      <c r="I36" s="56" t="s">
        <v>661</v>
      </c>
      <c r="J36" s="56" t="s">
        <v>662</v>
      </c>
      <c r="K36" s="53" t="s">
        <v>279</v>
      </c>
      <c r="L36" s="53" t="s">
        <v>280</v>
      </c>
      <c r="M36" s="53" t="s">
        <v>281</v>
      </c>
      <c r="N36" s="53" t="s">
        <v>282</v>
      </c>
      <c r="O36" s="53" t="s">
        <v>283</v>
      </c>
      <c r="P36" s="59" t="s">
        <v>636</v>
      </c>
    </row>
    <row r="37" ht="28.5" customHeight="1">
      <c r="A37" s="50" t="s">
        <v>758</v>
      </c>
      <c r="B37" s="50">
        <v>34.0</v>
      </c>
      <c r="C37" s="51" t="s">
        <v>284</v>
      </c>
      <c r="D37" s="107" t="s">
        <v>657</v>
      </c>
      <c r="E37" s="51" t="s">
        <v>17</v>
      </c>
      <c r="F37" s="52"/>
      <c r="G37" s="52"/>
      <c r="H37" s="52"/>
      <c r="I37" s="52"/>
      <c r="J37" s="52"/>
      <c r="K37" s="53" t="s">
        <v>285</v>
      </c>
      <c r="L37" s="53" t="s">
        <v>286</v>
      </c>
      <c r="M37" s="53" t="s">
        <v>287</v>
      </c>
      <c r="N37" s="53" t="s">
        <v>288</v>
      </c>
      <c r="O37" s="53" t="s">
        <v>289</v>
      </c>
      <c r="P37" s="59" t="s">
        <v>663</v>
      </c>
    </row>
    <row r="38" ht="28.5" customHeight="1">
      <c r="A38" s="50" t="s">
        <v>758</v>
      </c>
      <c r="B38" s="50">
        <v>35.0</v>
      </c>
      <c r="C38" s="51" t="s">
        <v>290</v>
      </c>
      <c r="D38" s="107" t="s">
        <v>588</v>
      </c>
      <c r="E38" s="51" t="s">
        <v>17</v>
      </c>
      <c r="F38" s="53">
        <v>48.44</v>
      </c>
      <c r="G38" s="53">
        <v>49.3</v>
      </c>
      <c r="H38" s="53">
        <v>53.6</v>
      </c>
      <c r="I38" s="53" t="s">
        <v>291</v>
      </c>
      <c r="J38" s="53">
        <v>52.26</v>
      </c>
      <c r="K38" s="53" t="s">
        <v>292</v>
      </c>
      <c r="L38" s="53" t="s">
        <v>293</v>
      </c>
      <c r="M38" s="53" t="s">
        <v>294</v>
      </c>
      <c r="N38" s="53" t="s">
        <v>295</v>
      </c>
      <c r="O38" s="53" t="s">
        <v>296</v>
      </c>
      <c r="P38" s="64" t="s">
        <v>636</v>
      </c>
    </row>
    <row r="39" ht="28.5" customHeight="1">
      <c r="A39" s="50" t="s">
        <v>758</v>
      </c>
      <c r="B39" s="50">
        <v>36.0</v>
      </c>
      <c r="C39" s="51" t="s">
        <v>64</v>
      </c>
      <c r="D39" s="107" t="s">
        <v>590</v>
      </c>
      <c r="E39" s="51" t="s">
        <v>9</v>
      </c>
      <c r="F39" s="53">
        <v>39.36</v>
      </c>
      <c r="G39" s="53">
        <v>46.37</v>
      </c>
      <c r="H39" s="53">
        <v>45.86</v>
      </c>
      <c r="I39" s="53">
        <v>53.35</v>
      </c>
      <c r="J39" s="53" t="s">
        <v>297</v>
      </c>
      <c r="K39" s="53" t="s">
        <v>298</v>
      </c>
      <c r="L39" s="53" t="s">
        <v>299</v>
      </c>
      <c r="M39" s="53" t="s">
        <v>300</v>
      </c>
      <c r="N39" s="53" t="s">
        <v>301</v>
      </c>
      <c r="O39" s="53" t="s">
        <v>302</v>
      </c>
      <c r="P39" s="64" t="s">
        <v>666</v>
      </c>
    </row>
    <row r="40" ht="28.5" customHeight="1">
      <c r="A40" s="50" t="s">
        <v>758</v>
      </c>
      <c r="B40" s="50">
        <v>37.0</v>
      </c>
      <c r="C40" s="51" t="s">
        <v>303</v>
      </c>
      <c r="D40" s="108" t="s">
        <v>667</v>
      </c>
      <c r="E40" s="51" t="s">
        <v>9</v>
      </c>
      <c r="F40" s="52"/>
      <c r="G40" s="52"/>
      <c r="H40" s="52"/>
      <c r="I40" s="52"/>
      <c r="J40" s="52"/>
      <c r="K40" s="53" t="s">
        <v>304</v>
      </c>
      <c r="L40" s="53" t="s">
        <v>305</v>
      </c>
      <c r="M40" s="53" t="s">
        <v>306</v>
      </c>
      <c r="N40" s="53" t="s">
        <v>307</v>
      </c>
      <c r="O40" s="53" t="s">
        <v>308</v>
      </c>
      <c r="P40" s="64" t="s">
        <v>668</v>
      </c>
    </row>
    <row r="41" ht="28.5" customHeight="1">
      <c r="A41" s="50" t="s">
        <v>758</v>
      </c>
      <c r="B41" s="50">
        <v>38.0</v>
      </c>
      <c r="C41" s="51" t="s">
        <v>309</v>
      </c>
      <c r="D41" s="107" t="s">
        <v>669</v>
      </c>
      <c r="E41" s="51" t="s">
        <v>9</v>
      </c>
      <c r="F41" s="52"/>
      <c r="G41" s="52"/>
      <c r="H41" s="52"/>
      <c r="I41" s="52"/>
      <c r="J41" s="52"/>
      <c r="K41" s="53" t="s">
        <v>310</v>
      </c>
      <c r="L41" s="53" t="s">
        <v>311</v>
      </c>
      <c r="M41" s="53" t="s">
        <v>312</v>
      </c>
      <c r="N41" s="53" t="s">
        <v>313</v>
      </c>
      <c r="O41" s="53" t="s">
        <v>314</v>
      </c>
      <c r="P41" s="64" t="s">
        <v>670</v>
      </c>
    </row>
    <row r="42" ht="28.5" customHeight="1">
      <c r="A42" s="50" t="s">
        <v>758</v>
      </c>
      <c r="B42" s="50">
        <v>39.0</v>
      </c>
      <c r="C42" s="60" t="s">
        <v>66</v>
      </c>
      <c r="D42" s="107" t="s">
        <v>578</v>
      </c>
      <c r="E42" s="51" t="s">
        <v>9</v>
      </c>
      <c r="F42" s="52"/>
      <c r="G42" s="52"/>
      <c r="H42" s="52"/>
      <c r="I42" s="52"/>
      <c r="J42" s="52"/>
      <c r="K42" s="53" t="s">
        <v>315</v>
      </c>
      <c r="L42" s="53" t="s">
        <v>316</v>
      </c>
      <c r="M42" s="53" t="s">
        <v>317</v>
      </c>
      <c r="N42" s="53" t="s">
        <v>318</v>
      </c>
      <c r="O42" s="53" t="s">
        <v>319</v>
      </c>
      <c r="P42" s="64" t="s">
        <v>671</v>
      </c>
    </row>
    <row r="43" ht="28.5" customHeight="1">
      <c r="A43" s="50" t="s">
        <v>758</v>
      </c>
      <c r="B43" s="50">
        <v>40.0</v>
      </c>
      <c r="C43" s="51" t="s">
        <v>67</v>
      </c>
      <c r="D43" s="107" t="s">
        <v>672</v>
      </c>
      <c r="E43" s="51" t="s">
        <v>9</v>
      </c>
      <c r="F43" s="52"/>
      <c r="G43" s="52"/>
      <c r="H43" s="52"/>
      <c r="I43" s="52"/>
      <c r="J43" s="52"/>
      <c r="K43" s="53" t="s">
        <v>320</v>
      </c>
      <c r="L43" s="53" t="s">
        <v>321</v>
      </c>
      <c r="M43" s="53" t="s">
        <v>322</v>
      </c>
      <c r="N43" s="53" t="s">
        <v>323</v>
      </c>
      <c r="O43" s="53" t="s">
        <v>324</v>
      </c>
      <c r="P43" s="64" t="s">
        <v>673</v>
      </c>
    </row>
    <row r="44" ht="28.5" customHeight="1">
      <c r="A44" s="50" t="s">
        <v>758</v>
      </c>
      <c r="B44" s="50">
        <v>41.0</v>
      </c>
      <c r="C44" s="51" t="s">
        <v>325</v>
      </c>
      <c r="D44" s="107" t="s">
        <v>588</v>
      </c>
      <c r="E44" s="51" t="s">
        <v>9</v>
      </c>
      <c r="F44" s="56" t="s">
        <v>674</v>
      </c>
      <c r="G44" s="56" t="s">
        <v>675</v>
      </c>
      <c r="H44" s="56" t="s">
        <v>676</v>
      </c>
      <c r="I44" s="56" t="s">
        <v>677</v>
      </c>
      <c r="J44" s="56" t="s">
        <v>678</v>
      </c>
      <c r="K44" s="53" t="s">
        <v>331</v>
      </c>
      <c r="L44" s="53" t="s">
        <v>332</v>
      </c>
      <c r="M44" s="53" t="s">
        <v>333</v>
      </c>
      <c r="N44" s="53" t="s">
        <v>334</v>
      </c>
      <c r="O44" s="53" t="s">
        <v>335</v>
      </c>
      <c r="P44" s="64" t="s">
        <v>679</v>
      </c>
    </row>
    <row r="45" ht="28.5" customHeight="1">
      <c r="A45" s="50" t="s">
        <v>758</v>
      </c>
      <c r="B45" s="50">
        <v>42.0</v>
      </c>
      <c r="C45" s="51" t="s">
        <v>70</v>
      </c>
      <c r="D45" s="107" t="s">
        <v>588</v>
      </c>
      <c r="E45" s="51" t="s">
        <v>9</v>
      </c>
      <c r="F45" s="56" t="s">
        <v>681</v>
      </c>
      <c r="G45" s="56" t="s">
        <v>682</v>
      </c>
      <c r="H45" s="56" t="s">
        <v>683</v>
      </c>
      <c r="I45" s="56" t="s">
        <v>684</v>
      </c>
      <c r="J45" s="56" t="s">
        <v>685</v>
      </c>
      <c r="K45" s="53" t="s">
        <v>341</v>
      </c>
      <c r="L45" s="53" t="s">
        <v>342</v>
      </c>
      <c r="M45" s="53" t="s">
        <v>343</v>
      </c>
      <c r="N45" s="53" t="s">
        <v>344</v>
      </c>
      <c r="O45" s="53" t="s">
        <v>345</v>
      </c>
      <c r="P45" s="64" t="s">
        <v>679</v>
      </c>
    </row>
    <row r="46" ht="28.5" customHeight="1">
      <c r="A46" s="50" t="s">
        <v>758</v>
      </c>
      <c r="B46" s="50">
        <v>43.0</v>
      </c>
      <c r="C46" s="51" t="s">
        <v>346</v>
      </c>
      <c r="D46" s="107" t="s">
        <v>588</v>
      </c>
      <c r="E46" s="51" t="s">
        <v>9</v>
      </c>
      <c r="F46" s="56" t="s">
        <v>687</v>
      </c>
      <c r="G46" s="56" t="s">
        <v>688</v>
      </c>
      <c r="H46" s="56" t="s">
        <v>689</v>
      </c>
      <c r="I46" s="56" t="s">
        <v>690</v>
      </c>
      <c r="J46" s="56" t="s">
        <v>691</v>
      </c>
      <c r="K46" s="53" t="s">
        <v>347</v>
      </c>
      <c r="L46" s="53" t="s">
        <v>348</v>
      </c>
      <c r="M46" s="53" t="s">
        <v>349</v>
      </c>
      <c r="N46" s="53" t="s">
        <v>350</v>
      </c>
      <c r="O46" s="53" t="s">
        <v>351</v>
      </c>
      <c r="P46" s="64" t="s">
        <v>692</v>
      </c>
    </row>
    <row r="47" ht="28.5" customHeight="1">
      <c r="A47" s="50" t="s">
        <v>758</v>
      </c>
      <c r="B47" s="50">
        <v>44.0</v>
      </c>
      <c r="C47" s="51" t="s">
        <v>352</v>
      </c>
      <c r="D47" s="107" t="s">
        <v>693</v>
      </c>
      <c r="E47" s="51" t="s">
        <v>17</v>
      </c>
      <c r="F47" s="56" t="s">
        <v>694</v>
      </c>
      <c r="G47" s="56" t="s">
        <v>695</v>
      </c>
      <c r="H47" s="56" t="s">
        <v>696</v>
      </c>
      <c r="I47" s="56" t="s">
        <v>697</v>
      </c>
      <c r="J47" s="56" t="s">
        <v>353</v>
      </c>
      <c r="K47" s="53" t="s">
        <v>353</v>
      </c>
      <c r="L47" s="53" t="s">
        <v>354</v>
      </c>
      <c r="M47" s="53" t="s">
        <v>355</v>
      </c>
      <c r="N47" s="53" t="s">
        <v>356</v>
      </c>
      <c r="O47" s="53" t="s">
        <v>357</v>
      </c>
      <c r="P47" s="89" t="s">
        <v>760</v>
      </c>
    </row>
    <row r="48" ht="28.5" customHeight="1">
      <c r="A48" s="50" t="s">
        <v>758</v>
      </c>
      <c r="B48" s="50">
        <v>45.0</v>
      </c>
      <c r="C48" s="51" t="s">
        <v>74</v>
      </c>
      <c r="D48" s="107" t="s">
        <v>699</v>
      </c>
      <c r="E48" s="51" t="s">
        <v>17</v>
      </c>
      <c r="F48" s="52"/>
      <c r="G48" s="52"/>
      <c r="H48" s="52"/>
      <c r="I48" s="52"/>
      <c r="J48" s="52"/>
      <c r="K48" s="53" t="s">
        <v>358</v>
      </c>
      <c r="L48" s="53" t="s">
        <v>359</v>
      </c>
      <c r="M48" s="53" t="s">
        <v>360</v>
      </c>
      <c r="N48" s="53" t="s">
        <v>191</v>
      </c>
      <c r="O48" s="53" t="s">
        <v>193</v>
      </c>
      <c r="P48" s="59" t="s">
        <v>596</v>
      </c>
    </row>
    <row r="49" ht="28.5" customHeight="1">
      <c r="A49" s="50" t="s">
        <v>758</v>
      </c>
      <c r="B49" s="50">
        <v>46.0</v>
      </c>
      <c r="C49" s="51" t="s">
        <v>361</v>
      </c>
      <c r="D49" s="107" t="s">
        <v>693</v>
      </c>
      <c r="E49" s="51" t="s">
        <v>21</v>
      </c>
      <c r="F49" s="53" t="s">
        <v>362</v>
      </c>
      <c r="G49" s="53" t="s">
        <v>363</v>
      </c>
      <c r="H49" s="53" t="s">
        <v>364</v>
      </c>
      <c r="I49" s="53">
        <v>3.79</v>
      </c>
      <c r="J49" s="53"/>
      <c r="K49" s="53" t="s">
        <v>365</v>
      </c>
      <c r="L49" s="53" t="s">
        <v>366</v>
      </c>
      <c r="M49" s="53" t="s">
        <v>367</v>
      </c>
      <c r="N49" s="53" t="s">
        <v>368</v>
      </c>
      <c r="O49" s="53" t="s">
        <v>369</v>
      </c>
      <c r="P49" s="64" t="s">
        <v>700</v>
      </c>
    </row>
    <row r="50" ht="28.5" customHeight="1">
      <c r="A50" s="50" t="s">
        <v>758</v>
      </c>
      <c r="B50" s="50">
        <v>47.0</v>
      </c>
      <c r="C50" s="60" t="s">
        <v>370</v>
      </c>
      <c r="D50" s="107" t="s">
        <v>693</v>
      </c>
      <c r="E50" s="51" t="s">
        <v>9</v>
      </c>
      <c r="F50" s="53">
        <v>3.44</v>
      </c>
      <c r="G50" s="53">
        <v>4.06</v>
      </c>
      <c r="H50" s="53">
        <v>3.41</v>
      </c>
      <c r="I50" s="53">
        <v>4.22</v>
      </c>
      <c r="J50" s="53">
        <v>3.86</v>
      </c>
      <c r="K50" s="53" t="s">
        <v>371</v>
      </c>
      <c r="L50" s="53" t="s">
        <v>372</v>
      </c>
      <c r="M50" s="53" t="s">
        <v>373</v>
      </c>
      <c r="N50" s="53" t="s">
        <v>374</v>
      </c>
      <c r="O50" s="53" t="s">
        <v>142</v>
      </c>
      <c r="P50" s="64" t="s">
        <v>702</v>
      </c>
    </row>
    <row r="51" ht="28.5" customHeight="1">
      <c r="A51" s="50" t="s">
        <v>758</v>
      </c>
      <c r="B51" s="50">
        <v>48.0</v>
      </c>
      <c r="C51" s="60" t="s">
        <v>375</v>
      </c>
      <c r="D51" s="107" t="s">
        <v>693</v>
      </c>
      <c r="E51" s="51" t="s">
        <v>17</v>
      </c>
      <c r="F51" s="52"/>
      <c r="G51" s="52"/>
      <c r="H51" s="52"/>
      <c r="I51" s="52"/>
      <c r="J51" s="52"/>
      <c r="K51" s="53" t="s">
        <v>376</v>
      </c>
      <c r="L51" s="53" t="s">
        <v>377</v>
      </c>
      <c r="M51" s="53" t="s">
        <v>378</v>
      </c>
      <c r="N51" s="53" t="s">
        <v>379</v>
      </c>
      <c r="O51" s="53" t="s">
        <v>380</v>
      </c>
      <c r="P51" s="59" t="s">
        <v>596</v>
      </c>
    </row>
    <row r="52" ht="28.5" customHeight="1">
      <c r="A52" s="50" t="s">
        <v>758</v>
      </c>
      <c r="B52" s="50">
        <v>49.0</v>
      </c>
      <c r="C52" s="51" t="s">
        <v>381</v>
      </c>
      <c r="D52" s="107" t="s">
        <v>664</v>
      </c>
      <c r="E52" s="51" t="s">
        <v>17</v>
      </c>
      <c r="F52" s="52"/>
      <c r="G52" s="52"/>
      <c r="H52" s="52"/>
      <c r="I52" s="52"/>
      <c r="J52" s="52"/>
      <c r="K52" s="53" t="s">
        <v>382</v>
      </c>
      <c r="L52" s="53" t="s">
        <v>383</v>
      </c>
      <c r="M52" s="53" t="s">
        <v>358</v>
      </c>
      <c r="N52" s="53" t="s">
        <v>384</v>
      </c>
      <c r="O52" s="53" t="s">
        <v>193</v>
      </c>
      <c r="P52" s="59" t="s">
        <v>663</v>
      </c>
    </row>
    <row r="53" ht="28.5" customHeight="1">
      <c r="A53" s="50" t="s">
        <v>758</v>
      </c>
      <c r="B53" s="50">
        <v>49.0</v>
      </c>
      <c r="C53" s="51" t="s">
        <v>385</v>
      </c>
      <c r="D53" s="107" t="s">
        <v>703</v>
      </c>
      <c r="E53" s="51" t="s">
        <v>17</v>
      </c>
      <c r="F53" s="52"/>
      <c r="G53" s="52"/>
      <c r="H53" s="52"/>
      <c r="I53" s="52"/>
      <c r="J53" s="52"/>
      <c r="K53" s="53" t="s">
        <v>386</v>
      </c>
      <c r="L53" s="53" t="s">
        <v>387</v>
      </c>
      <c r="M53" s="53" t="s">
        <v>388</v>
      </c>
      <c r="N53" s="53" t="s">
        <v>389</v>
      </c>
      <c r="O53" s="53" t="s">
        <v>382</v>
      </c>
      <c r="P53" s="59" t="s">
        <v>663</v>
      </c>
    </row>
    <row r="54" ht="27.75" customHeight="1">
      <c r="A54" s="50" t="s">
        <v>758</v>
      </c>
      <c r="B54" s="50">
        <v>50.0</v>
      </c>
      <c r="C54" s="51" t="s">
        <v>390</v>
      </c>
      <c r="D54" s="107" t="s">
        <v>704</v>
      </c>
      <c r="E54" s="51" t="s">
        <v>17</v>
      </c>
      <c r="F54" s="90"/>
      <c r="G54" s="90"/>
      <c r="H54" s="90"/>
      <c r="I54" s="56" t="s">
        <v>705</v>
      </c>
      <c r="J54" s="56" t="s">
        <v>706</v>
      </c>
      <c r="K54" s="53" t="s">
        <v>391</v>
      </c>
      <c r="L54" s="53" t="s">
        <v>392</v>
      </c>
      <c r="M54" s="53" t="s">
        <v>393</v>
      </c>
      <c r="N54" s="53" t="s">
        <v>394</v>
      </c>
      <c r="O54" s="53" t="s">
        <v>395</v>
      </c>
      <c r="P54" s="59" t="s">
        <v>707</v>
      </c>
    </row>
    <row r="55" ht="28.5" customHeight="1">
      <c r="A55" s="50" t="s">
        <v>758</v>
      </c>
      <c r="B55" s="50">
        <v>51.0</v>
      </c>
      <c r="C55" s="51" t="s">
        <v>396</v>
      </c>
      <c r="D55" s="107" t="s">
        <v>588</v>
      </c>
      <c r="E55" s="51" t="s">
        <v>17</v>
      </c>
      <c r="F55" s="53">
        <v>79.38</v>
      </c>
      <c r="G55" s="53">
        <v>78.79</v>
      </c>
      <c r="H55" s="53">
        <v>80.47</v>
      </c>
      <c r="I55" s="53">
        <v>77.35</v>
      </c>
      <c r="J55" s="53" t="s">
        <v>708</v>
      </c>
      <c r="K55" s="53" t="s">
        <v>397</v>
      </c>
      <c r="L55" s="53" t="s">
        <v>398</v>
      </c>
      <c r="M55" s="53" t="s">
        <v>399</v>
      </c>
      <c r="N55" s="53" t="s">
        <v>400</v>
      </c>
      <c r="O55" s="53" t="s">
        <v>401</v>
      </c>
      <c r="P55" s="64" t="s">
        <v>588</v>
      </c>
    </row>
    <row r="56" ht="28.5" customHeight="1">
      <c r="A56" s="50" t="s">
        <v>758</v>
      </c>
      <c r="B56" s="50">
        <v>52.0</v>
      </c>
      <c r="C56" s="60" t="s">
        <v>80</v>
      </c>
      <c r="D56" s="107" t="s">
        <v>710</v>
      </c>
      <c r="E56" s="51" t="s">
        <v>9</v>
      </c>
      <c r="F56" s="52"/>
      <c r="G56" s="52"/>
      <c r="H56" s="52"/>
      <c r="I56" s="52"/>
      <c r="J56" s="52"/>
      <c r="K56" s="53" t="s">
        <v>135</v>
      </c>
      <c r="L56" s="53" t="s">
        <v>402</v>
      </c>
      <c r="M56" s="53" t="s">
        <v>403</v>
      </c>
      <c r="N56" s="53" t="s">
        <v>404</v>
      </c>
      <c r="O56" s="53" t="s">
        <v>405</v>
      </c>
      <c r="P56" s="83"/>
    </row>
    <row r="57" ht="28.5" customHeight="1">
      <c r="A57" s="50" t="s">
        <v>758</v>
      </c>
      <c r="B57" s="50">
        <v>53.0</v>
      </c>
      <c r="C57" s="60" t="s">
        <v>406</v>
      </c>
      <c r="D57" s="107" t="s">
        <v>588</v>
      </c>
      <c r="E57" s="51" t="s">
        <v>21</v>
      </c>
      <c r="F57" s="56" t="s">
        <v>711</v>
      </c>
      <c r="G57" s="56" t="s">
        <v>712</v>
      </c>
      <c r="H57" s="56" t="s">
        <v>713</v>
      </c>
      <c r="I57" s="56" t="s">
        <v>275</v>
      </c>
      <c r="J57" s="56" t="s">
        <v>714</v>
      </c>
      <c r="K57" s="53" t="s">
        <v>407</v>
      </c>
      <c r="L57" s="53" t="s">
        <v>407</v>
      </c>
      <c r="M57" s="53" t="s">
        <v>407</v>
      </c>
      <c r="N57" s="53" t="s">
        <v>407</v>
      </c>
      <c r="O57" s="53" t="s">
        <v>407</v>
      </c>
      <c r="P57" s="64" t="s">
        <v>715</v>
      </c>
    </row>
    <row r="58" ht="28.5" customHeight="1">
      <c r="A58" s="50" t="s">
        <v>758</v>
      </c>
      <c r="B58" s="50">
        <v>54.0</v>
      </c>
      <c r="C58" s="51" t="s">
        <v>82</v>
      </c>
      <c r="D58" s="107" t="s">
        <v>559</v>
      </c>
      <c r="E58" s="51" t="s">
        <v>9</v>
      </c>
      <c r="F58" s="52"/>
      <c r="G58" s="52"/>
      <c r="H58" s="52"/>
      <c r="I58" s="52"/>
      <c r="J58" s="52"/>
      <c r="K58" s="53" t="s">
        <v>408</v>
      </c>
      <c r="L58" s="53" t="s">
        <v>409</v>
      </c>
      <c r="M58" s="53" t="s">
        <v>410</v>
      </c>
      <c r="N58" s="53" t="s">
        <v>411</v>
      </c>
      <c r="O58" s="53" t="s">
        <v>412</v>
      </c>
      <c r="P58" s="64" t="s">
        <v>716</v>
      </c>
    </row>
    <row r="59" ht="28.5" customHeight="1">
      <c r="A59" s="50" t="s">
        <v>758</v>
      </c>
      <c r="B59" s="50">
        <v>55.0</v>
      </c>
      <c r="C59" s="51" t="s">
        <v>717</v>
      </c>
      <c r="D59" s="107" t="s">
        <v>559</v>
      </c>
      <c r="E59" s="51" t="s">
        <v>9</v>
      </c>
      <c r="F59" s="52"/>
      <c r="G59" s="52"/>
      <c r="H59" s="52"/>
      <c r="I59" s="52"/>
      <c r="J59" s="52"/>
      <c r="K59" s="53" t="s">
        <v>414</v>
      </c>
      <c r="L59" s="53" t="s">
        <v>415</v>
      </c>
      <c r="M59" s="53" t="s">
        <v>403</v>
      </c>
      <c r="N59" s="53" t="s">
        <v>416</v>
      </c>
      <c r="O59" s="53" t="s">
        <v>417</v>
      </c>
      <c r="P59" s="64" t="s">
        <v>718</v>
      </c>
    </row>
    <row r="60" ht="28.5" customHeight="1">
      <c r="A60" s="50" t="s">
        <v>758</v>
      </c>
      <c r="B60" s="50">
        <v>56.0</v>
      </c>
      <c r="C60" s="51" t="s">
        <v>418</v>
      </c>
      <c r="D60" s="107" t="s">
        <v>559</v>
      </c>
      <c r="E60" s="51" t="s">
        <v>9</v>
      </c>
      <c r="F60" s="52"/>
      <c r="G60" s="52"/>
      <c r="H60" s="52"/>
      <c r="I60" s="52"/>
      <c r="J60" s="52"/>
      <c r="K60" s="53" t="s">
        <v>419</v>
      </c>
      <c r="L60" s="53" t="s">
        <v>420</v>
      </c>
      <c r="M60" s="53" t="s">
        <v>421</v>
      </c>
      <c r="N60" s="53" t="s">
        <v>422</v>
      </c>
      <c r="O60" s="53" t="s">
        <v>423</v>
      </c>
      <c r="P60" s="64" t="s">
        <v>719</v>
      </c>
    </row>
    <row r="61" ht="28.5" customHeight="1">
      <c r="A61" s="50" t="s">
        <v>758</v>
      </c>
      <c r="B61" s="50">
        <v>57.0</v>
      </c>
      <c r="C61" s="51" t="s">
        <v>424</v>
      </c>
      <c r="D61" s="107" t="s">
        <v>559</v>
      </c>
      <c r="E61" s="51" t="s">
        <v>9</v>
      </c>
      <c r="F61" s="52"/>
      <c r="G61" s="52"/>
      <c r="H61" s="52"/>
      <c r="I61" s="52"/>
      <c r="J61" s="52"/>
      <c r="K61" s="53" t="s">
        <v>425</v>
      </c>
      <c r="L61" s="53" t="s">
        <v>426</v>
      </c>
      <c r="M61" s="53" t="s">
        <v>427</v>
      </c>
      <c r="N61" s="53" t="s">
        <v>428</v>
      </c>
      <c r="O61" s="53" t="s">
        <v>429</v>
      </c>
      <c r="P61" s="64" t="s">
        <v>720</v>
      </c>
    </row>
    <row r="62" ht="28.5" customHeight="1">
      <c r="A62" s="50" t="s">
        <v>758</v>
      </c>
      <c r="B62" s="50">
        <v>58.0</v>
      </c>
      <c r="C62" s="51" t="s">
        <v>430</v>
      </c>
      <c r="D62" s="107" t="s">
        <v>721</v>
      </c>
      <c r="E62" s="51" t="s">
        <v>17</v>
      </c>
      <c r="F62" s="91"/>
      <c r="G62" s="56" t="s">
        <v>722</v>
      </c>
      <c r="H62" s="91"/>
      <c r="I62" s="91"/>
      <c r="J62" s="91"/>
      <c r="K62" s="53" t="s">
        <v>431</v>
      </c>
      <c r="L62" s="53" t="s">
        <v>432</v>
      </c>
      <c r="M62" s="53" t="s">
        <v>433</v>
      </c>
      <c r="N62" s="53" t="s">
        <v>434</v>
      </c>
      <c r="O62" s="53" t="s">
        <v>435</v>
      </c>
      <c r="P62" s="59" t="s">
        <v>723</v>
      </c>
    </row>
    <row r="63" ht="28.5" customHeight="1">
      <c r="A63" s="50" t="s">
        <v>758</v>
      </c>
      <c r="B63" s="50">
        <v>59.0</v>
      </c>
      <c r="C63" s="51" t="s">
        <v>84</v>
      </c>
      <c r="D63" s="107" t="s">
        <v>724</v>
      </c>
      <c r="E63" s="51" t="s">
        <v>9</v>
      </c>
      <c r="F63" s="52"/>
      <c r="G63" s="52"/>
      <c r="H63" s="52"/>
      <c r="I63" s="52"/>
      <c r="J63" s="52"/>
      <c r="K63" s="53" t="s">
        <v>436</v>
      </c>
      <c r="L63" s="53" t="s">
        <v>437</v>
      </c>
      <c r="M63" s="53" t="s">
        <v>437</v>
      </c>
      <c r="N63" s="53" t="s">
        <v>437</v>
      </c>
      <c r="O63" s="53" t="s">
        <v>437</v>
      </c>
      <c r="P63" s="64" t="s">
        <v>725</v>
      </c>
    </row>
    <row r="64" ht="28.5" customHeight="1">
      <c r="A64" s="50" t="s">
        <v>758</v>
      </c>
      <c r="B64" s="50">
        <v>60.0</v>
      </c>
      <c r="C64" s="51" t="s">
        <v>85</v>
      </c>
      <c r="D64" s="107" t="s">
        <v>724</v>
      </c>
      <c r="E64" s="51" t="s">
        <v>9</v>
      </c>
      <c r="F64" s="52"/>
      <c r="G64" s="52"/>
      <c r="H64" s="52"/>
      <c r="I64" s="52"/>
      <c r="J64" s="52"/>
      <c r="K64" s="53" t="s">
        <v>438</v>
      </c>
      <c r="L64" s="53" t="s">
        <v>439</v>
      </c>
      <c r="M64" s="53" t="s">
        <v>440</v>
      </c>
      <c r="N64" s="53" t="s">
        <v>441</v>
      </c>
      <c r="O64" s="53" t="s">
        <v>442</v>
      </c>
      <c r="P64" s="64" t="s">
        <v>726</v>
      </c>
    </row>
    <row r="65" ht="28.5" customHeight="1">
      <c r="A65" s="50" t="s">
        <v>758</v>
      </c>
      <c r="B65" s="50">
        <v>61.0</v>
      </c>
      <c r="C65" s="51" t="s">
        <v>443</v>
      </c>
      <c r="D65" s="107" t="s">
        <v>703</v>
      </c>
      <c r="E65" s="51" t="s">
        <v>17</v>
      </c>
      <c r="F65" s="56" t="s">
        <v>727</v>
      </c>
      <c r="G65" s="56" t="s">
        <v>728</v>
      </c>
      <c r="H65" s="56" t="s">
        <v>729</v>
      </c>
      <c r="I65" s="56" t="s">
        <v>730</v>
      </c>
      <c r="J65" s="52"/>
      <c r="K65" s="53" t="s">
        <v>444</v>
      </c>
      <c r="L65" s="53" t="s">
        <v>445</v>
      </c>
      <c r="M65" s="53" t="s">
        <v>446</v>
      </c>
      <c r="N65" s="53" t="s">
        <v>447</v>
      </c>
      <c r="O65" s="53" t="s">
        <v>448</v>
      </c>
      <c r="P65" s="59" t="s">
        <v>731</v>
      </c>
    </row>
    <row r="66" ht="28.5" customHeight="1">
      <c r="A66" s="50" t="s">
        <v>758</v>
      </c>
      <c r="B66" s="50">
        <v>62.0</v>
      </c>
      <c r="C66" s="51" t="s">
        <v>449</v>
      </c>
      <c r="D66" s="107" t="s">
        <v>732</v>
      </c>
      <c r="E66" s="51" t="s">
        <v>17</v>
      </c>
      <c r="F66" s="53">
        <v>75.63</v>
      </c>
      <c r="G66" s="53">
        <v>80.95</v>
      </c>
      <c r="H66" s="53">
        <v>81.18</v>
      </c>
      <c r="I66" s="53">
        <v>78.94</v>
      </c>
      <c r="J66" s="53">
        <v>87.23</v>
      </c>
      <c r="K66" s="53" t="s">
        <v>450</v>
      </c>
      <c r="L66" s="53" t="s">
        <v>451</v>
      </c>
      <c r="M66" s="53" t="s">
        <v>452</v>
      </c>
      <c r="N66" s="53" t="s">
        <v>453</v>
      </c>
      <c r="O66" s="53" t="s">
        <v>454</v>
      </c>
      <c r="P66" s="83"/>
    </row>
    <row r="67" ht="28.5" customHeight="1">
      <c r="A67" s="50" t="s">
        <v>758</v>
      </c>
      <c r="B67" s="50">
        <v>63.0</v>
      </c>
      <c r="C67" s="51" t="s">
        <v>455</v>
      </c>
      <c r="D67" s="107" t="s">
        <v>664</v>
      </c>
      <c r="E67" s="51" t="s">
        <v>9</v>
      </c>
      <c r="F67" s="56" t="s">
        <v>456</v>
      </c>
      <c r="G67" s="53" t="s">
        <v>457</v>
      </c>
      <c r="H67" s="56" t="s">
        <v>458</v>
      </c>
      <c r="J67" s="52"/>
      <c r="K67" s="53" t="s">
        <v>459</v>
      </c>
      <c r="L67" s="53" t="s">
        <v>460</v>
      </c>
      <c r="M67" s="53" t="s">
        <v>461</v>
      </c>
      <c r="N67" s="53" t="s">
        <v>462</v>
      </c>
      <c r="O67" s="53" t="s">
        <v>463</v>
      </c>
      <c r="P67" s="64" t="s">
        <v>736</v>
      </c>
    </row>
    <row r="68" ht="28.5" customHeight="1">
      <c r="A68" s="50" t="s">
        <v>758</v>
      </c>
      <c r="B68" s="50">
        <v>64.0</v>
      </c>
      <c r="C68" s="51" t="s">
        <v>464</v>
      </c>
      <c r="D68" s="107" t="s">
        <v>588</v>
      </c>
      <c r="E68" s="51" t="s">
        <v>9</v>
      </c>
      <c r="F68" s="56">
        <v>0.472</v>
      </c>
      <c r="G68" s="56">
        <v>0.444</v>
      </c>
      <c r="H68" s="65">
        <v>0.452</v>
      </c>
      <c r="I68" s="65">
        <v>0.418</v>
      </c>
      <c r="J68" s="65">
        <v>0.34</v>
      </c>
      <c r="K68" s="53" t="s">
        <v>465</v>
      </c>
      <c r="L68" s="53" t="s">
        <v>465</v>
      </c>
      <c r="M68" s="53" t="s">
        <v>466</v>
      </c>
      <c r="N68" s="53" t="s">
        <v>269</v>
      </c>
      <c r="O68" s="53" t="s">
        <v>467</v>
      </c>
      <c r="P68" s="83"/>
    </row>
    <row r="69" ht="28.5" customHeight="1">
      <c r="A69" s="50" t="s">
        <v>758</v>
      </c>
      <c r="B69" s="50">
        <v>65.0</v>
      </c>
      <c r="C69" s="51" t="s">
        <v>737</v>
      </c>
      <c r="D69" s="107" t="s">
        <v>738</v>
      </c>
      <c r="E69" s="51" t="s">
        <v>17</v>
      </c>
      <c r="F69" s="53"/>
      <c r="G69" s="53"/>
      <c r="H69" s="53"/>
      <c r="I69" s="53"/>
      <c r="J69" s="53"/>
      <c r="K69" s="53" t="s">
        <v>469</v>
      </c>
      <c r="L69" s="53" t="s">
        <v>470</v>
      </c>
      <c r="M69" s="53" t="s">
        <v>471</v>
      </c>
      <c r="N69" s="53" t="s">
        <v>472</v>
      </c>
      <c r="O69" s="53" t="s">
        <v>473</v>
      </c>
      <c r="P69" s="59" t="s">
        <v>596</v>
      </c>
    </row>
    <row r="70" ht="28.5" customHeight="1">
      <c r="A70" s="50" t="s">
        <v>758</v>
      </c>
      <c r="B70" s="50">
        <v>66.0</v>
      </c>
      <c r="C70" s="51" t="s">
        <v>474</v>
      </c>
      <c r="D70" s="107" t="s">
        <v>738</v>
      </c>
      <c r="E70" s="51" t="s">
        <v>17</v>
      </c>
      <c r="F70" s="53" t="s">
        <v>475</v>
      </c>
      <c r="G70" s="53" t="s">
        <v>476</v>
      </c>
      <c r="H70" s="53" t="s">
        <v>477</v>
      </c>
      <c r="I70" s="53" t="s">
        <v>478</v>
      </c>
      <c r="J70" s="53" t="s">
        <v>479</v>
      </c>
      <c r="K70" s="66"/>
      <c r="L70" s="66"/>
      <c r="M70" s="66"/>
      <c r="N70" s="66"/>
      <c r="O70" s="66"/>
      <c r="P70" s="64"/>
    </row>
    <row r="71" ht="28.5" customHeight="1">
      <c r="A71" s="50" t="s">
        <v>758</v>
      </c>
      <c r="B71" s="50">
        <v>67.0</v>
      </c>
      <c r="C71" s="51" t="s">
        <v>481</v>
      </c>
      <c r="D71" s="107" t="s">
        <v>738</v>
      </c>
      <c r="E71" s="51" t="s">
        <v>17</v>
      </c>
      <c r="F71" s="53" t="s">
        <v>482</v>
      </c>
      <c r="G71" s="53" t="s">
        <v>483</v>
      </c>
      <c r="H71" s="53" t="s">
        <v>484</v>
      </c>
      <c r="I71" s="53" t="s">
        <v>485</v>
      </c>
      <c r="J71" s="53" t="s">
        <v>486</v>
      </c>
      <c r="K71" s="66"/>
      <c r="L71" s="66"/>
      <c r="M71" s="66"/>
      <c r="N71" s="66"/>
      <c r="O71" s="66"/>
      <c r="P71" s="64"/>
    </row>
    <row r="72" ht="28.5" customHeight="1">
      <c r="A72" s="50" t="s">
        <v>758</v>
      </c>
      <c r="B72" s="50">
        <v>68.0</v>
      </c>
      <c r="C72" s="51" t="s">
        <v>487</v>
      </c>
      <c r="D72" s="107" t="s">
        <v>738</v>
      </c>
      <c r="E72" s="51" t="s">
        <v>17</v>
      </c>
      <c r="F72" s="53" t="s">
        <v>488</v>
      </c>
      <c r="G72" s="53">
        <v>100.0</v>
      </c>
      <c r="H72" s="53">
        <v>100.0</v>
      </c>
      <c r="I72" s="53">
        <v>100.0</v>
      </c>
      <c r="J72" s="53">
        <v>100.0</v>
      </c>
      <c r="K72" s="66"/>
      <c r="L72" s="66"/>
      <c r="M72" s="66"/>
      <c r="N72" s="66"/>
      <c r="O72" s="66"/>
      <c r="P72" s="64"/>
    </row>
    <row r="73" ht="28.5" customHeight="1">
      <c r="A73" s="50" t="s">
        <v>758</v>
      </c>
      <c r="B73" s="50">
        <v>69.0</v>
      </c>
      <c r="C73" s="60" t="s">
        <v>489</v>
      </c>
      <c r="D73" s="107" t="s">
        <v>738</v>
      </c>
      <c r="E73" s="51" t="s">
        <v>17</v>
      </c>
      <c r="F73" s="53" t="s">
        <v>490</v>
      </c>
      <c r="G73" s="53" t="s">
        <v>491</v>
      </c>
      <c r="H73" s="53" t="s">
        <v>492</v>
      </c>
      <c r="I73" s="53" t="s">
        <v>493</v>
      </c>
      <c r="J73" s="53" t="s">
        <v>494</v>
      </c>
      <c r="K73" s="53"/>
      <c r="L73" s="53"/>
      <c r="M73" s="53"/>
      <c r="N73" s="53"/>
      <c r="O73" s="53"/>
      <c r="P73" s="64"/>
    </row>
    <row r="74" ht="28.5" customHeight="1">
      <c r="A74" s="50" t="s">
        <v>758</v>
      </c>
      <c r="B74" s="50">
        <v>70.0</v>
      </c>
      <c r="C74" s="60" t="s">
        <v>495</v>
      </c>
      <c r="D74" s="75" t="s">
        <v>588</v>
      </c>
      <c r="E74" s="51" t="s">
        <v>17</v>
      </c>
      <c r="F74" s="53" t="s">
        <v>739</v>
      </c>
      <c r="G74" s="53" t="s">
        <v>740</v>
      </c>
      <c r="H74" s="53" t="s">
        <v>741</v>
      </c>
      <c r="I74" s="53" t="s">
        <v>742</v>
      </c>
      <c r="J74" s="53" t="s">
        <v>743</v>
      </c>
      <c r="K74" s="53" t="s">
        <v>496</v>
      </c>
      <c r="L74" s="53" t="s">
        <v>319</v>
      </c>
      <c r="M74" s="53" t="s">
        <v>497</v>
      </c>
      <c r="N74" s="53" t="s">
        <v>498</v>
      </c>
      <c r="O74" s="53" t="s">
        <v>499</v>
      </c>
      <c r="P74" s="59" t="s">
        <v>632</v>
      </c>
    </row>
    <row r="75" ht="28.5" customHeight="1">
      <c r="A75" s="50" t="s">
        <v>758</v>
      </c>
      <c r="B75" s="50">
        <v>71.0</v>
      </c>
      <c r="C75" s="60" t="s">
        <v>500</v>
      </c>
      <c r="D75" s="78" t="s">
        <v>738</v>
      </c>
      <c r="E75" s="51" t="s">
        <v>17</v>
      </c>
      <c r="F75" s="53"/>
      <c r="G75" s="53"/>
      <c r="H75" s="53"/>
      <c r="I75" s="53"/>
      <c r="J75" s="53"/>
      <c r="K75" s="53" t="s">
        <v>501</v>
      </c>
      <c r="L75" s="53" t="s">
        <v>502</v>
      </c>
      <c r="M75" s="53" t="s">
        <v>503</v>
      </c>
      <c r="N75" s="53" t="s">
        <v>504</v>
      </c>
      <c r="O75" s="53" t="s">
        <v>505</v>
      </c>
      <c r="P75" s="59" t="s">
        <v>596</v>
      </c>
    </row>
    <row r="76">
      <c r="A76" s="50" t="s">
        <v>758</v>
      </c>
      <c r="B76" s="50" t="s">
        <v>507</v>
      </c>
      <c r="C76" s="60" t="s">
        <v>508</v>
      </c>
      <c r="D76" s="75"/>
      <c r="E76" s="51" t="s">
        <v>25</v>
      </c>
      <c r="F76" s="67"/>
      <c r="G76" s="67"/>
      <c r="H76" s="67"/>
      <c r="I76" s="67"/>
      <c r="J76" s="67"/>
      <c r="K76" s="53" t="s">
        <v>509</v>
      </c>
      <c r="L76" s="53" t="s">
        <v>510</v>
      </c>
      <c r="M76" s="53" t="s">
        <v>511</v>
      </c>
      <c r="N76" s="53" t="s">
        <v>512</v>
      </c>
      <c r="O76" s="53" t="s">
        <v>513</v>
      </c>
      <c r="P76" s="64" t="s">
        <v>745</v>
      </c>
    </row>
    <row r="77">
      <c r="A77" s="50" t="s">
        <v>758</v>
      </c>
      <c r="B77" s="50" t="s">
        <v>514</v>
      </c>
      <c r="C77" s="60" t="s">
        <v>515</v>
      </c>
      <c r="D77" s="78"/>
      <c r="E77" s="51" t="s">
        <v>25</v>
      </c>
      <c r="F77" s="67"/>
      <c r="G77" s="67"/>
      <c r="H77" s="67"/>
      <c r="I77" s="67"/>
      <c r="J77" s="67"/>
      <c r="K77" s="53" t="s">
        <v>516</v>
      </c>
      <c r="L77" s="53" t="s">
        <v>517</v>
      </c>
      <c r="M77" s="53" t="s">
        <v>518</v>
      </c>
      <c r="N77" s="53" t="s">
        <v>519</v>
      </c>
      <c r="O77" s="53" t="s">
        <v>520</v>
      </c>
      <c r="P77" s="64" t="s">
        <v>746</v>
      </c>
    </row>
    <row r="78" ht="28.5" customHeight="1">
      <c r="A78" s="50" t="s">
        <v>758</v>
      </c>
      <c r="B78" s="50">
        <v>73.0</v>
      </c>
      <c r="C78" s="51" t="s">
        <v>521</v>
      </c>
      <c r="D78" s="78" t="s">
        <v>588</v>
      </c>
      <c r="E78" s="51" t="s">
        <v>17</v>
      </c>
      <c r="F78" s="56" t="s">
        <v>747</v>
      </c>
      <c r="G78" s="56" t="s">
        <v>748</v>
      </c>
      <c r="H78" s="56" t="s">
        <v>749</v>
      </c>
      <c r="I78" s="56" t="s">
        <v>750</v>
      </c>
      <c r="J78" s="56" t="s">
        <v>751</v>
      </c>
      <c r="K78" s="53" t="s">
        <v>522</v>
      </c>
      <c r="L78" s="53" t="s">
        <v>523</v>
      </c>
      <c r="M78" s="53" t="s">
        <v>524</v>
      </c>
      <c r="N78" s="53" t="s">
        <v>525</v>
      </c>
      <c r="O78" s="53" t="s">
        <v>526</v>
      </c>
      <c r="P78" s="59" t="s">
        <v>632</v>
      </c>
    </row>
    <row r="79">
      <c r="A79" s="50" t="s">
        <v>758</v>
      </c>
      <c r="B79" s="50">
        <v>74.0</v>
      </c>
      <c r="C79" s="51" t="s">
        <v>91</v>
      </c>
      <c r="D79" s="78"/>
      <c r="E79" s="51" t="s">
        <v>25</v>
      </c>
      <c r="F79" s="67"/>
      <c r="G79" s="67"/>
      <c r="H79" s="67"/>
      <c r="I79" s="67"/>
      <c r="J79" s="67"/>
      <c r="K79" s="53" t="s">
        <v>467</v>
      </c>
      <c r="L79" s="53" t="s">
        <v>527</v>
      </c>
      <c r="M79" s="53" t="s">
        <v>135</v>
      </c>
      <c r="N79" s="53" t="s">
        <v>528</v>
      </c>
      <c r="O79" s="53" t="s">
        <v>416</v>
      </c>
      <c r="P79" s="64" t="s">
        <v>752</v>
      </c>
    </row>
    <row r="80" ht="32.25" customHeight="1">
      <c r="A80" s="50" t="s">
        <v>758</v>
      </c>
      <c r="B80" s="68">
        <v>75.0</v>
      </c>
      <c r="C80" s="64" t="s">
        <v>529</v>
      </c>
      <c r="D80" s="88" t="s">
        <v>597</v>
      </c>
      <c r="E80" s="51" t="s">
        <v>17</v>
      </c>
      <c r="F80" s="54"/>
      <c r="G80" s="54"/>
      <c r="H80" s="54"/>
      <c r="I80" s="54"/>
      <c r="J80" s="54"/>
      <c r="K80" s="69" t="s">
        <v>530</v>
      </c>
      <c r="L80" s="69" t="s">
        <v>531</v>
      </c>
      <c r="M80" s="69" t="s">
        <v>532</v>
      </c>
      <c r="N80" s="69" t="s">
        <v>533</v>
      </c>
      <c r="O80" s="69" t="s">
        <v>534</v>
      </c>
      <c r="P80" s="59" t="s">
        <v>632</v>
      </c>
    </row>
    <row r="81" ht="32.25" customHeight="1">
      <c r="A81" s="50" t="s">
        <v>758</v>
      </c>
      <c r="B81" s="68">
        <v>76.0</v>
      </c>
      <c r="C81" s="64" t="s">
        <v>92</v>
      </c>
      <c r="D81" s="78" t="s">
        <v>754</v>
      </c>
      <c r="E81" s="51" t="s">
        <v>9</v>
      </c>
      <c r="F81" s="53">
        <v>157.03</v>
      </c>
      <c r="G81" s="53">
        <v>157.47</v>
      </c>
      <c r="H81" s="53">
        <v>148.16</v>
      </c>
      <c r="I81" s="53">
        <v>131.84</v>
      </c>
      <c r="J81" s="53" t="s">
        <v>535</v>
      </c>
      <c r="K81" s="69" t="s">
        <v>536</v>
      </c>
      <c r="L81" s="69" t="s">
        <v>537</v>
      </c>
      <c r="M81" s="69" t="s">
        <v>538</v>
      </c>
      <c r="N81" s="69" t="s">
        <v>539</v>
      </c>
      <c r="O81" s="69" t="s">
        <v>540</v>
      </c>
      <c r="P81" s="83"/>
    </row>
    <row r="82" ht="32.25" customHeight="1">
      <c r="A82" s="50" t="s">
        <v>758</v>
      </c>
      <c r="B82" s="68">
        <v>77.0</v>
      </c>
      <c r="C82" s="64" t="s">
        <v>541</v>
      </c>
      <c r="D82" s="78" t="s">
        <v>738</v>
      </c>
      <c r="E82" s="51" t="s">
        <v>17</v>
      </c>
      <c r="F82" s="54"/>
      <c r="G82" s="54"/>
      <c r="H82" s="54"/>
      <c r="I82" s="54"/>
      <c r="J82" s="54"/>
      <c r="K82" s="69" t="s">
        <v>542</v>
      </c>
      <c r="L82" s="69" t="s">
        <v>543</v>
      </c>
      <c r="M82" s="69" t="s">
        <v>544</v>
      </c>
      <c r="N82" s="69" t="s">
        <v>545</v>
      </c>
      <c r="O82" s="69" t="s">
        <v>546</v>
      </c>
      <c r="P82" s="59" t="s">
        <v>596</v>
      </c>
    </row>
    <row r="83" ht="32.25" customHeight="1">
      <c r="A83" s="50" t="s">
        <v>758</v>
      </c>
      <c r="B83" s="68">
        <v>78.0</v>
      </c>
      <c r="C83" s="64" t="s">
        <v>547</v>
      </c>
      <c r="D83" s="88" t="s">
        <v>597</v>
      </c>
      <c r="E83" s="51" t="s">
        <v>17</v>
      </c>
      <c r="F83" s="54"/>
      <c r="G83" s="54"/>
      <c r="H83" s="54"/>
      <c r="I83" s="54"/>
      <c r="J83" s="54"/>
      <c r="K83" s="69" t="s">
        <v>548</v>
      </c>
      <c r="L83" s="69" t="s">
        <v>549</v>
      </c>
      <c r="M83" s="69" t="s">
        <v>550</v>
      </c>
      <c r="N83" s="69" t="s">
        <v>551</v>
      </c>
      <c r="O83" s="69" t="s">
        <v>552</v>
      </c>
      <c r="P83" s="59" t="s">
        <v>596</v>
      </c>
    </row>
    <row r="84">
      <c r="A84" s="70"/>
      <c r="B84" s="70"/>
      <c r="P84" s="92"/>
    </row>
    <row r="85">
      <c r="A85" s="70"/>
      <c r="B85" s="70"/>
      <c r="F85" s="74">
        <v>43.0</v>
      </c>
      <c r="P85" s="92"/>
    </row>
    <row r="86">
      <c r="A86" s="70"/>
      <c r="B86" s="70"/>
      <c r="P86" s="92"/>
    </row>
    <row r="87">
      <c r="A87" s="70"/>
      <c r="B87" s="70"/>
      <c r="P87" s="92"/>
    </row>
    <row r="88">
      <c r="A88" s="70"/>
      <c r="B88" s="70"/>
      <c r="P88" s="92"/>
    </row>
    <row r="89">
      <c r="A89" s="70"/>
      <c r="B89" s="70"/>
      <c r="P89" s="92"/>
    </row>
    <row r="90">
      <c r="A90" s="70"/>
      <c r="B90" s="70"/>
      <c r="P90" s="92"/>
    </row>
    <row r="91">
      <c r="A91" s="70"/>
      <c r="B91" s="70"/>
      <c r="P91" s="92"/>
    </row>
    <row r="92">
      <c r="A92" s="70"/>
      <c r="B92" s="70"/>
      <c r="P92" s="92"/>
    </row>
    <row r="93">
      <c r="A93" s="70"/>
      <c r="B93" s="70"/>
      <c r="P93" s="92"/>
    </row>
    <row r="94">
      <c r="A94" s="70"/>
      <c r="B94" s="70"/>
      <c r="P94" s="92"/>
    </row>
    <row r="95">
      <c r="A95" s="70"/>
      <c r="B95" s="70"/>
      <c r="P95" s="92"/>
    </row>
    <row r="96">
      <c r="A96" s="70"/>
      <c r="B96" s="70"/>
      <c r="P96" s="92"/>
    </row>
    <row r="97">
      <c r="A97" s="70"/>
      <c r="B97" s="70"/>
      <c r="P97" s="92"/>
    </row>
    <row r="98">
      <c r="A98" s="70"/>
      <c r="B98" s="70"/>
      <c r="P98" s="92"/>
    </row>
    <row r="99">
      <c r="A99" s="70"/>
      <c r="B99" s="70"/>
      <c r="P99" s="92"/>
    </row>
    <row r="100">
      <c r="A100" s="70"/>
      <c r="B100" s="70"/>
      <c r="P100" s="92"/>
    </row>
    <row r="101">
      <c r="A101" s="70"/>
      <c r="B101" s="70"/>
      <c r="P101" s="92"/>
    </row>
    <row r="102">
      <c r="A102" s="70"/>
      <c r="B102" s="70"/>
      <c r="P102" s="92"/>
    </row>
    <row r="103">
      <c r="A103" s="70"/>
      <c r="B103" s="70"/>
      <c r="P103" s="92"/>
    </row>
    <row r="104">
      <c r="A104" s="70"/>
      <c r="B104" s="70"/>
      <c r="P104" s="92"/>
    </row>
    <row r="105">
      <c r="A105" s="70"/>
      <c r="B105" s="70"/>
      <c r="P105" s="92"/>
    </row>
    <row r="106">
      <c r="A106" s="70"/>
      <c r="B106" s="70"/>
      <c r="P106" s="92"/>
    </row>
    <row r="107">
      <c r="A107" s="70"/>
      <c r="B107" s="70"/>
      <c r="P107" s="92"/>
    </row>
    <row r="108">
      <c r="A108" s="70"/>
      <c r="B108" s="70"/>
      <c r="P108" s="92"/>
    </row>
    <row r="109">
      <c r="A109" s="70"/>
      <c r="B109" s="70"/>
      <c r="P109" s="92"/>
    </row>
    <row r="110">
      <c r="A110" s="70"/>
      <c r="B110" s="70"/>
      <c r="P110" s="92"/>
    </row>
    <row r="111">
      <c r="A111" s="70"/>
      <c r="B111" s="70"/>
      <c r="P111" s="92"/>
    </row>
    <row r="112">
      <c r="A112" s="70"/>
      <c r="B112" s="70"/>
      <c r="P112" s="92"/>
    </row>
    <row r="113">
      <c r="A113" s="70"/>
      <c r="B113" s="70"/>
      <c r="P113" s="92"/>
    </row>
    <row r="114">
      <c r="A114" s="70"/>
      <c r="B114" s="70"/>
      <c r="P114" s="92"/>
    </row>
    <row r="115">
      <c r="A115" s="70"/>
      <c r="B115" s="70"/>
      <c r="P115" s="92"/>
    </row>
    <row r="116">
      <c r="A116" s="70"/>
      <c r="B116" s="70"/>
      <c r="P116" s="92"/>
    </row>
    <row r="117">
      <c r="A117" s="70"/>
      <c r="B117" s="70"/>
      <c r="P117" s="92"/>
    </row>
    <row r="118">
      <c r="A118" s="70"/>
      <c r="B118" s="70"/>
      <c r="P118" s="92"/>
    </row>
    <row r="119">
      <c r="A119" s="70"/>
      <c r="B119" s="70"/>
      <c r="P119" s="92"/>
    </row>
    <row r="120">
      <c r="A120" s="70"/>
      <c r="B120" s="70"/>
      <c r="P120" s="92"/>
    </row>
    <row r="121">
      <c r="A121" s="70"/>
      <c r="B121" s="70"/>
      <c r="P121" s="92"/>
    </row>
    <row r="122">
      <c r="A122" s="70"/>
      <c r="B122" s="70"/>
      <c r="P122" s="92"/>
    </row>
    <row r="123">
      <c r="A123" s="70"/>
      <c r="B123" s="70"/>
      <c r="P123" s="92"/>
    </row>
    <row r="124">
      <c r="A124" s="70"/>
      <c r="B124" s="70"/>
      <c r="P124" s="92"/>
    </row>
    <row r="125">
      <c r="A125" s="70"/>
      <c r="B125" s="70"/>
      <c r="P125" s="92"/>
    </row>
    <row r="126">
      <c r="A126" s="70"/>
      <c r="B126" s="70"/>
      <c r="P126" s="92"/>
    </row>
    <row r="127">
      <c r="A127" s="70"/>
      <c r="B127" s="70"/>
      <c r="P127" s="92"/>
    </row>
    <row r="128">
      <c r="A128" s="70"/>
      <c r="B128" s="70"/>
      <c r="P128" s="92"/>
    </row>
    <row r="129">
      <c r="A129" s="70"/>
      <c r="B129" s="70"/>
      <c r="P129" s="92"/>
    </row>
    <row r="130">
      <c r="A130" s="70"/>
      <c r="B130" s="70"/>
      <c r="P130" s="92"/>
    </row>
    <row r="131">
      <c r="A131" s="70"/>
      <c r="B131" s="70"/>
      <c r="P131" s="92"/>
    </row>
    <row r="132">
      <c r="A132" s="70"/>
      <c r="B132" s="70"/>
      <c r="P132" s="92"/>
    </row>
    <row r="133">
      <c r="A133" s="70"/>
      <c r="B133" s="70"/>
      <c r="P133" s="92"/>
    </row>
    <row r="134">
      <c r="A134" s="70"/>
      <c r="B134" s="70"/>
      <c r="P134" s="92"/>
    </row>
    <row r="135">
      <c r="A135" s="70"/>
      <c r="B135" s="70"/>
      <c r="P135" s="92"/>
    </row>
    <row r="136">
      <c r="A136" s="70"/>
      <c r="B136" s="70"/>
      <c r="P136" s="92"/>
    </row>
    <row r="137">
      <c r="A137" s="70"/>
      <c r="B137" s="70"/>
      <c r="P137" s="92"/>
    </row>
    <row r="138">
      <c r="A138" s="70"/>
      <c r="B138" s="70"/>
      <c r="P138" s="92"/>
    </row>
    <row r="139">
      <c r="A139" s="70"/>
      <c r="B139" s="70"/>
      <c r="P139" s="92"/>
    </row>
    <row r="140">
      <c r="A140" s="70"/>
      <c r="B140" s="70"/>
      <c r="P140" s="92"/>
    </row>
    <row r="141">
      <c r="A141" s="70"/>
      <c r="B141" s="70"/>
      <c r="P141" s="92"/>
    </row>
    <row r="142">
      <c r="A142" s="70"/>
      <c r="B142" s="70"/>
      <c r="P142" s="92"/>
    </row>
    <row r="143">
      <c r="A143" s="70"/>
      <c r="B143" s="70"/>
      <c r="P143" s="92"/>
    </row>
    <row r="144">
      <c r="A144" s="70"/>
      <c r="B144" s="70"/>
      <c r="P144" s="92"/>
    </row>
    <row r="145">
      <c r="A145" s="70"/>
      <c r="B145" s="70"/>
      <c r="P145" s="92"/>
    </row>
    <row r="146">
      <c r="A146" s="70"/>
      <c r="B146" s="70"/>
      <c r="P146" s="92"/>
    </row>
    <row r="147">
      <c r="A147" s="70"/>
      <c r="B147" s="70"/>
      <c r="P147" s="92"/>
    </row>
    <row r="148">
      <c r="A148" s="70"/>
      <c r="B148" s="70"/>
      <c r="P148" s="92"/>
    </row>
    <row r="149">
      <c r="A149" s="70"/>
      <c r="B149" s="70"/>
      <c r="P149" s="92"/>
    </row>
    <row r="150">
      <c r="A150" s="70"/>
      <c r="B150" s="70"/>
      <c r="P150" s="92"/>
    </row>
    <row r="151">
      <c r="A151" s="70"/>
      <c r="B151" s="70"/>
      <c r="P151" s="92"/>
    </row>
    <row r="152">
      <c r="A152" s="70"/>
      <c r="B152" s="70"/>
      <c r="P152" s="92"/>
    </row>
    <row r="153">
      <c r="A153" s="70"/>
      <c r="B153" s="70"/>
      <c r="P153" s="92"/>
    </row>
    <row r="154">
      <c r="A154" s="70"/>
      <c r="B154" s="70"/>
      <c r="P154" s="92"/>
    </row>
    <row r="155">
      <c r="A155" s="70"/>
      <c r="B155" s="70"/>
      <c r="P155" s="92"/>
    </row>
    <row r="156">
      <c r="A156" s="70"/>
      <c r="B156" s="70"/>
      <c r="P156" s="92"/>
    </row>
    <row r="157">
      <c r="A157" s="70"/>
      <c r="B157" s="70"/>
      <c r="P157" s="92"/>
    </row>
    <row r="158">
      <c r="A158" s="70"/>
      <c r="B158" s="70"/>
      <c r="P158" s="92"/>
    </row>
    <row r="159">
      <c r="A159" s="70"/>
      <c r="B159" s="70"/>
      <c r="P159" s="92"/>
    </row>
    <row r="160">
      <c r="A160" s="70"/>
      <c r="B160" s="70"/>
      <c r="P160" s="92"/>
    </row>
    <row r="161">
      <c r="A161" s="70"/>
      <c r="B161" s="70"/>
      <c r="P161" s="92"/>
    </row>
    <row r="162">
      <c r="A162" s="70"/>
      <c r="B162" s="70"/>
      <c r="P162" s="92"/>
    </row>
    <row r="163">
      <c r="A163" s="70"/>
      <c r="B163" s="70"/>
      <c r="P163" s="92"/>
    </row>
    <row r="164">
      <c r="A164" s="70"/>
      <c r="B164" s="70"/>
      <c r="P164" s="92"/>
    </row>
    <row r="165">
      <c r="A165" s="70"/>
      <c r="B165" s="70"/>
      <c r="P165" s="92"/>
    </row>
    <row r="166">
      <c r="A166" s="70"/>
      <c r="B166" s="70"/>
      <c r="P166" s="92"/>
    </row>
    <row r="167">
      <c r="A167" s="70"/>
      <c r="B167" s="70"/>
      <c r="P167" s="92"/>
    </row>
    <row r="168">
      <c r="A168" s="70"/>
      <c r="B168" s="70"/>
      <c r="P168" s="92"/>
    </row>
    <row r="169">
      <c r="A169" s="70"/>
      <c r="B169" s="70"/>
      <c r="P169" s="92"/>
    </row>
    <row r="170">
      <c r="A170" s="70"/>
      <c r="B170" s="70"/>
      <c r="P170" s="92"/>
    </row>
    <row r="171">
      <c r="A171" s="70"/>
      <c r="B171" s="70"/>
      <c r="P171" s="92"/>
    </row>
    <row r="172">
      <c r="A172" s="70"/>
      <c r="B172" s="70"/>
      <c r="P172" s="92"/>
    </row>
    <row r="173">
      <c r="A173" s="70"/>
      <c r="B173" s="70"/>
      <c r="P173" s="92"/>
    </row>
    <row r="174">
      <c r="A174" s="70"/>
      <c r="B174" s="70"/>
      <c r="P174" s="92"/>
    </row>
    <row r="175">
      <c r="A175" s="70"/>
      <c r="B175" s="70"/>
      <c r="P175" s="92"/>
    </row>
    <row r="176">
      <c r="A176" s="70"/>
      <c r="B176" s="70"/>
      <c r="P176" s="92"/>
    </row>
    <row r="177">
      <c r="A177" s="70"/>
      <c r="B177" s="70"/>
      <c r="P177" s="92"/>
    </row>
    <row r="178">
      <c r="A178" s="70"/>
      <c r="B178" s="70"/>
      <c r="P178" s="92"/>
    </row>
    <row r="179">
      <c r="A179" s="70"/>
      <c r="B179" s="70"/>
      <c r="P179" s="92"/>
    </row>
    <row r="180">
      <c r="A180" s="70"/>
      <c r="B180" s="70"/>
      <c r="P180" s="92"/>
    </row>
    <row r="181">
      <c r="A181" s="70"/>
      <c r="B181" s="70"/>
      <c r="P181" s="92"/>
    </row>
    <row r="182">
      <c r="A182" s="70"/>
      <c r="B182" s="70"/>
      <c r="P182" s="92"/>
    </row>
    <row r="183">
      <c r="A183" s="70"/>
      <c r="B183" s="70"/>
      <c r="P183" s="92"/>
    </row>
    <row r="184">
      <c r="A184" s="70"/>
      <c r="B184" s="70"/>
      <c r="P184" s="92"/>
    </row>
    <row r="185">
      <c r="A185" s="70"/>
      <c r="B185" s="70"/>
      <c r="P185" s="92"/>
    </row>
    <row r="186">
      <c r="A186" s="70"/>
      <c r="B186" s="70"/>
      <c r="P186" s="92"/>
    </row>
    <row r="187">
      <c r="A187" s="70"/>
      <c r="B187" s="70"/>
      <c r="P187" s="92"/>
    </row>
    <row r="188">
      <c r="A188" s="70"/>
      <c r="B188" s="70"/>
      <c r="P188" s="92"/>
    </row>
    <row r="189">
      <c r="A189" s="70"/>
      <c r="B189" s="70"/>
      <c r="P189" s="92"/>
    </row>
    <row r="190">
      <c r="A190" s="70"/>
      <c r="B190" s="70"/>
      <c r="P190" s="92"/>
    </row>
    <row r="191">
      <c r="A191" s="70"/>
      <c r="B191" s="70"/>
      <c r="P191" s="92"/>
    </row>
    <row r="192">
      <c r="A192" s="70"/>
      <c r="B192" s="70"/>
      <c r="P192" s="92"/>
    </row>
    <row r="193">
      <c r="A193" s="70"/>
      <c r="B193" s="70"/>
      <c r="P193" s="92"/>
    </row>
    <row r="194">
      <c r="A194" s="70"/>
      <c r="B194" s="70"/>
      <c r="P194" s="92"/>
    </row>
    <row r="195">
      <c r="A195" s="70"/>
      <c r="B195" s="70"/>
      <c r="P195" s="92"/>
    </row>
    <row r="196">
      <c r="A196" s="70"/>
      <c r="B196" s="70"/>
      <c r="P196" s="92"/>
    </row>
    <row r="197">
      <c r="A197" s="70"/>
      <c r="B197" s="70"/>
      <c r="P197" s="92"/>
    </row>
    <row r="198">
      <c r="A198" s="70"/>
      <c r="B198" s="70"/>
      <c r="P198" s="92"/>
    </row>
    <row r="199">
      <c r="A199" s="70"/>
      <c r="B199" s="70"/>
      <c r="P199" s="92"/>
    </row>
    <row r="200">
      <c r="A200" s="70"/>
      <c r="B200" s="70"/>
      <c r="P200" s="92"/>
    </row>
    <row r="201">
      <c r="A201" s="70"/>
      <c r="B201" s="70"/>
      <c r="P201" s="92"/>
    </row>
    <row r="202">
      <c r="A202" s="70"/>
      <c r="B202" s="70"/>
      <c r="P202" s="92"/>
    </row>
    <row r="203">
      <c r="A203" s="70"/>
      <c r="B203" s="70"/>
      <c r="P203" s="92"/>
    </row>
    <row r="204">
      <c r="A204" s="70"/>
      <c r="B204" s="70"/>
      <c r="P204" s="92"/>
    </row>
    <row r="205">
      <c r="A205" s="70"/>
      <c r="B205" s="70"/>
      <c r="P205" s="92"/>
    </row>
    <row r="206">
      <c r="A206" s="70"/>
      <c r="B206" s="70"/>
      <c r="P206" s="92"/>
    </row>
    <row r="207">
      <c r="A207" s="70"/>
      <c r="B207" s="70"/>
      <c r="P207" s="92"/>
    </row>
    <row r="208">
      <c r="A208" s="70"/>
      <c r="B208" s="70"/>
      <c r="P208" s="92"/>
    </row>
    <row r="209">
      <c r="A209" s="70"/>
      <c r="B209" s="70"/>
      <c r="P209" s="92"/>
    </row>
    <row r="210">
      <c r="A210" s="70"/>
      <c r="B210" s="70"/>
      <c r="P210" s="92"/>
    </row>
    <row r="211">
      <c r="A211" s="70"/>
      <c r="B211" s="70"/>
      <c r="P211" s="92"/>
    </row>
    <row r="212">
      <c r="A212" s="70"/>
      <c r="B212" s="70"/>
      <c r="P212" s="92"/>
    </row>
    <row r="213">
      <c r="A213" s="70"/>
      <c r="B213" s="70"/>
      <c r="P213" s="92"/>
    </row>
    <row r="214">
      <c r="A214" s="70"/>
      <c r="B214" s="70"/>
      <c r="P214" s="92"/>
    </row>
    <row r="215">
      <c r="A215" s="70"/>
      <c r="B215" s="70"/>
      <c r="P215" s="92"/>
    </row>
    <row r="216">
      <c r="A216" s="70"/>
      <c r="B216" s="70"/>
      <c r="P216" s="92"/>
    </row>
    <row r="217">
      <c r="A217" s="70"/>
      <c r="B217" s="70"/>
      <c r="P217" s="92"/>
    </row>
    <row r="218">
      <c r="A218" s="70"/>
      <c r="B218" s="70"/>
      <c r="P218" s="92"/>
    </row>
    <row r="219">
      <c r="A219" s="70"/>
      <c r="B219" s="70"/>
      <c r="P219" s="92"/>
    </row>
    <row r="220">
      <c r="A220" s="70"/>
      <c r="B220" s="70"/>
      <c r="P220" s="92"/>
    </row>
    <row r="221">
      <c r="A221" s="70"/>
      <c r="B221" s="70"/>
      <c r="P221" s="92"/>
    </row>
    <row r="222">
      <c r="A222" s="70"/>
      <c r="B222" s="70"/>
      <c r="P222" s="92"/>
    </row>
    <row r="223">
      <c r="A223" s="70"/>
      <c r="B223" s="70"/>
      <c r="P223" s="92"/>
    </row>
    <row r="224">
      <c r="A224" s="70"/>
      <c r="B224" s="70"/>
      <c r="P224" s="92"/>
    </row>
    <row r="225">
      <c r="A225" s="70"/>
      <c r="B225" s="70"/>
      <c r="P225" s="92"/>
    </row>
    <row r="226">
      <c r="A226" s="70"/>
      <c r="B226" s="70"/>
      <c r="P226" s="92"/>
    </row>
    <row r="227">
      <c r="A227" s="70"/>
      <c r="B227" s="70"/>
      <c r="P227" s="92"/>
    </row>
    <row r="228">
      <c r="A228" s="70"/>
      <c r="B228" s="70"/>
      <c r="P228" s="92"/>
    </row>
    <row r="229">
      <c r="A229" s="70"/>
      <c r="B229" s="70"/>
      <c r="P229" s="92"/>
    </row>
    <row r="230">
      <c r="A230" s="70"/>
      <c r="B230" s="70"/>
      <c r="P230" s="92"/>
    </row>
    <row r="231">
      <c r="A231" s="70"/>
      <c r="B231" s="70"/>
      <c r="P231" s="92"/>
    </row>
    <row r="232">
      <c r="A232" s="70"/>
      <c r="B232" s="70"/>
      <c r="P232" s="92"/>
    </row>
    <row r="233">
      <c r="A233" s="70"/>
      <c r="B233" s="70"/>
      <c r="P233" s="92"/>
    </row>
    <row r="234">
      <c r="A234" s="70"/>
      <c r="B234" s="70"/>
      <c r="P234" s="92"/>
    </row>
    <row r="235">
      <c r="A235" s="70"/>
      <c r="B235" s="70"/>
      <c r="P235" s="92"/>
    </row>
    <row r="236">
      <c r="A236" s="70"/>
      <c r="B236" s="70"/>
      <c r="P236" s="92"/>
    </row>
    <row r="237">
      <c r="A237" s="70"/>
      <c r="B237" s="70"/>
      <c r="P237" s="92"/>
    </row>
    <row r="238">
      <c r="A238" s="70"/>
      <c r="B238" s="70"/>
      <c r="P238" s="92"/>
    </row>
    <row r="239">
      <c r="A239" s="70"/>
      <c r="B239" s="70"/>
      <c r="P239" s="92"/>
    </row>
    <row r="240">
      <c r="A240" s="70"/>
      <c r="B240" s="70"/>
      <c r="P240" s="92"/>
    </row>
    <row r="241">
      <c r="A241" s="70"/>
      <c r="B241" s="70"/>
      <c r="P241" s="92"/>
    </row>
    <row r="242">
      <c r="A242" s="70"/>
      <c r="B242" s="70"/>
      <c r="P242" s="92"/>
    </row>
    <row r="243">
      <c r="A243" s="70"/>
      <c r="B243" s="70"/>
      <c r="P243" s="92"/>
    </row>
    <row r="244">
      <c r="A244" s="70"/>
      <c r="B244" s="70"/>
      <c r="P244" s="92"/>
    </row>
    <row r="245">
      <c r="A245" s="70"/>
      <c r="B245" s="70"/>
      <c r="P245" s="92"/>
    </row>
    <row r="246">
      <c r="A246" s="70"/>
      <c r="B246" s="70"/>
      <c r="P246" s="92"/>
    </row>
    <row r="247">
      <c r="A247" s="70"/>
      <c r="B247" s="70"/>
      <c r="P247" s="92"/>
    </row>
    <row r="248">
      <c r="A248" s="70"/>
      <c r="B248" s="70"/>
      <c r="P248" s="92"/>
    </row>
    <row r="249">
      <c r="A249" s="70"/>
      <c r="B249" s="70"/>
      <c r="P249" s="92"/>
    </row>
    <row r="250">
      <c r="A250" s="70"/>
      <c r="B250" s="70"/>
      <c r="P250" s="92"/>
    </row>
    <row r="251">
      <c r="A251" s="70"/>
      <c r="B251" s="70"/>
      <c r="P251" s="92"/>
    </row>
    <row r="252">
      <c r="A252" s="70"/>
      <c r="B252" s="70"/>
      <c r="P252" s="92"/>
    </row>
    <row r="253">
      <c r="A253" s="70"/>
      <c r="B253" s="70"/>
      <c r="P253" s="92"/>
    </row>
    <row r="254">
      <c r="A254" s="70"/>
      <c r="B254" s="70"/>
      <c r="P254" s="92"/>
    </row>
    <row r="255">
      <c r="A255" s="70"/>
      <c r="B255" s="70"/>
      <c r="P255" s="92"/>
    </row>
    <row r="256">
      <c r="A256" s="70"/>
      <c r="B256" s="70"/>
      <c r="P256" s="92"/>
    </row>
    <row r="257">
      <c r="A257" s="70"/>
      <c r="B257" s="70"/>
      <c r="P257" s="92"/>
    </row>
    <row r="258">
      <c r="A258" s="70"/>
      <c r="B258" s="70"/>
      <c r="P258" s="92"/>
    </row>
    <row r="259">
      <c r="A259" s="70"/>
      <c r="B259" s="70"/>
      <c r="P259" s="92"/>
    </row>
    <row r="260">
      <c r="A260" s="70"/>
      <c r="B260" s="70"/>
      <c r="P260" s="92"/>
    </row>
    <row r="261">
      <c r="A261" s="70"/>
      <c r="B261" s="70"/>
      <c r="P261" s="92"/>
    </row>
    <row r="262">
      <c r="A262" s="70"/>
      <c r="B262" s="70"/>
      <c r="P262" s="92"/>
    </row>
    <row r="263">
      <c r="A263" s="70"/>
      <c r="B263" s="70"/>
      <c r="P263" s="92"/>
    </row>
    <row r="264">
      <c r="A264" s="70"/>
      <c r="B264" s="70"/>
      <c r="P264" s="92"/>
    </row>
    <row r="265">
      <c r="A265" s="70"/>
      <c r="B265" s="70"/>
      <c r="P265" s="92"/>
    </row>
    <row r="266">
      <c r="A266" s="70"/>
      <c r="B266" s="70"/>
      <c r="P266" s="92"/>
    </row>
    <row r="267">
      <c r="A267" s="70"/>
      <c r="B267" s="70"/>
      <c r="P267" s="92"/>
    </row>
    <row r="268">
      <c r="A268" s="70"/>
      <c r="B268" s="70"/>
      <c r="P268" s="92"/>
    </row>
    <row r="269">
      <c r="A269" s="70"/>
      <c r="B269" s="70"/>
      <c r="P269" s="92"/>
    </row>
    <row r="270">
      <c r="A270" s="70"/>
      <c r="B270" s="70"/>
      <c r="P270" s="92"/>
    </row>
    <row r="271">
      <c r="A271" s="70"/>
      <c r="B271" s="70"/>
      <c r="P271" s="92"/>
    </row>
    <row r="272">
      <c r="A272" s="70"/>
      <c r="B272" s="70"/>
      <c r="P272" s="92"/>
    </row>
    <row r="273">
      <c r="A273" s="70"/>
      <c r="B273" s="70"/>
      <c r="P273" s="92"/>
    </row>
    <row r="274">
      <c r="A274" s="70"/>
      <c r="B274" s="70"/>
      <c r="P274" s="92"/>
    </row>
    <row r="275">
      <c r="A275" s="70"/>
      <c r="B275" s="70"/>
      <c r="P275" s="92"/>
    </row>
    <row r="276">
      <c r="A276" s="70"/>
      <c r="B276" s="70"/>
      <c r="P276" s="92"/>
    </row>
    <row r="277">
      <c r="A277" s="70"/>
      <c r="B277" s="70"/>
      <c r="P277" s="92"/>
    </row>
    <row r="278">
      <c r="A278" s="70"/>
      <c r="B278" s="70"/>
      <c r="P278" s="92"/>
    </row>
    <row r="279">
      <c r="A279" s="70"/>
      <c r="B279" s="70"/>
      <c r="P279" s="92"/>
    </row>
    <row r="280">
      <c r="A280" s="70"/>
      <c r="B280" s="70"/>
      <c r="P280" s="92"/>
    </row>
    <row r="281">
      <c r="A281" s="70"/>
      <c r="B281" s="70"/>
      <c r="P281" s="92"/>
    </row>
    <row r="282">
      <c r="A282" s="70"/>
      <c r="B282" s="70"/>
      <c r="P282" s="92"/>
    </row>
    <row r="283">
      <c r="A283" s="70"/>
      <c r="B283" s="70"/>
      <c r="P283" s="92"/>
    </row>
    <row r="284">
      <c r="A284" s="70"/>
      <c r="B284" s="70"/>
      <c r="P284" s="92"/>
    </row>
    <row r="285">
      <c r="A285" s="70"/>
      <c r="B285" s="70"/>
      <c r="P285" s="92"/>
    </row>
    <row r="286">
      <c r="A286" s="70"/>
      <c r="B286" s="70"/>
      <c r="P286" s="92"/>
    </row>
    <row r="287">
      <c r="A287" s="70"/>
      <c r="B287" s="70"/>
      <c r="P287" s="92"/>
    </row>
    <row r="288">
      <c r="A288" s="70"/>
      <c r="B288" s="70"/>
      <c r="P288" s="92"/>
    </row>
    <row r="289">
      <c r="A289" s="70"/>
      <c r="B289" s="70"/>
      <c r="P289" s="92"/>
    </row>
    <row r="290">
      <c r="A290" s="70"/>
      <c r="B290" s="70"/>
      <c r="P290" s="92"/>
    </row>
    <row r="291">
      <c r="A291" s="70"/>
      <c r="B291" s="70"/>
      <c r="P291" s="92"/>
    </row>
    <row r="292">
      <c r="A292" s="70"/>
      <c r="B292" s="70"/>
      <c r="P292" s="92"/>
    </row>
    <row r="293">
      <c r="A293" s="70"/>
      <c r="B293" s="70"/>
      <c r="P293" s="92"/>
    </row>
    <row r="294">
      <c r="A294" s="70"/>
      <c r="B294" s="70"/>
      <c r="P294" s="92"/>
    </row>
    <row r="295">
      <c r="A295" s="70"/>
      <c r="B295" s="70"/>
      <c r="P295" s="92"/>
    </row>
    <row r="296">
      <c r="A296" s="70"/>
      <c r="B296" s="70"/>
      <c r="P296" s="92"/>
    </row>
    <row r="297">
      <c r="A297" s="70"/>
      <c r="B297" s="70"/>
      <c r="P297" s="92"/>
    </row>
    <row r="298">
      <c r="A298" s="70"/>
      <c r="B298" s="70"/>
      <c r="P298" s="92"/>
    </row>
    <row r="299">
      <c r="A299" s="70"/>
      <c r="B299" s="70"/>
      <c r="P299" s="92"/>
    </row>
    <row r="300">
      <c r="A300" s="70"/>
      <c r="B300" s="70"/>
      <c r="P300" s="92"/>
    </row>
    <row r="301">
      <c r="A301" s="70"/>
      <c r="B301" s="70"/>
      <c r="P301" s="92"/>
    </row>
    <row r="302">
      <c r="A302" s="70"/>
      <c r="B302" s="70"/>
      <c r="P302" s="92"/>
    </row>
    <row r="303">
      <c r="A303" s="70"/>
      <c r="B303" s="70"/>
      <c r="P303" s="92"/>
    </row>
    <row r="304">
      <c r="A304" s="70"/>
      <c r="B304" s="70"/>
      <c r="P304" s="92"/>
    </row>
    <row r="305">
      <c r="A305" s="70"/>
      <c r="B305" s="70"/>
      <c r="P305" s="92"/>
    </row>
    <row r="306">
      <c r="A306" s="70"/>
      <c r="B306" s="70"/>
      <c r="P306" s="92"/>
    </row>
    <row r="307">
      <c r="A307" s="70"/>
      <c r="B307" s="70"/>
      <c r="P307" s="92"/>
    </row>
    <row r="308">
      <c r="A308" s="70"/>
      <c r="B308" s="70"/>
      <c r="P308" s="92"/>
    </row>
    <row r="309">
      <c r="A309" s="70"/>
      <c r="B309" s="70"/>
      <c r="P309" s="92"/>
    </row>
    <row r="310">
      <c r="A310" s="70"/>
      <c r="B310" s="70"/>
      <c r="P310" s="92"/>
    </row>
    <row r="311">
      <c r="A311" s="70"/>
      <c r="B311" s="70"/>
      <c r="P311" s="92"/>
    </row>
    <row r="312">
      <c r="A312" s="70"/>
      <c r="B312" s="70"/>
      <c r="P312" s="92"/>
    </row>
    <row r="313">
      <c r="A313" s="70"/>
      <c r="B313" s="70"/>
      <c r="P313" s="92"/>
    </row>
    <row r="314">
      <c r="A314" s="70"/>
      <c r="B314" s="70"/>
      <c r="P314" s="92"/>
    </row>
    <row r="315">
      <c r="A315" s="70"/>
      <c r="B315" s="70"/>
      <c r="P315" s="92"/>
    </row>
    <row r="316">
      <c r="A316" s="70"/>
      <c r="B316" s="70"/>
      <c r="P316" s="92"/>
    </row>
    <row r="317">
      <c r="A317" s="70"/>
      <c r="B317" s="70"/>
      <c r="P317" s="92"/>
    </row>
    <row r="318">
      <c r="A318" s="70"/>
      <c r="B318" s="70"/>
      <c r="P318" s="92"/>
    </row>
    <row r="319">
      <c r="A319" s="70"/>
      <c r="B319" s="70"/>
      <c r="P319" s="92"/>
    </row>
    <row r="320">
      <c r="A320" s="70"/>
      <c r="B320" s="70"/>
      <c r="P320" s="92"/>
    </row>
    <row r="321">
      <c r="A321" s="70"/>
      <c r="B321" s="70"/>
      <c r="P321" s="92"/>
    </row>
    <row r="322">
      <c r="A322" s="70"/>
      <c r="B322" s="70"/>
      <c r="P322" s="92"/>
    </row>
    <row r="323">
      <c r="A323" s="70"/>
      <c r="B323" s="70"/>
      <c r="P323" s="92"/>
    </row>
    <row r="324">
      <c r="A324" s="70"/>
      <c r="B324" s="70"/>
      <c r="P324" s="92"/>
    </row>
    <row r="325">
      <c r="A325" s="70"/>
      <c r="B325" s="70"/>
      <c r="P325" s="92"/>
    </row>
    <row r="326">
      <c r="A326" s="70"/>
      <c r="B326" s="70"/>
      <c r="P326" s="92"/>
    </row>
    <row r="327">
      <c r="A327" s="70"/>
      <c r="B327" s="70"/>
      <c r="P327" s="92"/>
    </row>
    <row r="328">
      <c r="A328" s="70"/>
      <c r="B328" s="70"/>
      <c r="P328" s="92"/>
    </row>
    <row r="329">
      <c r="A329" s="70"/>
      <c r="B329" s="70"/>
      <c r="P329" s="92"/>
    </row>
    <row r="330">
      <c r="A330" s="70"/>
      <c r="B330" s="70"/>
      <c r="P330" s="92"/>
    </row>
    <row r="331">
      <c r="A331" s="70"/>
      <c r="B331" s="70"/>
      <c r="P331" s="92"/>
    </row>
    <row r="332">
      <c r="A332" s="70"/>
      <c r="B332" s="70"/>
      <c r="P332" s="92"/>
    </row>
    <row r="333">
      <c r="A333" s="70"/>
      <c r="B333" s="70"/>
      <c r="P333" s="92"/>
    </row>
    <row r="334">
      <c r="A334" s="70"/>
      <c r="B334" s="70"/>
      <c r="P334" s="92"/>
    </row>
    <row r="335">
      <c r="A335" s="70"/>
      <c r="B335" s="70"/>
      <c r="P335" s="92"/>
    </row>
    <row r="336">
      <c r="A336" s="70"/>
      <c r="B336" s="70"/>
      <c r="P336" s="92"/>
    </row>
    <row r="337">
      <c r="A337" s="70"/>
      <c r="B337" s="70"/>
      <c r="P337" s="92"/>
    </row>
    <row r="338">
      <c r="A338" s="70"/>
      <c r="B338" s="70"/>
      <c r="P338" s="92"/>
    </row>
    <row r="339">
      <c r="A339" s="70"/>
      <c r="B339" s="70"/>
      <c r="P339" s="92"/>
    </row>
    <row r="340">
      <c r="A340" s="70"/>
      <c r="B340" s="70"/>
      <c r="P340" s="92"/>
    </row>
    <row r="341">
      <c r="A341" s="70"/>
      <c r="B341" s="70"/>
      <c r="P341" s="92"/>
    </row>
    <row r="342">
      <c r="A342" s="70"/>
      <c r="B342" s="70"/>
      <c r="P342" s="92"/>
    </row>
    <row r="343">
      <c r="A343" s="70"/>
      <c r="B343" s="70"/>
      <c r="P343" s="92"/>
    </row>
    <row r="344">
      <c r="A344" s="70"/>
      <c r="B344" s="70"/>
      <c r="P344" s="92"/>
    </row>
    <row r="345">
      <c r="A345" s="70"/>
      <c r="B345" s="70"/>
      <c r="P345" s="92"/>
    </row>
    <row r="346">
      <c r="A346" s="70"/>
      <c r="B346" s="70"/>
      <c r="P346" s="92"/>
    </row>
    <row r="347">
      <c r="A347" s="70"/>
      <c r="B347" s="70"/>
      <c r="P347" s="92"/>
    </row>
    <row r="348">
      <c r="A348" s="70"/>
      <c r="B348" s="70"/>
      <c r="P348" s="92"/>
    </row>
    <row r="349">
      <c r="A349" s="70"/>
      <c r="B349" s="70"/>
      <c r="P349" s="92"/>
    </row>
    <row r="350">
      <c r="A350" s="70"/>
      <c r="B350" s="70"/>
      <c r="P350" s="92"/>
    </row>
    <row r="351">
      <c r="A351" s="70"/>
      <c r="B351" s="70"/>
      <c r="P351" s="92"/>
    </row>
    <row r="352">
      <c r="A352" s="70"/>
      <c r="B352" s="70"/>
      <c r="P352" s="92"/>
    </row>
    <row r="353">
      <c r="A353" s="70"/>
      <c r="B353" s="70"/>
      <c r="P353" s="92"/>
    </row>
    <row r="354">
      <c r="A354" s="70"/>
      <c r="B354" s="70"/>
      <c r="P354" s="92"/>
    </row>
    <row r="355">
      <c r="A355" s="70"/>
      <c r="B355" s="70"/>
      <c r="P355" s="92"/>
    </row>
    <row r="356">
      <c r="A356" s="70"/>
      <c r="B356" s="70"/>
      <c r="P356" s="92"/>
    </row>
    <row r="357">
      <c r="A357" s="70"/>
      <c r="B357" s="70"/>
      <c r="P357" s="92"/>
    </row>
    <row r="358">
      <c r="A358" s="70"/>
      <c r="B358" s="70"/>
      <c r="P358" s="92"/>
    </row>
    <row r="359">
      <c r="A359" s="70"/>
      <c r="B359" s="70"/>
      <c r="P359" s="92"/>
    </row>
    <row r="360">
      <c r="A360" s="70"/>
      <c r="B360" s="70"/>
      <c r="P360" s="92"/>
    </row>
    <row r="361">
      <c r="A361" s="70"/>
      <c r="B361" s="70"/>
      <c r="P361" s="92"/>
    </row>
    <row r="362">
      <c r="A362" s="70"/>
      <c r="B362" s="70"/>
      <c r="P362" s="92"/>
    </row>
    <row r="363">
      <c r="A363" s="70"/>
      <c r="B363" s="70"/>
      <c r="P363" s="92"/>
    </row>
    <row r="364">
      <c r="A364" s="70"/>
      <c r="B364" s="70"/>
      <c r="P364" s="92"/>
    </row>
    <row r="365">
      <c r="A365" s="70"/>
      <c r="B365" s="70"/>
      <c r="P365" s="92"/>
    </row>
    <row r="366">
      <c r="A366" s="70"/>
      <c r="B366" s="70"/>
      <c r="P366" s="92"/>
    </row>
    <row r="367">
      <c r="A367" s="70"/>
      <c r="B367" s="70"/>
      <c r="P367" s="92"/>
    </row>
    <row r="368">
      <c r="A368" s="70"/>
      <c r="B368" s="70"/>
      <c r="P368" s="92"/>
    </row>
    <row r="369">
      <c r="A369" s="70"/>
      <c r="B369" s="70"/>
      <c r="P369" s="92"/>
    </row>
    <row r="370">
      <c r="A370" s="70"/>
      <c r="B370" s="70"/>
      <c r="P370" s="92"/>
    </row>
    <row r="371">
      <c r="A371" s="70"/>
      <c r="B371" s="70"/>
      <c r="P371" s="92"/>
    </row>
    <row r="372">
      <c r="A372" s="70"/>
      <c r="B372" s="70"/>
      <c r="P372" s="92"/>
    </row>
    <row r="373">
      <c r="A373" s="70"/>
      <c r="B373" s="70"/>
      <c r="P373" s="92"/>
    </row>
    <row r="374">
      <c r="A374" s="70"/>
      <c r="B374" s="70"/>
      <c r="P374" s="92"/>
    </row>
    <row r="375">
      <c r="A375" s="70"/>
      <c r="B375" s="70"/>
      <c r="P375" s="92"/>
    </row>
    <row r="376">
      <c r="A376" s="70"/>
      <c r="B376" s="70"/>
      <c r="P376" s="92"/>
    </row>
    <row r="377">
      <c r="A377" s="70"/>
      <c r="B377" s="70"/>
      <c r="P377" s="92"/>
    </row>
    <row r="378">
      <c r="A378" s="70"/>
      <c r="B378" s="70"/>
      <c r="P378" s="92"/>
    </row>
    <row r="379">
      <c r="A379" s="70"/>
      <c r="B379" s="70"/>
      <c r="P379" s="92"/>
    </row>
    <row r="380">
      <c r="A380" s="70"/>
      <c r="B380" s="70"/>
      <c r="P380" s="92"/>
    </row>
    <row r="381">
      <c r="A381" s="70"/>
      <c r="B381" s="70"/>
      <c r="P381" s="92"/>
    </row>
    <row r="382">
      <c r="A382" s="70"/>
      <c r="B382" s="70"/>
      <c r="P382" s="92"/>
    </row>
    <row r="383">
      <c r="A383" s="70"/>
      <c r="B383" s="70"/>
      <c r="P383" s="92"/>
    </row>
    <row r="384">
      <c r="A384" s="70"/>
      <c r="B384" s="70"/>
      <c r="P384" s="92"/>
    </row>
    <row r="385">
      <c r="A385" s="70"/>
      <c r="B385" s="70"/>
      <c r="P385" s="92"/>
    </row>
    <row r="386">
      <c r="A386" s="70"/>
      <c r="B386" s="70"/>
      <c r="P386" s="92"/>
    </row>
    <row r="387">
      <c r="A387" s="70"/>
      <c r="B387" s="70"/>
      <c r="P387" s="92"/>
    </row>
    <row r="388">
      <c r="A388" s="70"/>
      <c r="B388" s="70"/>
      <c r="P388" s="92"/>
    </row>
    <row r="389">
      <c r="A389" s="70"/>
      <c r="B389" s="70"/>
      <c r="P389" s="92"/>
    </row>
    <row r="390">
      <c r="A390" s="70"/>
      <c r="B390" s="70"/>
      <c r="P390" s="92"/>
    </row>
    <row r="391">
      <c r="A391" s="70"/>
      <c r="B391" s="70"/>
      <c r="P391" s="92"/>
    </row>
    <row r="392">
      <c r="A392" s="70"/>
      <c r="B392" s="70"/>
      <c r="P392" s="92"/>
    </row>
    <row r="393">
      <c r="A393" s="70"/>
      <c r="B393" s="70"/>
      <c r="P393" s="92"/>
    </row>
    <row r="394">
      <c r="A394" s="70"/>
      <c r="B394" s="70"/>
      <c r="P394" s="92"/>
    </row>
    <row r="395">
      <c r="A395" s="70"/>
      <c r="B395" s="70"/>
      <c r="P395" s="92"/>
    </row>
    <row r="396">
      <c r="A396" s="70"/>
      <c r="B396" s="70"/>
      <c r="P396" s="92"/>
    </row>
    <row r="397">
      <c r="A397" s="70"/>
      <c r="B397" s="70"/>
      <c r="P397" s="92"/>
    </row>
    <row r="398">
      <c r="A398" s="70"/>
      <c r="B398" s="70"/>
      <c r="P398" s="92"/>
    </row>
    <row r="399">
      <c r="A399" s="70"/>
      <c r="B399" s="70"/>
      <c r="P399" s="92"/>
    </row>
    <row r="400">
      <c r="A400" s="70"/>
      <c r="B400" s="70"/>
      <c r="P400" s="92"/>
    </row>
    <row r="401">
      <c r="A401" s="70"/>
      <c r="B401" s="70"/>
      <c r="P401" s="92"/>
    </row>
    <row r="402">
      <c r="A402" s="70"/>
      <c r="B402" s="70"/>
      <c r="P402" s="92"/>
    </row>
    <row r="403">
      <c r="A403" s="70"/>
      <c r="B403" s="70"/>
      <c r="P403" s="92"/>
    </row>
    <row r="404">
      <c r="A404" s="70"/>
      <c r="B404" s="70"/>
      <c r="P404" s="92"/>
    </row>
    <row r="405">
      <c r="A405" s="70"/>
      <c r="B405" s="70"/>
      <c r="P405" s="92"/>
    </row>
    <row r="406">
      <c r="A406" s="70"/>
      <c r="B406" s="70"/>
      <c r="P406" s="92"/>
    </row>
    <row r="407">
      <c r="A407" s="70"/>
      <c r="B407" s="70"/>
      <c r="P407" s="92"/>
    </row>
    <row r="408">
      <c r="A408" s="70"/>
      <c r="B408" s="70"/>
      <c r="P408" s="92"/>
    </row>
    <row r="409">
      <c r="A409" s="70"/>
      <c r="B409" s="70"/>
      <c r="P409" s="92"/>
    </row>
    <row r="410">
      <c r="A410" s="70"/>
      <c r="B410" s="70"/>
      <c r="P410" s="92"/>
    </row>
    <row r="411">
      <c r="A411" s="70"/>
      <c r="B411" s="70"/>
      <c r="P411" s="92"/>
    </row>
    <row r="412">
      <c r="A412" s="70"/>
      <c r="B412" s="70"/>
      <c r="P412" s="92"/>
    </row>
    <row r="413">
      <c r="A413" s="70"/>
      <c r="B413" s="70"/>
      <c r="P413" s="92"/>
    </row>
    <row r="414">
      <c r="A414" s="70"/>
      <c r="B414" s="70"/>
      <c r="P414" s="92"/>
    </row>
    <row r="415">
      <c r="A415" s="70"/>
      <c r="B415" s="70"/>
      <c r="P415" s="92"/>
    </row>
    <row r="416">
      <c r="A416" s="70"/>
      <c r="B416" s="70"/>
      <c r="P416" s="92"/>
    </row>
    <row r="417">
      <c r="A417" s="70"/>
      <c r="B417" s="70"/>
      <c r="P417" s="92"/>
    </row>
    <row r="418">
      <c r="A418" s="70"/>
      <c r="B418" s="70"/>
      <c r="P418" s="92"/>
    </row>
    <row r="419">
      <c r="A419" s="70"/>
      <c r="B419" s="70"/>
      <c r="P419" s="92"/>
    </row>
    <row r="420">
      <c r="A420" s="70"/>
      <c r="B420" s="70"/>
      <c r="P420" s="92"/>
    </row>
    <row r="421">
      <c r="A421" s="70"/>
      <c r="B421" s="70"/>
      <c r="P421" s="92"/>
    </row>
    <row r="422">
      <c r="A422" s="70"/>
      <c r="B422" s="70"/>
      <c r="P422" s="92"/>
    </row>
    <row r="423">
      <c r="A423" s="70"/>
      <c r="B423" s="70"/>
      <c r="P423" s="92"/>
    </row>
    <row r="424">
      <c r="A424" s="70"/>
      <c r="B424" s="70"/>
      <c r="P424" s="92"/>
    </row>
    <row r="425">
      <c r="A425" s="70"/>
      <c r="B425" s="70"/>
      <c r="P425" s="92"/>
    </row>
    <row r="426">
      <c r="A426" s="70"/>
      <c r="B426" s="70"/>
      <c r="P426" s="92"/>
    </row>
    <row r="427">
      <c r="A427" s="70"/>
      <c r="B427" s="70"/>
      <c r="P427" s="92"/>
    </row>
    <row r="428">
      <c r="A428" s="70"/>
      <c r="B428" s="70"/>
      <c r="P428" s="92"/>
    </row>
    <row r="429">
      <c r="A429" s="70"/>
      <c r="B429" s="70"/>
      <c r="P429" s="92"/>
    </row>
    <row r="430">
      <c r="A430" s="70"/>
      <c r="B430" s="70"/>
      <c r="P430" s="92"/>
    </row>
    <row r="431">
      <c r="A431" s="70"/>
      <c r="B431" s="70"/>
      <c r="P431" s="92"/>
    </row>
    <row r="432">
      <c r="A432" s="70"/>
      <c r="B432" s="70"/>
      <c r="P432" s="92"/>
    </row>
    <row r="433">
      <c r="A433" s="70"/>
      <c r="B433" s="70"/>
      <c r="P433" s="92"/>
    </row>
    <row r="434">
      <c r="A434" s="70"/>
      <c r="B434" s="70"/>
      <c r="P434" s="92"/>
    </row>
    <row r="435">
      <c r="A435" s="70"/>
      <c r="B435" s="70"/>
      <c r="P435" s="92"/>
    </row>
    <row r="436">
      <c r="A436" s="70"/>
      <c r="B436" s="70"/>
      <c r="P436" s="92"/>
    </row>
    <row r="437">
      <c r="A437" s="70"/>
      <c r="B437" s="70"/>
      <c r="P437" s="92"/>
    </row>
    <row r="438">
      <c r="A438" s="70"/>
      <c r="B438" s="70"/>
      <c r="P438" s="92"/>
    </row>
    <row r="439">
      <c r="A439" s="70"/>
      <c r="B439" s="70"/>
      <c r="P439" s="92"/>
    </row>
    <row r="440">
      <c r="A440" s="70"/>
      <c r="B440" s="70"/>
      <c r="P440" s="92"/>
    </row>
    <row r="441">
      <c r="A441" s="70"/>
      <c r="B441" s="70"/>
      <c r="P441" s="92"/>
    </row>
    <row r="442">
      <c r="A442" s="70"/>
      <c r="B442" s="70"/>
      <c r="P442" s="92"/>
    </row>
    <row r="443">
      <c r="A443" s="70"/>
      <c r="B443" s="70"/>
      <c r="P443" s="92"/>
    </row>
    <row r="444">
      <c r="A444" s="70"/>
      <c r="B444" s="70"/>
      <c r="P444" s="92"/>
    </row>
    <row r="445">
      <c r="A445" s="70"/>
      <c r="B445" s="70"/>
      <c r="P445" s="92"/>
    </row>
    <row r="446">
      <c r="A446" s="70"/>
      <c r="B446" s="70"/>
      <c r="P446" s="92"/>
    </row>
    <row r="447">
      <c r="A447" s="70"/>
      <c r="B447" s="70"/>
      <c r="P447" s="92"/>
    </row>
    <row r="448">
      <c r="A448" s="70"/>
      <c r="B448" s="70"/>
      <c r="P448" s="92"/>
    </row>
    <row r="449">
      <c r="A449" s="70"/>
      <c r="B449" s="70"/>
      <c r="P449" s="92"/>
    </row>
    <row r="450">
      <c r="A450" s="70"/>
      <c r="B450" s="70"/>
      <c r="P450" s="92"/>
    </row>
    <row r="451">
      <c r="A451" s="70"/>
      <c r="B451" s="70"/>
      <c r="P451" s="92"/>
    </row>
    <row r="452">
      <c r="A452" s="70"/>
      <c r="B452" s="70"/>
      <c r="P452" s="92"/>
    </row>
    <row r="453">
      <c r="A453" s="70"/>
      <c r="B453" s="70"/>
      <c r="P453" s="92"/>
    </row>
    <row r="454">
      <c r="A454" s="70"/>
      <c r="B454" s="70"/>
      <c r="P454" s="92"/>
    </row>
    <row r="455">
      <c r="A455" s="70"/>
      <c r="B455" s="70"/>
      <c r="P455" s="92"/>
    </row>
    <row r="456">
      <c r="A456" s="70"/>
      <c r="B456" s="70"/>
      <c r="P456" s="92"/>
    </row>
    <row r="457">
      <c r="A457" s="70"/>
      <c r="B457" s="70"/>
      <c r="P457" s="92"/>
    </row>
    <row r="458">
      <c r="A458" s="70"/>
      <c r="B458" s="70"/>
      <c r="P458" s="92"/>
    </row>
    <row r="459">
      <c r="A459" s="70"/>
      <c r="B459" s="70"/>
      <c r="P459" s="92"/>
    </row>
    <row r="460">
      <c r="A460" s="70"/>
      <c r="B460" s="70"/>
      <c r="P460" s="92"/>
    </row>
    <row r="461">
      <c r="A461" s="70"/>
      <c r="B461" s="70"/>
      <c r="P461" s="92"/>
    </row>
    <row r="462">
      <c r="A462" s="70"/>
      <c r="B462" s="70"/>
      <c r="P462" s="92"/>
    </row>
    <row r="463">
      <c r="A463" s="70"/>
      <c r="B463" s="70"/>
      <c r="P463" s="92"/>
    </row>
    <row r="464">
      <c r="A464" s="70"/>
      <c r="B464" s="70"/>
      <c r="P464" s="92"/>
    </row>
    <row r="465">
      <c r="A465" s="70"/>
      <c r="B465" s="70"/>
      <c r="P465" s="92"/>
    </row>
    <row r="466">
      <c r="A466" s="70"/>
      <c r="B466" s="70"/>
      <c r="P466" s="92"/>
    </row>
    <row r="467">
      <c r="A467" s="70"/>
      <c r="B467" s="70"/>
      <c r="P467" s="92"/>
    </row>
    <row r="468">
      <c r="A468" s="70"/>
      <c r="B468" s="70"/>
      <c r="P468" s="92"/>
    </row>
    <row r="469">
      <c r="A469" s="70"/>
      <c r="B469" s="70"/>
      <c r="P469" s="92"/>
    </row>
    <row r="470">
      <c r="A470" s="70"/>
      <c r="B470" s="70"/>
      <c r="P470" s="92"/>
    </row>
    <row r="471">
      <c r="A471" s="70"/>
      <c r="B471" s="70"/>
      <c r="P471" s="92"/>
    </row>
    <row r="472">
      <c r="A472" s="70"/>
      <c r="B472" s="70"/>
      <c r="P472" s="92"/>
    </row>
    <row r="473">
      <c r="A473" s="70"/>
      <c r="B473" s="70"/>
      <c r="P473" s="92"/>
    </row>
    <row r="474">
      <c r="A474" s="70"/>
      <c r="B474" s="70"/>
      <c r="P474" s="92"/>
    </row>
    <row r="475">
      <c r="A475" s="70"/>
      <c r="B475" s="70"/>
      <c r="P475" s="92"/>
    </row>
    <row r="476">
      <c r="A476" s="70"/>
      <c r="B476" s="70"/>
      <c r="P476" s="92"/>
    </row>
    <row r="477">
      <c r="A477" s="70"/>
      <c r="B477" s="70"/>
      <c r="P477" s="92"/>
    </row>
    <row r="478">
      <c r="A478" s="70"/>
      <c r="B478" s="70"/>
      <c r="P478" s="92"/>
    </row>
    <row r="479">
      <c r="A479" s="70"/>
      <c r="B479" s="70"/>
      <c r="P479" s="92"/>
    </row>
    <row r="480">
      <c r="A480" s="70"/>
      <c r="B480" s="70"/>
      <c r="P480" s="92"/>
    </row>
    <row r="481">
      <c r="A481" s="70"/>
      <c r="B481" s="70"/>
      <c r="P481" s="92"/>
    </row>
    <row r="482">
      <c r="A482" s="70"/>
      <c r="B482" s="70"/>
      <c r="P482" s="92"/>
    </row>
    <row r="483">
      <c r="A483" s="70"/>
      <c r="B483" s="70"/>
      <c r="P483" s="92"/>
    </row>
    <row r="484">
      <c r="A484" s="70"/>
      <c r="B484" s="70"/>
      <c r="P484" s="92"/>
    </row>
    <row r="485">
      <c r="A485" s="70"/>
      <c r="B485" s="70"/>
      <c r="P485" s="92"/>
    </row>
    <row r="486">
      <c r="A486" s="70"/>
      <c r="B486" s="70"/>
      <c r="P486" s="92"/>
    </row>
    <row r="487">
      <c r="A487" s="70"/>
      <c r="B487" s="70"/>
      <c r="P487" s="92"/>
    </row>
    <row r="488">
      <c r="A488" s="70"/>
      <c r="B488" s="70"/>
      <c r="P488" s="92"/>
    </row>
    <row r="489">
      <c r="A489" s="70"/>
      <c r="B489" s="70"/>
      <c r="P489" s="92"/>
    </row>
    <row r="490">
      <c r="A490" s="70"/>
      <c r="B490" s="70"/>
      <c r="P490" s="92"/>
    </row>
    <row r="491">
      <c r="A491" s="70"/>
      <c r="B491" s="70"/>
      <c r="P491" s="92"/>
    </row>
    <row r="492">
      <c r="A492" s="70"/>
      <c r="B492" s="70"/>
      <c r="P492" s="92"/>
    </row>
    <row r="493">
      <c r="A493" s="70"/>
      <c r="B493" s="70"/>
      <c r="P493" s="92"/>
    </row>
    <row r="494">
      <c r="A494" s="70"/>
      <c r="B494" s="70"/>
      <c r="P494" s="92"/>
    </row>
    <row r="495">
      <c r="A495" s="70"/>
      <c r="B495" s="70"/>
      <c r="P495" s="92"/>
    </row>
    <row r="496">
      <c r="A496" s="70"/>
      <c r="B496" s="70"/>
      <c r="P496" s="92"/>
    </row>
    <row r="497">
      <c r="A497" s="70"/>
      <c r="B497" s="70"/>
      <c r="P497" s="92"/>
    </row>
    <row r="498">
      <c r="A498" s="70"/>
      <c r="B498" s="70"/>
      <c r="P498" s="92"/>
    </row>
    <row r="499">
      <c r="A499" s="70"/>
      <c r="B499" s="70"/>
      <c r="P499" s="92"/>
    </row>
    <row r="500">
      <c r="A500" s="70"/>
      <c r="B500" s="70"/>
      <c r="P500" s="92"/>
    </row>
    <row r="501">
      <c r="A501" s="70"/>
      <c r="B501" s="70"/>
      <c r="P501" s="92"/>
    </row>
    <row r="502">
      <c r="A502" s="70"/>
      <c r="B502" s="70"/>
      <c r="P502" s="92"/>
    </row>
    <row r="503">
      <c r="A503" s="70"/>
      <c r="B503" s="70"/>
      <c r="P503" s="92"/>
    </row>
    <row r="504">
      <c r="A504" s="70"/>
      <c r="B504" s="70"/>
      <c r="P504" s="92"/>
    </row>
    <row r="505">
      <c r="A505" s="70"/>
      <c r="B505" s="70"/>
      <c r="P505" s="92"/>
    </row>
    <row r="506">
      <c r="A506" s="70"/>
      <c r="B506" s="70"/>
      <c r="P506" s="92"/>
    </row>
    <row r="507">
      <c r="A507" s="70"/>
      <c r="B507" s="70"/>
      <c r="P507" s="92"/>
    </row>
    <row r="508">
      <c r="A508" s="70"/>
      <c r="B508" s="70"/>
      <c r="P508" s="92"/>
    </row>
    <row r="509">
      <c r="A509" s="70"/>
      <c r="B509" s="70"/>
      <c r="P509" s="92"/>
    </row>
    <row r="510">
      <c r="A510" s="70"/>
      <c r="B510" s="70"/>
      <c r="P510" s="92"/>
    </row>
    <row r="511">
      <c r="A511" s="70"/>
      <c r="B511" s="70"/>
      <c r="P511" s="92"/>
    </row>
    <row r="512">
      <c r="A512" s="70"/>
      <c r="B512" s="70"/>
      <c r="P512" s="92"/>
    </row>
    <row r="513">
      <c r="A513" s="70"/>
      <c r="B513" s="70"/>
      <c r="P513" s="92"/>
    </row>
    <row r="514">
      <c r="A514" s="70"/>
      <c r="B514" s="70"/>
      <c r="P514" s="92"/>
    </row>
    <row r="515">
      <c r="A515" s="70"/>
      <c r="B515" s="70"/>
      <c r="P515" s="92"/>
    </row>
    <row r="516">
      <c r="A516" s="70"/>
      <c r="B516" s="70"/>
      <c r="P516" s="92"/>
    </row>
    <row r="517">
      <c r="A517" s="70"/>
      <c r="B517" s="70"/>
      <c r="P517" s="92"/>
    </row>
    <row r="518">
      <c r="A518" s="70"/>
      <c r="B518" s="70"/>
      <c r="P518" s="92"/>
    </row>
    <row r="519">
      <c r="A519" s="70"/>
      <c r="B519" s="70"/>
      <c r="P519" s="92"/>
    </row>
    <row r="520">
      <c r="A520" s="70"/>
      <c r="B520" s="70"/>
      <c r="P520" s="92"/>
    </row>
    <row r="521">
      <c r="A521" s="70"/>
      <c r="B521" s="70"/>
      <c r="P521" s="92"/>
    </row>
    <row r="522">
      <c r="A522" s="70"/>
      <c r="B522" s="70"/>
      <c r="P522" s="92"/>
    </row>
    <row r="523">
      <c r="A523" s="70"/>
      <c r="B523" s="70"/>
      <c r="P523" s="92"/>
    </row>
    <row r="524">
      <c r="A524" s="70"/>
      <c r="B524" s="70"/>
      <c r="P524" s="92"/>
    </row>
    <row r="525">
      <c r="A525" s="70"/>
      <c r="B525" s="70"/>
      <c r="P525" s="92"/>
    </row>
    <row r="526">
      <c r="A526" s="70"/>
      <c r="B526" s="70"/>
      <c r="P526" s="92"/>
    </row>
    <row r="527">
      <c r="A527" s="70"/>
      <c r="B527" s="70"/>
      <c r="P527" s="92"/>
    </row>
    <row r="528">
      <c r="A528" s="70"/>
      <c r="B528" s="70"/>
      <c r="P528" s="92"/>
    </row>
    <row r="529">
      <c r="A529" s="70"/>
      <c r="B529" s="70"/>
      <c r="P529" s="92"/>
    </row>
    <row r="530">
      <c r="A530" s="70"/>
      <c r="B530" s="70"/>
      <c r="P530" s="92"/>
    </row>
    <row r="531">
      <c r="A531" s="70"/>
      <c r="B531" s="70"/>
      <c r="P531" s="92"/>
    </row>
    <row r="532">
      <c r="A532" s="70"/>
      <c r="B532" s="70"/>
      <c r="P532" s="92"/>
    </row>
    <row r="533">
      <c r="A533" s="70"/>
      <c r="B533" s="70"/>
      <c r="P533" s="92"/>
    </row>
    <row r="534">
      <c r="A534" s="70"/>
      <c r="B534" s="70"/>
      <c r="P534" s="92"/>
    </row>
    <row r="535">
      <c r="A535" s="70"/>
      <c r="B535" s="70"/>
      <c r="P535" s="92"/>
    </row>
    <row r="536">
      <c r="A536" s="70"/>
      <c r="B536" s="70"/>
      <c r="P536" s="92"/>
    </row>
    <row r="537">
      <c r="A537" s="70"/>
      <c r="B537" s="70"/>
      <c r="P537" s="92"/>
    </row>
    <row r="538">
      <c r="A538" s="70"/>
      <c r="B538" s="70"/>
      <c r="P538" s="92"/>
    </row>
    <row r="539">
      <c r="A539" s="70"/>
      <c r="B539" s="70"/>
      <c r="P539" s="92"/>
    </row>
    <row r="540">
      <c r="A540" s="70"/>
      <c r="B540" s="70"/>
      <c r="P540" s="92"/>
    </row>
    <row r="541">
      <c r="A541" s="70"/>
      <c r="B541" s="70"/>
      <c r="P541" s="92"/>
    </row>
    <row r="542">
      <c r="A542" s="70"/>
      <c r="B542" s="70"/>
      <c r="P542" s="92"/>
    </row>
    <row r="543">
      <c r="A543" s="70"/>
      <c r="B543" s="70"/>
      <c r="P543" s="92"/>
    </row>
    <row r="544">
      <c r="A544" s="70"/>
      <c r="B544" s="70"/>
      <c r="P544" s="92"/>
    </row>
    <row r="545">
      <c r="A545" s="70"/>
      <c r="B545" s="70"/>
      <c r="P545" s="92"/>
    </row>
    <row r="546">
      <c r="A546" s="70"/>
      <c r="B546" s="70"/>
      <c r="P546" s="92"/>
    </row>
    <row r="547">
      <c r="A547" s="70"/>
      <c r="B547" s="70"/>
      <c r="P547" s="92"/>
    </row>
    <row r="548">
      <c r="A548" s="70"/>
      <c r="B548" s="70"/>
      <c r="P548" s="92"/>
    </row>
    <row r="549">
      <c r="A549" s="70"/>
      <c r="B549" s="70"/>
      <c r="P549" s="92"/>
    </row>
    <row r="550">
      <c r="A550" s="70"/>
      <c r="B550" s="70"/>
      <c r="P550" s="92"/>
    </row>
    <row r="551">
      <c r="A551" s="70"/>
      <c r="B551" s="70"/>
      <c r="P551" s="92"/>
    </row>
    <row r="552">
      <c r="A552" s="70"/>
      <c r="B552" s="70"/>
      <c r="P552" s="92"/>
    </row>
    <row r="553">
      <c r="A553" s="70"/>
      <c r="B553" s="70"/>
      <c r="P553" s="92"/>
    </row>
    <row r="554">
      <c r="A554" s="70"/>
      <c r="B554" s="70"/>
      <c r="P554" s="92"/>
    </row>
    <row r="555">
      <c r="A555" s="70"/>
      <c r="B555" s="70"/>
      <c r="P555" s="92"/>
    </row>
    <row r="556">
      <c r="A556" s="70"/>
      <c r="B556" s="70"/>
      <c r="P556" s="92"/>
    </row>
    <row r="557">
      <c r="A557" s="70"/>
      <c r="B557" s="70"/>
      <c r="P557" s="92"/>
    </row>
    <row r="558">
      <c r="A558" s="70"/>
      <c r="B558" s="70"/>
      <c r="P558" s="92"/>
    </row>
    <row r="559">
      <c r="A559" s="70"/>
      <c r="B559" s="70"/>
      <c r="P559" s="92"/>
    </row>
    <row r="560">
      <c r="A560" s="70"/>
      <c r="B560" s="70"/>
      <c r="P560" s="92"/>
    </row>
    <row r="561">
      <c r="A561" s="70"/>
      <c r="B561" s="70"/>
      <c r="P561" s="92"/>
    </row>
    <row r="562">
      <c r="A562" s="70"/>
      <c r="B562" s="70"/>
      <c r="P562" s="92"/>
    </row>
    <row r="563">
      <c r="A563" s="70"/>
      <c r="B563" s="70"/>
      <c r="P563" s="92"/>
    </row>
    <row r="564">
      <c r="A564" s="70"/>
      <c r="B564" s="70"/>
      <c r="P564" s="92"/>
    </row>
    <row r="565">
      <c r="A565" s="70"/>
      <c r="B565" s="70"/>
      <c r="P565" s="92"/>
    </row>
    <row r="566">
      <c r="A566" s="70"/>
      <c r="B566" s="70"/>
      <c r="P566" s="92"/>
    </row>
    <row r="567">
      <c r="A567" s="70"/>
      <c r="B567" s="70"/>
      <c r="P567" s="92"/>
    </row>
    <row r="568">
      <c r="A568" s="70"/>
      <c r="B568" s="70"/>
      <c r="P568" s="92"/>
    </row>
    <row r="569">
      <c r="A569" s="70"/>
      <c r="B569" s="70"/>
      <c r="P569" s="92"/>
    </row>
    <row r="570">
      <c r="A570" s="70"/>
      <c r="B570" s="70"/>
      <c r="P570" s="92"/>
    </row>
    <row r="571">
      <c r="A571" s="70"/>
      <c r="B571" s="70"/>
      <c r="P571" s="92"/>
    </row>
    <row r="572">
      <c r="A572" s="70"/>
      <c r="B572" s="70"/>
      <c r="P572" s="92"/>
    </row>
    <row r="573">
      <c r="A573" s="70"/>
      <c r="B573" s="70"/>
      <c r="P573" s="92"/>
    </row>
    <row r="574">
      <c r="A574" s="70"/>
      <c r="B574" s="70"/>
      <c r="P574" s="92"/>
    </row>
    <row r="575">
      <c r="A575" s="70"/>
      <c r="B575" s="70"/>
      <c r="P575" s="92"/>
    </row>
    <row r="576">
      <c r="A576" s="70"/>
      <c r="B576" s="70"/>
      <c r="P576" s="92"/>
    </row>
    <row r="577">
      <c r="A577" s="70"/>
      <c r="B577" s="70"/>
      <c r="P577" s="92"/>
    </row>
    <row r="578">
      <c r="A578" s="70"/>
      <c r="B578" s="70"/>
      <c r="P578" s="92"/>
    </row>
    <row r="579">
      <c r="A579" s="70"/>
      <c r="B579" s="70"/>
      <c r="P579" s="92"/>
    </row>
    <row r="580">
      <c r="A580" s="70"/>
      <c r="B580" s="70"/>
      <c r="P580" s="92"/>
    </row>
    <row r="581">
      <c r="A581" s="70"/>
      <c r="B581" s="70"/>
      <c r="P581" s="92"/>
    </row>
    <row r="582">
      <c r="A582" s="70"/>
      <c r="B582" s="70"/>
      <c r="P582" s="92"/>
    </row>
    <row r="583">
      <c r="A583" s="70"/>
      <c r="B583" s="70"/>
      <c r="P583" s="92"/>
    </row>
    <row r="584">
      <c r="A584" s="70"/>
      <c r="B584" s="70"/>
      <c r="P584" s="92"/>
    </row>
    <row r="585">
      <c r="A585" s="70"/>
      <c r="B585" s="70"/>
      <c r="P585" s="92"/>
    </row>
    <row r="586">
      <c r="A586" s="70"/>
      <c r="B586" s="70"/>
      <c r="P586" s="92"/>
    </row>
    <row r="587">
      <c r="A587" s="70"/>
      <c r="B587" s="70"/>
      <c r="P587" s="92"/>
    </row>
    <row r="588">
      <c r="A588" s="70"/>
      <c r="B588" s="70"/>
      <c r="P588" s="92"/>
    </row>
    <row r="589">
      <c r="A589" s="70"/>
      <c r="B589" s="70"/>
      <c r="P589" s="92"/>
    </row>
    <row r="590">
      <c r="A590" s="70"/>
      <c r="B590" s="70"/>
      <c r="P590" s="92"/>
    </row>
    <row r="591">
      <c r="A591" s="70"/>
      <c r="B591" s="70"/>
      <c r="P591" s="92"/>
    </row>
    <row r="592">
      <c r="A592" s="70"/>
      <c r="B592" s="70"/>
      <c r="P592" s="92"/>
    </row>
    <row r="593">
      <c r="A593" s="70"/>
      <c r="B593" s="70"/>
      <c r="P593" s="92"/>
    </row>
    <row r="594">
      <c r="A594" s="70"/>
      <c r="B594" s="70"/>
      <c r="P594" s="92"/>
    </row>
    <row r="595">
      <c r="A595" s="70"/>
      <c r="B595" s="70"/>
      <c r="P595" s="92"/>
    </row>
    <row r="596">
      <c r="A596" s="70"/>
      <c r="B596" s="70"/>
      <c r="P596" s="92"/>
    </row>
    <row r="597">
      <c r="A597" s="70"/>
      <c r="B597" s="70"/>
      <c r="P597" s="92"/>
    </row>
    <row r="598">
      <c r="A598" s="70"/>
      <c r="B598" s="70"/>
      <c r="P598" s="92"/>
    </row>
    <row r="599">
      <c r="A599" s="70"/>
      <c r="B599" s="70"/>
      <c r="P599" s="92"/>
    </row>
    <row r="600">
      <c r="A600" s="70"/>
      <c r="B600" s="70"/>
      <c r="P600" s="92"/>
    </row>
    <row r="601">
      <c r="A601" s="70"/>
      <c r="B601" s="70"/>
      <c r="P601" s="92"/>
    </row>
    <row r="602">
      <c r="A602" s="70"/>
      <c r="B602" s="70"/>
      <c r="P602" s="92"/>
    </row>
    <row r="603">
      <c r="A603" s="70"/>
      <c r="B603" s="70"/>
      <c r="P603" s="92"/>
    </row>
    <row r="604">
      <c r="A604" s="70"/>
      <c r="B604" s="70"/>
      <c r="P604" s="92"/>
    </row>
    <row r="605">
      <c r="A605" s="70"/>
      <c r="B605" s="70"/>
      <c r="P605" s="92"/>
    </row>
    <row r="606">
      <c r="A606" s="70"/>
      <c r="B606" s="70"/>
      <c r="P606" s="92"/>
    </row>
    <row r="607">
      <c r="A607" s="70"/>
      <c r="B607" s="70"/>
      <c r="P607" s="92"/>
    </row>
    <row r="608">
      <c r="A608" s="70"/>
      <c r="B608" s="70"/>
      <c r="P608" s="92"/>
    </row>
    <row r="609">
      <c r="A609" s="70"/>
      <c r="B609" s="70"/>
      <c r="P609" s="92"/>
    </row>
    <row r="610">
      <c r="A610" s="70"/>
      <c r="B610" s="70"/>
      <c r="P610" s="92"/>
    </row>
    <row r="611">
      <c r="A611" s="70"/>
      <c r="B611" s="70"/>
      <c r="P611" s="92"/>
    </row>
    <row r="612">
      <c r="A612" s="70"/>
      <c r="B612" s="70"/>
      <c r="P612" s="92"/>
    </row>
    <row r="613">
      <c r="A613" s="70"/>
      <c r="B613" s="70"/>
      <c r="P613" s="92"/>
    </row>
    <row r="614">
      <c r="A614" s="70"/>
      <c r="B614" s="70"/>
      <c r="P614" s="92"/>
    </row>
    <row r="615">
      <c r="A615" s="70"/>
      <c r="B615" s="70"/>
      <c r="P615" s="92"/>
    </row>
    <row r="616">
      <c r="A616" s="70"/>
      <c r="B616" s="70"/>
      <c r="P616" s="92"/>
    </row>
    <row r="617">
      <c r="A617" s="70"/>
      <c r="B617" s="70"/>
      <c r="P617" s="92"/>
    </row>
    <row r="618">
      <c r="A618" s="70"/>
      <c r="B618" s="70"/>
      <c r="P618" s="92"/>
    </row>
    <row r="619">
      <c r="A619" s="70"/>
      <c r="B619" s="70"/>
      <c r="P619" s="92"/>
    </row>
    <row r="620">
      <c r="A620" s="70"/>
      <c r="B620" s="70"/>
      <c r="P620" s="92"/>
    </row>
    <row r="621">
      <c r="A621" s="70"/>
      <c r="B621" s="70"/>
      <c r="P621" s="92"/>
    </row>
    <row r="622">
      <c r="A622" s="70"/>
      <c r="B622" s="70"/>
      <c r="P622" s="92"/>
    </row>
    <row r="623">
      <c r="A623" s="70"/>
      <c r="B623" s="70"/>
      <c r="P623" s="92"/>
    </row>
    <row r="624">
      <c r="A624" s="70"/>
      <c r="B624" s="70"/>
      <c r="P624" s="92"/>
    </row>
    <row r="625">
      <c r="A625" s="70"/>
      <c r="B625" s="70"/>
      <c r="P625" s="92"/>
    </row>
    <row r="626">
      <c r="A626" s="70"/>
      <c r="B626" s="70"/>
      <c r="P626" s="92"/>
    </row>
    <row r="627">
      <c r="A627" s="70"/>
      <c r="B627" s="70"/>
      <c r="P627" s="92"/>
    </row>
    <row r="628">
      <c r="A628" s="70"/>
      <c r="B628" s="70"/>
      <c r="P628" s="92"/>
    </row>
    <row r="629">
      <c r="A629" s="70"/>
      <c r="B629" s="70"/>
      <c r="P629" s="92"/>
    </row>
    <row r="630">
      <c r="A630" s="70"/>
      <c r="B630" s="70"/>
      <c r="P630" s="92"/>
    </row>
    <row r="631">
      <c r="A631" s="70"/>
      <c r="B631" s="70"/>
      <c r="P631" s="92"/>
    </row>
    <row r="632">
      <c r="A632" s="70"/>
      <c r="B632" s="70"/>
      <c r="P632" s="92"/>
    </row>
    <row r="633">
      <c r="A633" s="70"/>
      <c r="B633" s="70"/>
      <c r="P633" s="92"/>
    </row>
    <row r="634">
      <c r="A634" s="70"/>
      <c r="B634" s="70"/>
      <c r="P634" s="92"/>
    </row>
    <row r="635">
      <c r="A635" s="70"/>
      <c r="B635" s="70"/>
      <c r="P635" s="92"/>
    </row>
    <row r="636">
      <c r="A636" s="70"/>
      <c r="B636" s="70"/>
      <c r="P636" s="92"/>
    </row>
    <row r="637">
      <c r="A637" s="70"/>
      <c r="B637" s="70"/>
      <c r="P637" s="92"/>
    </row>
    <row r="638">
      <c r="A638" s="70"/>
      <c r="B638" s="70"/>
      <c r="P638" s="92"/>
    </row>
    <row r="639">
      <c r="A639" s="70"/>
      <c r="B639" s="70"/>
      <c r="P639" s="92"/>
    </row>
    <row r="640">
      <c r="A640" s="70"/>
      <c r="B640" s="70"/>
      <c r="P640" s="92"/>
    </row>
    <row r="641">
      <c r="A641" s="70"/>
      <c r="B641" s="70"/>
      <c r="P641" s="92"/>
    </row>
    <row r="642">
      <c r="A642" s="70"/>
      <c r="B642" s="70"/>
      <c r="P642" s="92"/>
    </row>
    <row r="643">
      <c r="A643" s="70"/>
      <c r="B643" s="70"/>
      <c r="P643" s="92"/>
    </row>
    <row r="644">
      <c r="A644" s="70"/>
      <c r="B644" s="70"/>
      <c r="P644" s="92"/>
    </row>
    <row r="645">
      <c r="A645" s="70"/>
      <c r="B645" s="70"/>
      <c r="P645" s="92"/>
    </row>
    <row r="646">
      <c r="A646" s="70"/>
      <c r="B646" s="70"/>
      <c r="P646" s="92"/>
    </row>
    <row r="647">
      <c r="A647" s="70"/>
      <c r="B647" s="70"/>
      <c r="P647" s="92"/>
    </row>
    <row r="648">
      <c r="A648" s="70"/>
      <c r="B648" s="70"/>
      <c r="P648" s="92"/>
    </row>
    <row r="649">
      <c r="A649" s="70"/>
      <c r="B649" s="70"/>
      <c r="P649" s="92"/>
    </row>
    <row r="650">
      <c r="A650" s="70"/>
      <c r="B650" s="70"/>
      <c r="P650" s="92"/>
    </row>
    <row r="651">
      <c r="A651" s="70"/>
      <c r="B651" s="70"/>
      <c r="P651" s="92"/>
    </row>
    <row r="652">
      <c r="A652" s="70"/>
      <c r="B652" s="70"/>
      <c r="P652" s="92"/>
    </row>
    <row r="653">
      <c r="A653" s="70"/>
      <c r="B653" s="70"/>
      <c r="P653" s="92"/>
    </row>
    <row r="654">
      <c r="A654" s="70"/>
      <c r="B654" s="70"/>
      <c r="P654" s="92"/>
    </row>
    <row r="655">
      <c r="A655" s="70"/>
      <c r="B655" s="70"/>
      <c r="P655" s="92"/>
    </row>
    <row r="656">
      <c r="A656" s="70"/>
      <c r="B656" s="70"/>
      <c r="P656" s="92"/>
    </row>
    <row r="657">
      <c r="A657" s="70"/>
      <c r="B657" s="70"/>
      <c r="P657" s="92"/>
    </row>
    <row r="658">
      <c r="A658" s="70"/>
      <c r="B658" s="70"/>
      <c r="P658" s="92"/>
    </row>
    <row r="659">
      <c r="A659" s="70"/>
      <c r="B659" s="70"/>
      <c r="P659" s="92"/>
    </row>
    <row r="660">
      <c r="A660" s="70"/>
      <c r="B660" s="70"/>
      <c r="P660" s="92"/>
    </row>
    <row r="661">
      <c r="A661" s="70"/>
      <c r="B661" s="70"/>
      <c r="P661" s="92"/>
    </row>
    <row r="662">
      <c r="A662" s="70"/>
      <c r="B662" s="70"/>
      <c r="P662" s="92"/>
    </row>
    <row r="663">
      <c r="A663" s="70"/>
      <c r="B663" s="70"/>
      <c r="P663" s="92"/>
    </row>
    <row r="664">
      <c r="A664" s="70"/>
      <c r="B664" s="70"/>
      <c r="P664" s="92"/>
    </row>
    <row r="665">
      <c r="A665" s="70"/>
      <c r="B665" s="70"/>
      <c r="P665" s="92"/>
    </row>
    <row r="666">
      <c r="A666" s="70"/>
      <c r="B666" s="70"/>
      <c r="P666" s="92"/>
    </row>
    <row r="667">
      <c r="A667" s="70"/>
      <c r="B667" s="70"/>
      <c r="P667" s="92"/>
    </row>
    <row r="668">
      <c r="A668" s="70"/>
      <c r="B668" s="70"/>
      <c r="P668" s="92"/>
    </row>
    <row r="669">
      <c r="A669" s="70"/>
      <c r="B669" s="70"/>
      <c r="P669" s="92"/>
    </row>
    <row r="670">
      <c r="A670" s="70"/>
      <c r="B670" s="70"/>
      <c r="P670" s="92"/>
    </row>
    <row r="671">
      <c r="A671" s="70"/>
      <c r="B671" s="70"/>
      <c r="P671" s="92"/>
    </row>
    <row r="672">
      <c r="A672" s="70"/>
      <c r="B672" s="70"/>
      <c r="P672" s="92"/>
    </row>
    <row r="673">
      <c r="A673" s="70"/>
      <c r="B673" s="70"/>
      <c r="P673" s="92"/>
    </row>
    <row r="674">
      <c r="A674" s="70"/>
      <c r="B674" s="70"/>
      <c r="P674" s="92"/>
    </row>
    <row r="675">
      <c r="A675" s="70"/>
      <c r="B675" s="70"/>
      <c r="P675" s="92"/>
    </row>
    <row r="676">
      <c r="A676" s="70"/>
      <c r="B676" s="70"/>
      <c r="P676" s="92"/>
    </row>
    <row r="677">
      <c r="A677" s="70"/>
      <c r="B677" s="70"/>
      <c r="P677" s="92"/>
    </row>
    <row r="678">
      <c r="A678" s="70"/>
      <c r="B678" s="70"/>
      <c r="P678" s="92"/>
    </row>
    <row r="679">
      <c r="A679" s="70"/>
      <c r="B679" s="70"/>
      <c r="P679" s="92"/>
    </row>
    <row r="680">
      <c r="A680" s="70"/>
      <c r="B680" s="70"/>
      <c r="P680" s="92"/>
    </row>
    <row r="681">
      <c r="A681" s="70"/>
      <c r="B681" s="70"/>
      <c r="P681" s="92"/>
    </row>
    <row r="682">
      <c r="A682" s="70"/>
      <c r="B682" s="70"/>
      <c r="P682" s="92"/>
    </row>
    <row r="683">
      <c r="A683" s="70"/>
      <c r="B683" s="70"/>
      <c r="P683" s="92"/>
    </row>
    <row r="684">
      <c r="A684" s="70"/>
      <c r="B684" s="70"/>
      <c r="P684" s="92"/>
    </row>
    <row r="685">
      <c r="A685" s="70"/>
      <c r="B685" s="70"/>
      <c r="P685" s="92"/>
    </row>
    <row r="686">
      <c r="A686" s="70"/>
      <c r="B686" s="70"/>
      <c r="P686" s="92"/>
    </row>
    <row r="687">
      <c r="A687" s="70"/>
      <c r="B687" s="70"/>
      <c r="P687" s="92"/>
    </row>
    <row r="688">
      <c r="A688" s="70"/>
      <c r="B688" s="70"/>
      <c r="P688" s="92"/>
    </row>
    <row r="689">
      <c r="A689" s="70"/>
      <c r="B689" s="70"/>
      <c r="P689" s="92"/>
    </row>
    <row r="690">
      <c r="A690" s="70"/>
      <c r="B690" s="70"/>
      <c r="P690" s="92"/>
    </row>
    <row r="691">
      <c r="A691" s="70"/>
      <c r="B691" s="70"/>
      <c r="P691" s="92"/>
    </row>
    <row r="692">
      <c r="A692" s="70"/>
      <c r="B692" s="70"/>
      <c r="P692" s="92"/>
    </row>
    <row r="693">
      <c r="A693" s="70"/>
      <c r="B693" s="70"/>
      <c r="P693" s="92"/>
    </row>
    <row r="694">
      <c r="A694" s="70"/>
      <c r="B694" s="70"/>
      <c r="P694" s="92"/>
    </row>
    <row r="695">
      <c r="A695" s="70"/>
      <c r="B695" s="70"/>
      <c r="P695" s="92"/>
    </row>
    <row r="696">
      <c r="A696" s="70"/>
      <c r="B696" s="70"/>
      <c r="P696" s="92"/>
    </row>
    <row r="697">
      <c r="A697" s="70"/>
      <c r="B697" s="70"/>
      <c r="P697" s="92"/>
    </row>
    <row r="698">
      <c r="A698" s="70"/>
      <c r="B698" s="70"/>
      <c r="P698" s="92"/>
    </row>
    <row r="699">
      <c r="A699" s="70"/>
      <c r="B699" s="70"/>
      <c r="P699" s="92"/>
    </row>
    <row r="700">
      <c r="A700" s="70"/>
      <c r="B700" s="70"/>
      <c r="P700" s="92"/>
    </row>
    <row r="701">
      <c r="A701" s="70"/>
      <c r="B701" s="70"/>
      <c r="P701" s="92"/>
    </row>
    <row r="702">
      <c r="A702" s="70"/>
      <c r="B702" s="70"/>
      <c r="P702" s="92"/>
    </row>
    <row r="703">
      <c r="A703" s="70"/>
      <c r="B703" s="70"/>
      <c r="P703" s="92"/>
    </row>
    <row r="704">
      <c r="A704" s="70"/>
      <c r="B704" s="70"/>
      <c r="P704" s="92"/>
    </row>
    <row r="705">
      <c r="A705" s="70"/>
      <c r="B705" s="70"/>
      <c r="P705" s="92"/>
    </row>
    <row r="706">
      <c r="A706" s="70"/>
      <c r="B706" s="70"/>
      <c r="P706" s="92"/>
    </row>
    <row r="707">
      <c r="A707" s="70"/>
      <c r="B707" s="70"/>
      <c r="P707" s="92"/>
    </row>
    <row r="708">
      <c r="A708" s="70"/>
      <c r="B708" s="70"/>
      <c r="P708" s="92"/>
    </row>
    <row r="709">
      <c r="A709" s="70"/>
      <c r="B709" s="70"/>
      <c r="P709" s="92"/>
    </row>
    <row r="710">
      <c r="A710" s="70"/>
      <c r="B710" s="70"/>
      <c r="P710" s="92"/>
    </row>
    <row r="711">
      <c r="A711" s="70"/>
      <c r="B711" s="70"/>
      <c r="P711" s="92"/>
    </row>
    <row r="712">
      <c r="A712" s="70"/>
      <c r="B712" s="70"/>
      <c r="P712" s="92"/>
    </row>
    <row r="713">
      <c r="A713" s="70"/>
      <c r="B713" s="70"/>
      <c r="P713" s="92"/>
    </row>
    <row r="714">
      <c r="A714" s="70"/>
      <c r="B714" s="70"/>
      <c r="P714" s="92"/>
    </row>
    <row r="715">
      <c r="A715" s="70"/>
      <c r="B715" s="70"/>
      <c r="P715" s="92"/>
    </row>
    <row r="716">
      <c r="A716" s="70"/>
      <c r="B716" s="70"/>
      <c r="P716" s="92"/>
    </row>
    <row r="717">
      <c r="A717" s="70"/>
      <c r="B717" s="70"/>
      <c r="P717" s="92"/>
    </row>
    <row r="718">
      <c r="A718" s="70"/>
      <c r="B718" s="70"/>
      <c r="P718" s="92"/>
    </row>
    <row r="719">
      <c r="A719" s="70"/>
      <c r="B719" s="70"/>
      <c r="P719" s="92"/>
    </row>
    <row r="720">
      <c r="A720" s="70"/>
      <c r="B720" s="70"/>
      <c r="P720" s="92"/>
    </row>
    <row r="721">
      <c r="A721" s="70"/>
      <c r="B721" s="70"/>
      <c r="P721" s="92"/>
    </row>
    <row r="722">
      <c r="A722" s="70"/>
      <c r="B722" s="70"/>
      <c r="P722" s="92"/>
    </row>
    <row r="723">
      <c r="A723" s="70"/>
      <c r="B723" s="70"/>
      <c r="P723" s="92"/>
    </row>
    <row r="724">
      <c r="A724" s="70"/>
      <c r="B724" s="70"/>
      <c r="P724" s="92"/>
    </row>
    <row r="725">
      <c r="A725" s="70"/>
      <c r="B725" s="70"/>
      <c r="P725" s="92"/>
    </row>
    <row r="726">
      <c r="A726" s="70"/>
      <c r="B726" s="70"/>
      <c r="P726" s="92"/>
    </row>
    <row r="727">
      <c r="A727" s="70"/>
      <c r="B727" s="70"/>
      <c r="P727" s="92"/>
    </row>
    <row r="728">
      <c r="A728" s="70"/>
      <c r="B728" s="70"/>
      <c r="P728" s="92"/>
    </row>
    <row r="729">
      <c r="A729" s="70"/>
      <c r="B729" s="70"/>
      <c r="P729" s="92"/>
    </row>
    <row r="730">
      <c r="A730" s="70"/>
      <c r="B730" s="70"/>
      <c r="P730" s="92"/>
    </row>
    <row r="731">
      <c r="A731" s="70"/>
      <c r="B731" s="70"/>
      <c r="P731" s="92"/>
    </row>
    <row r="732">
      <c r="A732" s="70"/>
      <c r="B732" s="70"/>
      <c r="P732" s="92"/>
    </row>
    <row r="733">
      <c r="A733" s="70"/>
      <c r="B733" s="70"/>
      <c r="P733" s="92"/>
    </row>
    <row r="734">
      <c r="A734" s="70"/>
      <c r="B734" s="70"/>
      <c r="P734" s="92"/>
    </row>
    <row r="735">
      <c r="A735" s="70"/>
      <c r="B735" s="70"/>
      <c r="P735" s="92"/>
    </row>
    <row r="736">
      <c r="A736" s="70"/>
      <c r="B736" s="70"/>
      <c r="P736" s="92"/>
    </row>
    <row r="737">
      <c r="A737" s="70"/>
      <c r="B737" s="70"/>
      <c r="P737" s="92"/>
    </row>
    <row r="738">
      <c r="A738" s="70"/>
      <c r="B738" s="70"/>
      <c r="P738" s="92"/>
    </row>
    <row r="739">
      <c r="A739" s="70"/>
      <c r="B739" s="70"/>
      <c r="P739" s="92"/>
    </row>
    <row r="740">
      <c r="A740" s="70"/>
      <c r="B740" s="70"/>
      <c r="P740" s="92"/>
    </row>
    <row r="741">
      <c r="A741" s="70"/>
      <c r="B741" s="70"/>
      <c r="P741" s="92"/>
    </row>
    <row r="742">
      <c r="A742" s="70"/>
      <c r="B742" s="70"/>
      <c r="P742" s="92"/>
    </row>
    <row r="743">
      <c r="A743" s="70"/>
      <c r="B743" s="70"/>
      <c r="P743" s="92"/>
    </row>
    <row r="744">
      <c r="A744" s="70"/>
      <c r="B744" s="70"/>
      <c r="P744" s="92"/>
    </row>
    <row r="745">
      <c r="A745" s="70"/>
      <c r="B745" s="70"/>
      <c r="P745" s="92"/>
    </row>
    <row r="746">
      <c r="A746" s="70"/>
      <c r="B746" s="70"/>
      <c r="P746" s="92"/>
    </row>
    <row r="747">
      <c r="A747" s="70"/>
      <c r="B747" s="70"/>
      <c r="P747" s="92"/>
    </row>
    <row r="748">
      <c r="A748" s="70"/>
      <c r="B748" s="70"/>
      <c r="P748" s="92"/>
    </row>
    <row r="749">
      <c r="A749" s="70"/>
      <c r="B749" s="70"/>
      <c r="P749" s="92"/>
    </row>
    <row r="750">
      <c r="A750" s="70"/>
      <c r="B750" s="70"/>
      <c r="P750" s="92"/>
    </row>
    <row r="751">
      <c r="A751" s="70"/>
      <c r="B751" s="70"/>
      <c r="P751" s="92"/>
    </row>
    <row r="752">
      <c r="A752" s="70"/>
      <c r="B752" s="70"/>
      <c r="P752" s="92"/>
    </row>
    <row r="753">
      <c r="A753" s="70"/>
      <c r="B753" s="70"/>
      <c r="P753" s="92"/>
    </row>
    <row r="754">
      <c r="A754" s="70"/>
      <c r="B754" s="70"/>
      <c r="P754" s="92"/>
    </row>
    <row r="755">
      <c r="A755" s="70"/>
      <c r="B755" s="70"/>
      <c r="P755" s="92"/>
    </row>
    <row r="756">
      <c r="A756" s="70"/>
      <c r="B756" s="70"/>
      <c r="P756" s="92"/>
    </row>
    <row r="757">
      <c r="A757" s="70"/>
      <c r="B757" s="70"/>
      <c r="P757" s="92"/>
    </row>
    <row r="758">
      <c r="A758" s="70"/>
      <c r="B758" s="70"/>
      <c r="P758" s="92"/>
    </row>
    <row r="759">
      <c r="A759" s="70"/>
      <c r="B759" s="70"/>
      <c r="P759" s="92"/>
    </row>
    <row r="760">
      <c r="A760" s="70"/>
      <c r="B760" s="70"/>
      <c r="P760" s="92"/>
    </row>
    <row r="761">
      <c r="A761" s="70"/>
      <c r="B761" s="70"/>
      <c r="P761" s="92"/>
    </row>
    <row r="762">
      <c r="A762" s="70"/>
      <c r="B762" s="70"/>
      <c r="P762" s="92"/>
    </row>
    <row r="763">
      <c r="A763" s="70"/>
      <c r="B763" s="70"/>
      <c r="P763" s="92"/>
    </row>
    <row r="764">
      <c r="A764" s="70"/>
      <c r="B764" s="70"/>
      <c r="P764" s="92"/>
    </row>
    <row r="765">
      <c r="A765" s="70"/>
      <c r="B765" s="70"/>
      <c r="P765" s="92"/>
    </row>
    <row r="766">
      <c r="A766" s="70"/>
      <c r="B766" s="70"/>
      <c r="P766" s="92"/>
    </row>
    <row r="767">
      <c r="A767" s="70"/>
      <c r="B767" s="70"/>
      <c r="P767" s="92"/>
    </row>
    <row r="768">
      <c r="A768" s="70"/>
      <c r="B768" s="70"/>
      <c r="P768" s="92"/>
    </row>
    <row r="769">
      <c r="A769" s="70"/>
      <c r="B769" s="70"/>
      <c r="P769" s="92"/>
    </row>
    <row r="770">
      <c r="A770" s="70"/>
      <c r="B770" s="70"/>
      <c r="P770" s="92"/>
    </row>
    <row r="771">
      <c r="A771" s="70"/>
      <c r="B771" s="70"/>
      <c r="P771" s="92"/>
    </row>
    <row r="772">
      <c r="A772" s="70"/>
      <c r="B772" s="70"/>
      <c r="P772" s="92"/>
    </row>
    <row r="773">
      <c r="A773" s="70"/>
      <c r="B773" s="70"/>
      <c r="P773" s="92"/>
    </row>
    <row r="774">
      <c r="A774" s="70"/>
      <c r="B774" s="70"/>
      <c r="P774" s="92"/>
    </row>
    <row r="775">
      <c r="A775" s="70"/>
      <c r="B775" s="70"/>
      <c r="P775" s="92"/>
    </row>
    <row r="776">
      <c r="A776" s="70"/>
      <c r="B776" s="70"/>
      <c r="P776" s="92"/>
    </row>
    <row r="777">
      <c r="A777" s="70"/>
      <c r="B777" s="70"/>
      <c r="P777" s="92"/>
    </row>
    <row r="778">
      <c r="A778" s="70"/>
      <c r="B778" s="70"/>
      <c r="P778" s="92"/>
    </row>
    <row r="779">
      <c r="A779" s="70"/>
      <c r="B779" s="70"/>
      <c r="P779" s="92"/>
    </row>
    <row r="780">
      <c r="A780" s="70"/>
      <c r="B780" s="70"/>
      <c r="P780" s="92"/>
    </row>
    <row r="781">
      <c r="A781" s="70"/>
      <c r="B781" s="70"/>
      <c r="P781" s="92"/>
    </row>
    <row r="782">
      <c r="A782" s="70"/>
      <c r="B782" s="70"/>
      <c r="P782" s="92"/>
    </row>
    <row r="783">
      <c r="A783" s="70"/>
      <c r="B783" s="70"/>
      <c r="P783" s="92"/>
    </row>
    <row r="784">
      <c r="A784" s="70"/>
      <c r="B784" s="70"/>
      <c r="P784" s="92"/>
    </row>
    <row r="785">
      <c r="A785" s="70"/>
      <c r="B785" s="70"/>
      <c r="P785" s="92"/>
    </row>
    <row r="786">
      <c r="A786" s="70"/>
      <c r="B786" s="70"/>
      <c r="P786" s="92"/>
    </row>
    <row r="787">
      <c r="A787" s="70"/>
      <c r="B787" s="70"/>
      <c r="P787" s="92"/>
    </row>
    <row r="788">
      <c r="A788" s="70"/>
      <c r="B788" s="70"/>
      <c r="P788" s="92"/>
    </row>
    <row r="789">
      <c r="A789" s="70"/>
      <c r="B789" s="70"/>
      <c r="P789" s="92"/>
    </row>
    <row r="790">
      <c r="A790" s="70"/>
      <c r="B790" s="70"/>
      <c r="P790" s="92"/>
    </row>
    <row r="791">
      <c r="A791" s="70"/>
      <c r="B791" s="70"/>
      <c r="P791" s="92"/>
    </row>
    <row r="792">
      <c r="A792" s="70"/>
      <c r="B792" s="70"/>
      <c r="P792" s="92"/>
    </row>
    <row r="793">
      <c r="A793" s="70"/>
      <c r="B793" s="70"/>
      <c r="P793" s="92"/>
    </row>
    <row r="794">
      <c r="A794" s="70"/>
      <c r="B794" s="70"/>
      <c r="P794" s="92"/>
    </row>
    <row r="795">
      <c r="A795" s="70"/>
      <c r="B795" s="70"/>
      <c r="P795" s="92"/>
    </row>
    <row r="796">
      <c r="A796" s="70"/>
      <c r="B796" s="70"/>
      <c r="P796" s="92"/>
    </row>
    <row r="797">
      <c r="A797" s="70"/>
      <c r="B797" s="70"/>
      <c r="P797" s="92"/>
    </row>
    <row r="798">
      <c r="A798" s="70"/>
      <c r="B798" s="70"/>
      <c r="P798" s="92"/>
    </row>
    <row r="799">
      <c r="A799" s="70"/>
      <c r="B799" s="70"/>
      <c r="P799" s="92"/>
    </row>
    <row r="800">
      <c r="A800" s="70"/>
      <c r="B800" s="70"/>
      <c r="P800" s="92"/>
    </row>
    <row r="801">
      <c r="A801" s="70"/>
      <c r="B801" s="70"/>
      <c r="P801" s="92"/>
    </row>
    <row r="802">
      <c r="A802" s="70"/>
      <c r="B802" s="70"/>
      <c r="P802" s="92"/>
    </row>
    <row r="803">
      <c r="A803" s="70"/>
      <c r="B803" s="70"/>
      <c r="P803" s="92"/>
    </row>
    <row r="804">
      <c r="A804" s="70"/>
      <c r="B804" s="70"/>
      <c r="P804" s="92"/>
    </row>
    <row r="805">
      <c r="A805" s="70"/>
      <c r="B805" s="70"/>
      <c r="P805" s="92"/>
    </row>
    <row r="806">
      <c r="A806" s="70"/>
      <c r="B806" s="70"/>
      <c r="P806" s="92"/>
    </row>
    <row r="807">
      <c r="A807" s="70"/>
      <c r="B807" s="70"/>
      <c r="P807" s="92"/>
    </row>
    <row r="808">
      <c r="A808" s="70"/>
      <c r="B808" s="70"/>
      <c r="P808" s="92"/>
    </row>
    <row r="809">
      <c r="A809" s="70"/>
      <c r="B809" s="70"/>
      <c r="P809" s="92"/>
    </row>
    <row r="810">
      <c r="A810" s="70"/>
      <c r="B810" s="70"/>
      <c r="P810" s="92"/>
    </row>
    <row r="811">
      <c r="A811" s="70"/>
      <c r="B811" s="70"/>
      <c r="P811" s="92"/>
    </row>
    <row r="812">
      <c r="A812" s="70"/>
      <c r="B812" s="70"/>
      <c r="P812" s="92"/>
    </row>
    <row r="813">
      <c r="A813" s="70"/>
      <c r="B813" s="70"/>
      <c r="P813" s="92"/>
    </row>
    <row r="814">
      <c r="A814" s="70"/>
      <c r="B814" s="70"/>
      <c r="P814" s="92"/>
    </row>
    <row r="815">
      <c r="A815" s="70"/>
      <c r="B815" s="70"/>
      <c r="P815" s="92"/>
    </row>
    <row r="816">
      <c r="A816" s="70"/>
      <c r="B816" s="70"/>
      <c r="P816" s="92"/>
    </row>
    <row r="817">
      <c r="A817" s="70"/>
      <c r="B817" s="70"/>
      <c r="P817" s="92"/>
    </row>
    <row r="818">
      <c r="A818" s="70"/>
      <c r="B818" s="70"/>
      <c r="P818" s="92"/>
    </row>
    <row r="819">
      <c r="A819" s="70"/>
      <c r="B819" s="70"/>
      <c r="P819" s="92"/>
    </row>
    <row r="820">
      <c r="A820" s="70"/>
      <c r="B820" s="70"/>
      <c r="P820" s="92"/>
    </row>
    <row r="821">
      <c r="A821" s="70"/>
      <c r="B821" s="70"/>
      <c r="P821" s="92"/>
    </row>
    <row r="822">
      <c r="A822" s="70"/>
      <c r="B822" s="70"/>
      <c r="P822" s="92"/>
    </row>
    <row r="823">
      <c r="A823" s="70"/>
      <c r="B823" s="70"/>
      <c r="P823" s="92"/>
    </row>
    <row r="824">
      <c r="A824" s="70"/>
      <c r="B824" s="70"/>
      <c r="P824" s="92"/>
    </row>
    <row r="825">
      <c r="A825" s="70"/>
      <c r="B825" s="70"/>
      <c r="P825" s="92"/>
    </row>
    <row r="826">
      <c r="A826" s="70"/>
      <c r="B826" s="70"/>
      <c r="P826" s="92"/>
    </row>
    <row r="827">
      <c r="A827" s="70"/>
      <c r="B827" s="70"/>
      <c r="P827" s="92"/>
    </row>
    <row r="828">
      <c r="A828" s="70"/>
      <c r="B828" s="70"/>
      <c r="P828" s="92"/>
    </row>
    <row r="829">
      <c r="A829" s="70"/>
      <c r="B829" s="70"/>
      <c r="P829" s="92"/>
    </row>
    <row r="830">
      <c r="A830" s="70"/>
      <c r="B830" s="70"/>
      <c r="P830" s="92"/>
    </row>
    <row r="831">
      <c r="A831" s="70"/>
      <c r="B831" s="70"/>
      <c r="P831" s="92"/>
    </row>
    <row r="832">
      <c r="A832" s="70"/>
      <c r="B832" s="70"/>
      <c r="P832" s="92"/>
    </row>
    <row r="833">
      <c r="A833" s="70"/>
      <c r="B833" s="70"/>
      <c r="P833" s="92"/>
    </row>
    <row r="834">
      <c r="A834" s="70"/>
      <c r="B834" s="70"/>
      <c r="P834" s="92"/>
    </row>
    <row r="835">
      <c r="A835" s="70"/>
      <c r="B835" s="70"/>
      <c r="P835" s="92"/>
    </row>
    <row r="836">
      <c r="A836" s="70"/>
      <c r="B836" s="70"/>
      <c r="P836" s="92"/>
    </row>
    <row r="837">
      <c r="A837" s="70"/>
      <c r="B837" s="70"/>
      <c r="P837" s="92"/>
    </row>
    <row r="838">
      <c r="A838" s="70"/>
      <c r="B838" s="70"/>
      <c r="P838" s="92"/>
    </row>
    <row r="839">
      <c r="A839" s="70"/>
      <c r="B839" s="70"/>
      <c r="P839" s="92"/>
    </row>
    <row r="840">
      <c r="A840" s="70"/>
      <c r="B840" s="70"/>
      <c r="P840" s="92"/>
    </row>
    <row r="841">
      <c r="A841" s="70"/>
      <c r="B841" s="70"/>
      <c r="P841" s="92"/>
    </row>
    <row r="842">
      <c r="A842" s="70"/>
      <c r="B842" s="70"/>
      <c r="P842" s="92"/>
    </row>
    <row r="843">
      <c r="A843" s="70"/>
      <c r="B843" s="70"/>
      <c r="P843" s="92"/>
    </row>
    <row r="844">
      <c r="A844" s="70"/>
      <c r="B844" s="70"/>
      <c r="P844" s="92"/>
    </row>
    <row r="845">
      <c r="A845" s="70"/>
      <c r="B845" s="70"/>
      <c r="P845" s="92"/>
    </row>
    <row r="846">
      <c r="A846" s="70"/>
      <c r="B846" s="70"/>
      <c r="P846" s="92"/>
    </row>
    <row r="847">
      <c r="A847" s="70"/>
      <c r="B847" s="70"/>
      <c r="P847" s="92"/>
    </row>
    <row r="848">
      <c r="A848" s="70"/>
      <c r="B848" s="70"/>
      <c r="P848" s="92"/>
    </row>
    <row r="849">
      <c r="A849" s="70"/>
      <c r="B849" s="70"/>
      <c r="P849" s="92"/>
    </row>
    <row r="850">
      <c r="A850" s="70"/>
      <c r="B850" s="70"/>
      <c r="P850" s="92"/>
    </row>
    <row r="851">
      <c r="A851" s="70"/>
      <c r="B851" s="70"/>
      <c r="P851" s="92"/>
    </row>
    <row r="852">
      <c r="A852" s="70"/>
      <c r="B852" s="70"/>
      <c r="P852" s="92"/>
    </row>
    <row r="853">
      <c r="A853" s="70"/>
      <c r="B853" s="70"/>
      <c r="P853" s="92"/>
    </row>
    <row r="854">
      <c r="A854" s="70"/>
      <c r="B854" s="70"/>
      <c r="P854" s="92"/>
    </row>
    <row r="855">
      <c r="A855" s="70"/>
      <c r="B855" s="70"/>
      <c r="P855" s="92"/>
    </row>
    <row r="856">
      <c r="A856" s="70"/>
      <c r="B856" s="70"/>
      <c r="P856" s="92"/>
    </row>
    <row r="857">
      <c r="A857" s="70"/>
      <c r="B857" s="70"/>
      <c r="P857" s="92"/>
    </row>
    <row r="858">
      <c r="A858" s="70"/>
      <c r="B858" s="70"/>
      <c r="P858" s="92"/>
    </row>
    <row r="859">
      <c r="A859" s="70"/>
      <c r="B859" s="70"/>
      <c r="P859" s="92"/>
    </row>
    <row r="860">
      <c r="A860" s="70"/>
      <c r="B860" s="70"/>
      <c r="P860" s="92"/>
    </row>
    <row r="861">
      <c r="A861" s="70"/>
      <c r="B861" s="70"/>
      <c r="P861" s="92"/>
    </row>
    <row r="862">
      <c r="A862" s="70"/>
      <c r="B862" s="70"/>
      <c r="P862" s="92"/>
    </row>
    <row r="863">
      <c r="A863" s="70"/>
      <c r="B863" s="70"/>
      <c r="P863" s="92"/>
    </row>
    <row r="864">
      <c r="A864" s="70"/>
      <c r="B864" s="70"/>
      <c r="P864" s="92"/>
    </row>
    <row r="865">
      <c r="A865" s="70"/>
      <c r="B865" s="70"/>
      <c r="P865" s="92"/>
    </row>
    <row r="866">
      <c r="A866" s="70"/>
      <c r="B866" s="70"/>
      <c r="P866" s="92"/>
    </row>
    <row r="867">
      <c r="A867" s="70"/>
      <c r="B867" s="70"/>
      <c r="P867" s="92"/>
    </row>
    <row r="868">
      <c r="A868" s="70"/>
      <c r="B868" s="70"/>
      <c r="P868" s="92"/>
    </row>
    <row r="869">
      <c r="A869" s="70"/>
      <c r="B869" s="70"/>
      <c r="P869" s="92"/>
    </row>
    <row r="870">
      <c r="A870" s="70"/>
      <c r="B870" s="70"/>
      <c r="P870" s="92"/>
    </row>
    <row r="871">
      <c r="A871" s="70"/>
      <c r="B871" s="70"/>
      <c r="P871" s="92"/>
    </row>
    <row r="872">
      <c r="A872" s="70"/>
      <c r="B872" s="70"/>
      <c r="P872" s="92"/>
    </row>
    <row r="873">
      <c r="A873" s="70"/>
      <c r="B873" s="70"/>
      <c r="P873" s="92"/>
    </row>
    <row r="874">
      <c r="A874" s="70"/>
      <c r="B874" s="70"/>
      <c r="P874" s="92"/>
    </row>
    <row r="875">
      <c r="A875" s="70"/>
      <c r="B875" s="70"/>
      <c r="P875" s="92"/>
    </row>
    <row r="876">
      <c r="A876" s="70"/>
      <c r="B876" s="70"/>
      <c r="P876" s="92"/>
    </row>
    <row r="877">
      <c r="A877" s="70"/>
      <c r="B877" s="70"/>
      <c r="P877" s="92"/>
    </row>
    <row r="878">
      <c r="A878" s="70"/>
      <c r="B878" s="70"/>
      <c r="P878" s="92"/>
    </row>
    <row r="879">
      <c r="A879" s="70"/>
      <c r="B879" s="70"/>
      <c r="P879" s="92"/>
    </row>
    <row r="880">
      <c r="A880" s="70"/>
      <c r="B880" s="70"/>
      <c r="P880" s="92"/>
    </row>
    <row r="881">
      <c r="A881" s="70"/>
      <c r="B881" s="70"/>
      <c r="P881" s="92"/>
    </row>
    <row r="882">
      <c r="A882" s="70"/>
      <c r="B882" s="70"/>
      <c r="P882" s="92"/>
    </row>
    <row r="883">
      <c r="A883" s="70"/>
      <c r="B883" s="70"/>
      <c r="P883" s="92"/>
    </row>
    <row r="884">
      <c r="A884" s="70"/>
      <c r="B884" s="70"/>
      <c r="P884" s="92"/>
    </row>
    <row r="885">
      <c r="A885" s="70"/>
      <c r="B885" s="70"/>
      <c r="P885" s="92"/>
    </row>
    <row r="886">
      <c r="A886" s="70"/>
      <c r="B886" s="70"/>
      <c r="P886" s="92"/>
    </row>
    <row r="887">
      <c r="A887" s="70"/>
      <c r="B887" s="70"/>
      <c r="P887" s="92"/>
    </row>
    <row r="888">
      <c r="A888" s="70"/>
      <c r="B888" s="70"/>
      <c r="P888" s="92"/>
    </row>
    <row r="889">
      <c r="A889" s="70"/>
      <c r="B889" s="70"/>
      <c r="P889" s="92"/>
    </row>
    <row r="890">
      <c r="A890" s="70"/>
      <c r="B890" s="70"/>
      <c r="P890" s="92"/>
    </row>
    <row r="891">
      <c r="A891" s="70"/>
      <c r="B891" s="70"/>
      <c r="P891" s="92"/>
    </row>
    <row r="892">
      <c r="A892" s="70"/>
      <c r="B892" s="70"/>
      <c r="P892" s="92"/>
    </row>
    <row r="893">
      <c r="A893" s="70"/>
      <c r="B893" s="70"/>
      <c r="P893" s="92"/>
    </row>
    <row r="894">
      <c r="A894" s="70"/>
      <c r="B894" s="70"/>
      <c r="P894" s="92"/>
    </row>
    <row r="895">
      <c r="A895" s="70"/>
      <c r="B895" s="70"/>
      <c r="P895" s="92"/>
    </row>
    <row r="896">
      <c r="A896" s="70"/>
      <c r="B896" s="70"/>
      <c r="P896" s="92"/>
    </row>
    <row r="897">
      <c r="A897" s="70"/>
      <c r="B897" s="70"/>
      <c r="P897" s="92"/>
    </row>
    <row r="898">
      <c r="A898" s="70"/>
      <c r="B898" s="70"/>
      <c r="P898" s="92"/>
    </row>
    <row r="899">
      <c r="A899" s="70"/>
      <c r="B899" s="70"/>
      <c r="P899" s="92"/>
    </row>
    <row r="900">
      <c r="A900" s="70"/>
      <c r="B900" s="70"/>
      <c r="P900" s="92"/>
    </row>
    <row r="901">
      <c r="A901" s="70"/>
      <c r="B901" s="70"/>
      <c r="P901" s="92"/>
    </row>
    <row r="902">
      <c r="A902" s="70"/>
      <c r="B902" s="70"/>
      <c r="P902" s="92"/>
    </row>
    <row r="903">
      <c r="A903" s="70"/>
      <c r="B903" s="70"/>
      <c r="P903" s="92"/>
    </row>
    <row r="904">
      <c r="A904" s="70"/>
      <c r="B904" s="70"/>
      <c r="P904" s="92"/>
    </row>
    <row r="905">
      <c r="A905" s="70"/>
      <c r="B905" s="70"/>
      <c r="P905" s="92"/>
    </row>
    <row r="906">
      <c r="A906" s="70"/>
      <c r="B906" s="70"/>
      <c r="P906" s="92"/>
    </row>
    <row r="907">
      <c r="A907" s="70"/>
      <c r="B907" s="70"/>
      <c r="P907" s="92"/>
    </row>
    <row r="908">
      <c r="A908" s="70"/>
      <c r="B908" s="70"/>
      <c r="P908" s="92"/>
    </row>
    <row r="909">
      <c r="A909" s="70"/>
      <c r="B909" s="70"/>
      <c r="P909" s="92"/>
    </row>
    <row r="910">
      <c r="A910" s="70"/>
      <c r="B910" s="70"/>
      <c r="P910" s="92"/>
    </row>
    <row r="911">
      <c r="A911" s="70"/>
      <c r="B911" s="70"/>
      <c r="P911" s="92"/>
    </row>
    <row r="912">
      <c r="A912" s="70"/>
      <c r="B912" s="70"/>
      <c r="P912" s="92"/>
    </row>
    <row r="913">
      <c r="A913" s="70"/>
      <c r="B913" s="70"/>
      <c r="P913" s="92"/>
    </row>
    <row r="914">
      <c r="A914" s="70"/>
      <c r="B914" s="70"/>
      <c r="P914" s="92"/>
    </row>
    <row r="915">
      <c r="A915" s="70"/>
      <c r="B915" s="70"/>
      <c r="P915" s="92"/>
    </row>
    <row r="916">
      <c r="A916" s="70"/>
      <c r="B916" s="70"/>
      <c r="P916" s="92"/>
    </row>
    <row r="917">
      <c r="A917" s="70"/>
      <c r="B917" s="70"/>
      <c r="P917" s="92"/>
    </row>
    <row r="918">
      <c r="A918" s="70"/>
      <c r="B918" s="70"/>
      <c r="P918" s="92"/>
    </row>
    <row r="919">
      <c r="A919" s="70"/>
      <c r="B919" s="70"/>
      <c r="P919" s="92"/>
    </row>
    <row r="920">
      <c r="A920" s="70"/>
      <c r="B920" s="70"/>
      <c r="P920" s="92"/>
    </row>
    <row r="921">
      <c r="A921" s="70"/>
      <c r="B921" s="70"/>
      <c r="P921" s="92"/>
    </row>
    <row r="922">
      <c r="A922" s="70"/>
      <c r="B922" s="70"/>
      <c r="P922" s="92"/>
    </row>
    <row r="923">
      <c r="A923" s="70"/>
      <c r="B923" s="70"/>
      <c r="P923" s="92"/>
    </row>
    <row r="924">
      <c r="A924" s="70"/>
      <c r="B924" s="70"/>
      <c r="P924" s="92"/>
    </row>
    <row r="925">
      <c r="A925" s="70"/>
      <c r="B925" s="70"/>
      <c r="P925" s="92"/>
    </row>
    <row r="926">
      <c r="A926" s="70"/>
      <c r="B926" s="70"/>
      <c r="P926" s="92"/>
    </row>
    <row r="927">
      <c r="A927" s="70"/>
      <c r="B927" s="70"/>
      <c r="P927" s="92"/>
    </row>
    <row r="928">
      <c r="A928" s="70"/>
      <c r="B928" s="70"/>
      <c r="P928" s="92"/>
    </row>
    <row r="929">
      <c r="A929" s="70"/>
      <c r="B929" s="70"/>
      <c r="P929" s="92"/>
    </row>
    <row r="930">
      <c r="A930" s="70"/>
      <c r="B930" s="70"/>
      <c r="P930" s="92"/>
    </row>
    <row r="931">
      <c r="A931" s="70"/>
      <c r="B931" s="70"/>
      <c r="P931" s="92"/>
    </row>
    <row r="932">
      <c r="A932" s="70"/>
      <c r="B932" s="70"/>
      <c r="P932" s="92"/>
    </row>
    <row r="933">
      <c r="A933" s="70"/>
      <c r="B933" s="70"/>
      <c r="P933" s="92"/>
    </row>
    <row r="934">
      <c r="A934" s="70"/>
      <c r="B934" s="70"/>
      <c r="P934" s="92"/>
    </row>
    <row r="935">
      <c r="A935" s="70"/>
      <c r="B935" s="70"/>
      <c r="P935" s="92"/>
    </row>
    <row r="936">
      <c r="A936" s="70"/>
      <c r="B936" s="70"/>
      <c r="P936" s="92"/>
    </row>
    <row r="937">
      <c r="A937" s="70"/>
      <c r="B937" s="70"/>
      <c r="P937" s="92"/>
    </row>
    <row r="938">
      <c r="A938" s="70"/>
      <c r="B938" s="70"/>
      <c r="P938" s="92"/>
    </row>
    <row r="939">
      <c r="A939" s="70"/>
      <c r="B939" s="70"/>
      <c r="P939" s="92"/>
    </row>
    <row r="940">
      <c r="A940" s="70"/>
      <c r="B940" s="70"/>
      <c r="P940" s="92"/>
    </row>
    <row r="941">
      <c r="A941" s="70"/>
      <c r="B941" s="70"/>
      <c r="P941" s="92"/>
    </row>
    <row r="942">
      <c r="A942" s="70"/>
      <c r="B942" s="70"/>
      <c r="P942" s="92"/>
    </row>
    <row r="943">
      <c r="A943" s="70"/>
      <c r="B943" s="70"/>
      <c r="P943" s="92"/>
    </row>
    <row r="944">
      <c r="A944" s="70"/>
      <c r="B944" s="70"/>
      <c r="P944" s="92"/>
    </row>
    <row r="945">
      <c r="A945" s="70"/>
      <c r="B945" s="70"/>
      <c r="P945" s="92"/>
    </row>
    <row r="946">
      <c r="A946" s="70"/>
      <c r="B946" s="70"/>
      <c r="P946" s="92"/>
    </row>
    <row r="947">
      <c r="A947" s="70"/>
      <c r="B947" s="70"/>
      <c r="P947" s="92"/>
    </row>
    <row r="948">
      <c r="A948" s="70"/>
      <c r="B948" s="70"/>
      <c r="P948" s="92"/>
    </row>
    <row r="949">
      <c r="A949" s="70"/>
      <c r="B949" s="70"/>
      <c r="P949" s="92"/>
    </row>
    <row r="950">
      <c r="A950" s="70"/>
      <c r="B950" s="70"/>
      <c r="P950" s="92"/>
    </row>
    <row r="951">
      <c r="A951" s="70"/>
      <c r="B951" s="70"/>
      <c r="P951" s="92"/>
    </row>
    <row r="952">
      <c r="A952" s="70"/>
      <c r="B952" s="70"/>
      <c r="P952" s="92"/>
    </row>
    <row r="953">
      <c r="A953" s="70"/>
      <c r="B953" s="70"/>
      <c r="P953" s="92"/>
    </row>
    <row r="954">
      <c r="A954" s="70"/>
      <c r="B954" s="70"/>
      <c r="P954" s="92"/>
    </row>
    <row r="955">
      <c r="A955" s="70"/>
      <c r="B955" s="70"/>
      <c r="P955" s="92"/>
    </row>
    <row r="956">
      <c r="A956" s="70"/>
      <c r="B956" s="70"/>
      <c r="P956" s="92"/>
    </row>
    <row r="957">
      <c r="A957" s="70"/>
      <c r="B957" s="70"/>
      <c r="P957" s="92"/>
    </row>
    <row r="958">
      <c r="A958" s="70"/>
      <c r="B958" s="70"/>
      <c r="P958" s="92"/>
    </row>
    <row r="959">
      <c r="A959" s="70"/>
      <c r="B959" s="70"/>
      <c r="P959" s="92"/>
    </row>
    <row r="960">
      <c r="A960" s="70"/>
      <c r="B960" s="70"/>
      <c r="P960" s="92"/>
    </row>
    <row r="961">
      <c r="A961" s="70"/>
      <c r="B961" s="70"/>
      <c r="P961" s="92"/>
    </row>
    <row r="962">
      <c r="A962" s="70"/>
      <c r="B962" s="70"/>
      <c r="P962" s="92"/>
    </row>
    <row r="963">
      <c r="A963" s="70"/>
      <c r="B963" s="70"/>
      <c r="P963" s="92"/>
    </row>
    <row r="964">
      <c r="A964" s="70"/>
      <c r="B964" s="70"/>
      <c r="P964" s="92"/>
    </row>
    <row r="965">
      <c r="A965" s="70"/>
      <c r="B965" s="70"/>
      <c r="P965" s="92"/>
    </row>
    <row r="966">
      <c r="A966" s="70"/>
      <c r="B966" s="70"/>
      <c r="P966" s="92"/>
    </row>
    <row r="967">
      <c r="A967" s="70"/>
      <c r="B967" s="70"/>
      <c r="P967" s="92"/>
    </row>
    <row r="968">
      <c r="A968" s="70"/>
      <c r="B968" s="70"/>
      <c r="P968" s="92"/>
    </row>
    <row r="969">
      <c r="A969" s="70"/>
      <c r="B969" s="70"/>
      <c r="P969" s="92"/>
    </row>
    <row r="970">
      <c r="A970" s="70"/>
      <c r="B970" s="70"/>
      <c r="P970" s="92"/>
    </row>
    <row r="971">
      <c r="A971" s="70"/>
      <c r="B971" s="70"/>
      <c r="P971" s="92"/>
    </row>
    <row r="972">
      <c r="A972" s="70"/>
      <c r="B972" s="70"/>
      <c r="P972" s="92"/>
    </row>
    <row r="973">
      <c r="A973" s="70"/>
      <c r="B973" s="70"/>
      <c r="P973" s="92"/>
    </row>
    <row r="974">
      <c r="A974" s="70"/>
      <c r="B974" s="70"/>
      <c r="P974" s="92"/>
    </row>
    <row r="975">
      <c r="A975" s="70"/>
      <c r="B975" s="70"/>
      <c r="P975" s="92"/>
    </row>
    <row r="976">
      <c r="A976" s="70"/>
      <c r="B976" s="70"/>
      <c r="P976" s="92"/>
    </row>
    <row r="977">
      <c r="A977" s="70"/>
      <c r="B977" s="70"/>
      <c r="P977" s="92"/>
    </row>
    <row r="978">
      <c r="A978" s="70"/>
      <c r="B978" s="70"/>
      <c r="P978" s="92"/>
    </row>
    <row r="979">
      <c r="A979" s="70"/>
      <c r="B979" s="70"/>
      <c r="P979" s="92"/>
    </row>
    <row r="980">
      <c r="A980" s="70"/>
      <c r="B980" s="70"/>
      <c r="P980" s="92"/>
    </row>
    <row r="981">
      <c r="A981" s="70"/>
      <c r="B981" s="70"/>
      <c r="P981" s="92"/>
    </row>
    <row r="982">
      <c r="A982" s="70"/>
      <c r="B982" s="70"/>
      <c r="P982" s="92"/>
    </row>
    <row r="983">
      <c r="A983" s="70"/>
      <c r="B983" s="70"/>
      <c r="P983" s="92"/>
    </row>
    <row r="984">
      <c r="A984" s="70"/>
      <c r="B984" s="70"/>
      <c r="P984" s="92"/>
    </row>
    <row r="985">
      <c r="A985" s="70"/>
      <c r="B985" s="70"/>
      <c r="P985" s="92"/>
    </row>
    <row r="986">
      <c r="A986" s="70"/>
      <c r="B986" s="70"/>
      <c r="P986" s="92"/>
    </row>
    <row r="987">
      <c r="A987" s="70"/>
      <c r="B987" s="70"/>
      <c r="P987" s="92"/>
    </row>
    <row r="988">
      <c r="A988" s="70"/>
      <c r="B988" s="70"/>
      <c r="P988" s="92"/>
    </row>
    <row r="989">
      <c r="A989" s="70"/>
      <c r="B989" s="70"/>
      <c r="P989" s="92"/>
    </row>
    <row r="990">
      <c r="A990" s="70"/>
      <c r="B990" s="70"/>
      <c r="P990" s="92"/>
    </row>
    <row r="991">
      <c r="A991" s="70"/>
      <c r="B991" s="70"/>
      <c r="P991" s="92"/>
    </row>
    <row r="992">
      <c r="A992" s="70"/>
      <c r="B992" s="70"/>
      <c r="P992" s="92"/>
    </row>
    <row r="993">
      <c r="A993" s="70"/>
      <c r="B993" s="70"/>
      <c r="P993" s="92"/>
    </row>
    <row r="994">
      <c r="A994" s="70"/>
      <c r="B994" s="70"/>
      <c r="P994" s="92"/>
    </row>
    <row r="995">
      <c r="A995" s="70"/>
      <c r="B995" s="70"/>
      <c r="P995" s="92"/>
    </row>
    <row r="996">
      <c r="A996" s="70"/>
      <c r="B996" s="70"/>
      <c r="P996" s="92"/>
    </row>
    <row r="997">
      <c r="A997" s="70"/>
      <c r="B997" s="70"/>
      <c r="P997" s="92"/>
    </row>
    <row r="998">
      <c r="A998" s="70"/>
      <c r="B998" s="70"/>
      <c r="P998" s="92"/>
    </row>
    <row r="999">
      <c r="A999" s="70"/>
      <c r="B999" s="70"/>
      <c r="P999" s="92"/>
    </row>
    <row r="1000">
      <c r="A1000" s="70"/>
      <c r="B1000" s="70"/>
      <c r="P1000" s="92"/>
    </row>
    <row r="1001">
      <c r="A1001" s="70"/>
      <c r="B1001" s="70"/>
      <c r="P1001" s="92"/>
    </row>
    <row r="1002">
      <c r="A1002" s="70"/>
      <c r="B1002" s="70"/>
      <c r="P1002" s="92"/>
    </row>
  </sheetData>
  <customSheetViews>
    <customSheetView guid="{576DFCCB-C935-4554-80E9-8B98F1E7C008}" filter="1" showAutoFilter="1">
      <autoFilter ref="$B$2:$AA$83">
        <filterColumn colId="3">
          <filters>
            <filter val="Nerwilis"/>
          </filters>
        </filterColumn>
      </autoFilter>
      <extLst>
        <ext uri="GoogleSheetsCustomDataVersion1">
          <go:sheetsCustomData xmlns:go="http://customooxmlschemas.google.com/" filterViewId="1046321437"/>
        </ext>
      </extLst>
    </customSheetView>
    <customSheetView guid="{4EAE1BC8-65EE-4A00-A0E6-850D6B66D32C}" filter="1" showAutoFilter="1">
      <autoFilter ref="$B$2:$AA$83">
        <filterColumn colId="3">
          <filters>
            <filter val="Sosial"/>
          </filters>
        </filterColumn>
        <filterColumn colId="14">
          <filters blank="1">
            <filter val="Data belum tersedia. sumber data dari OJK"/>
            <filter val="1. Penurunan Emisi Gas Rumah Kaca (GRK): Laporan&#10;AKSARA, Kementerian PPN/Bappenas; &#10;2. Produk Domestik Regional Bruto (Harga Konstan 2010):&#10;BPS."/>
            <filter val="BPS PDRB per Kapita ADHB"/>
            <filter val="Sumber data Bapennas"/>
            <filter val="BPS: Laju Perumbuhan PDRB Pertanian, Kehutanan, dan Perikanan"/>
            <filter val="Data ADP belum tersedia. sumber data dari eksternal"/>
            <filter val="BPS"/>
            <filter val="DPMD: Data Indeks Desa Membangun untuk wilayah Kalimantan Utara&#10;https://dpmd.kaltaraprov.go.id/rekap/idm.php?tahun=&amp;kecamatan=&amp;status="/>
            <filter val="Belum tersedia metadata"/>
            <filter val="SSGI Kemenkes"/>
            <filter val="BPS: Susenas"/>
            <filter val="Data belum tersedia. sumber data dari ESDM"/>
            <filter val="Data Indeks Kualitas Keluarga KemenPPPA terakhir sampai tahun 2023"/>
            <filter val="PDRB ADHB Kaltara (Juta Rupiah)&#10;2021: 111.530.221,6&#10;2022: 138.674.956,6&#10;2023: 147.278.623,3&#10;2024: 146.976.698,9&#10;2025: 156.025.744,7&#10;&#10;Sumber data volume usaha koperasi daerah dari ODS Koperasi. Kementerian Koperasi dan UKM"/>
            <filter val="Data Total Kedit belum tersedia. sumber data dari eksternal"/>
            <filter val="BPS: Distribusi Industri Pengolahan"/>
            <filter val="Data belum tersedia. sumber data BPS dan Komdigi"/>
            <filter val="BPS: Laju Perumbuhan PDRB Industri Pengolahan Nonmigas"/>
            <filter val="Data DPK bersumber dari OJK, butuh penjelasan meta data terkait konversi satuan dan nilai tahunan"/>
            <filter val="Belum tersedia untuk kalimantan utara,  data bersumber dari Bapperida"/>
            <filter val="Data tidak tersedia"/>
            <filter val="data belum tersedia; sumber data: kementerian perdagangan"/>
            <filter val="Data bersumber dari Bappeda"/>
            <filter val="YoY"/>
            <filter val="data dari luar BPS. butuh pejelasan metadata"/>
            <filter val="data berbeda dengan yang di input bapperida. perlu konfirmasi metode penghitungan"/>
            <filter val="Sumber data KemenPANRB"/>
            <filter val="Intensitas energi primer diperoleh dengan cara membagi total pasokan energi primer dengan produk domestik bruto berdasarkan paritas daya beli. sumbernya Handbook of Energy &amp; Economic Statistics of Indonesia, Kementerian ESDM"/>
            <filter val="angka hingga level provinsi tidak tersedia pada tahun 2021, 2023-2025"/>
            <filter val="Kementerian Kebudayaan RI. Data tahun 2025 belum tersedia."/>
            <filter val="Data dari eksternal BPS, butuh penjelasan meta data"/>
            <filter val="Data tidak tersedia, subsektor yang digunakan berbeda."/>
            <filter val="BPS: Sakernas (di Susenas tidak bisa mengolah data jaminan sosial ketenagakerjaan)"/>
            <filter val="Data belum tersedia. sumber data dari Bappenas"/>
            <filter val="BPS: persentase rumah tangga yang memiliki akses terhadap hunian yang layak dan terjangkau"/>
          </filters>
        </filterColumn>
      </autoFilter>
      <extLst>
        <ext uri="GoogleSheetsCustomDataVersion1">
          <go:sheetsCustomData xmlns:go="http://customooxmlschemas.google.com/" filterViewId="38786500"/>
        </ext>
      </extLst>
    </customSheetView>
  </customSheetViews>
  <mergeCells count="7">
    <mergeCell ref="A1:A2"/>
    <mergeCell ref="B1:B2"/>
    <mergeCell ref="C1:C2"/>
    <mergeCell ref="E1:E2"/>
    <mergeCell ref="F1:J1"/>
    <mergeCell ref="K1:O1"/>
    <mergeCell ref="P1:P2"/>
  </mergeCells>
  <dataValidations>
    <dataValidation type="list" allowBlank="1" showErrorMessage="1" sqref="E3:E83">
      <formula1>"Nerwilis,Sosial,Distribusi,Produksi"</formula1>
    </dataValidation>
  </dataValidations>
  <hyperlinks>
    <hyperlink r:id="rId1" ref="P47"/>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7.75"/>
    <col customWidth="1" min="2" max="2" width="5.88"/>
    <col customWidth="1" min="3" max="3" width="35.63"/>
    <col customWidth="1" min="4" max="4" width="16.25"/>
    <col customWidth="1" min="5" max="8" width="11.13"/>
    <col customWidth="1" min="9" max="14" width="15.38"/>
    <col customWidth="1" min="15" max="15" width="50.13"/>
  </cols>
  <sheetData>
    <row r="1" ht="27.0" customHeight="1">
      <c r="A1" s="42" t="s">
        <v>94</v>
      </c>
      <c r="B1" s="42" t="s">
        <v>93</v>
      </c>
      <c r="C1" s="42" t="s">
        <v>94</v>
      </c>
      <c r="D1" s="42" t="s">
        <v>97</v>
      </c>
      <c r="E1" s="43" t="s">
        <v>761</v>
      </c>
      <c r="F1" s="44"/>
      <c r="G1" s="44"/>
      <c r="H1" s="44"/>
      <c r="I1" s="44"/>
      <c r="J1" s="44"/>
      <c r="K1" s="44"/>
      <c r="L1" s="44"/>
      <c r="M1" s="44"/>
      <c r="N1" s="109" t="s">
        <v>96</v>
      </c>
      <c r="O1" s="42" t="s">
        <v>97</v>
      </c>
      <c r="P1" s="110"/>
      <c r="Q1" s="110"/>
      <c r="R1" s="110"/>
      <c r="S1" s="110"/>
      <c r="T1" s="110"/>
      <c r="U1" s="110"/>
      <c r="V1" s="110"/>
      <c r="W1" s="110"/>
      <c r="X1" s="110"/>
      <c r="Y1" s="110"/>
      <c r="Z1" s="110"/>
    </row>
    <row r="2" ht="27.0" customHeight="1">
      <c r="A2" s="47"/>
      <c r="B2" s="47"/>
      <c r="C2" s="47"/>
      <c r="D2" s="47"/>
      <c r="E2" s="48">
        <v>2021.0</v>
      </c>
      <c r="F2" s="48">
        <v>2022.0</v>
      </c>
      <c r="G2" s="48">
        <v>2023.0</v>
      </c>
      <c r="H2" s="48">
        <v>2024.0</v>
      </c>
      <c r="I2" s="48">
        <v>2025.0</v>
      </c>
      <c r="J2" s="48">
        <v>2026.0</v>
      </c>
      <c r="K2" s="48">
        <v>2027.0</v>
      </c>
      <c r="L2" s="48">
        <v>2028.0</v>
      </c>
      <c r="M2" s="48">
        <v>2029.0</v>
      </c>
      <c r="N2" s="111">
        <v>2045.0</v>
      </c>
      <c r="O2" s="47"/>
      <c r="P2" s="110"/>
      <c r="Q2" s="110"/>
      <c r="R2" s="110"/>
      <c r="S2" s="110"/>
      <c r="T2" s="110"/>
      <c r="U2" s="110"/>
      <c r="V2" s="110"/>
      <c r="W2" s="110"/>
      <c r="X2" s="110"/>
      <c r="Y2" s="110"/>
      <c r="Z2" s="110"/>
    </row>
    <row r="3" ht="28.5" customHeight="1">
      <c r="A3" s="112" t="s">
        <v>756</v>
      </c>
      <c r="B3" s="112">
        <v>1.0</v>
      </c>
      <c r="C3" s="113" t="s">
        <v>13</v>
      </c>
      <c r="D3" s="114" t="s">
        <v>96</v>
      </c>
      <c r="E3" s="115"/>
      <c r="F3" s="115"/>
      <c r="G3" s="115"/>
      <c r="H3" s="115"/>
      <c r="I3" s="116" t="s">
        <v>98</v>
      </c>
      <c r="J3" s="116" t="s">
        <v>99</v>
      </c>
      <c r="K3" s="116" t="s">
        <v>100</v>
      </c>
      <c r="L3" s="116" t="s">
        <v>101</v>
      </c>
      <c r="M3" s="116" t="s">
        <v>102</v>
      </c>
      <c r="N3" s="116" t="s">
        <v>762</v>
      </c>
      <c r="O3" s="117" t="s">
        <v>565</v>
      </c>
      <c r="P3" s="110"/>
      <c r="Q3" s="110"/>
      <c r="R3" s="110"/>
      <c r="S3" s="110"/>
      <c r="T3" s="110"/>
      <c r="U3" s="110"/>
      <c r="V3" s="110"/>
      <c r="W3" s="110"/>
      <c r="X3" s="110"/>
      <c r="Y3" s="110"/>
      <c r="Z3" s="110"/>
    </row>
    <row r="4" ht="28.5" customHeight="1">
      <c r="A4" s="47"/>
      <c r="B4" s="47"/>
      <c r="C4" s="47"/>
      <c r="D4" s="118" t="s">
        <v>95</v>
      </c>
      <c r="E4" s="119" t="s">
        <v>560</v>
      </c>
      <c r="F4" s="119" t="s">
        <v>561</v>
      </c>
      <c r="G4" s="119" t="s">
        <v>562</v>
      </c>
      <c r="H4" s="119" t="s">
        <v>563</v>
      </c>
      <c r="I4" s="119" t="s">
        <v>564</v>
      </c>
      <c r="J4" s="120"/>
      <c r="K4" s="120"/>
      <c r="L4" s="120"/>
      <c r="M4" s="120"/>
      <c r="N4" s="120"/>
      <c r="O4" s="47"/>
      <c r="P4" s="110"/>
      <c r="Q4" s="110"/>
      <c r="R4" s="110"/>
      <c r="S4" s="110"/>
      <c r="T4" s="110"/>
      <c r="U4" s="110"/>
      <c r="V4" s="110"/>
      <c r="W4" s="110"/>
      <c r="X4" s="110"/>
      <c r="Y4" s="110"/>
      <c r="Z4" s="110"/>
    </row>
    <row r="5" ht="28.5" customHeight="1">
      <c r="A5" s="112" t="s">
        <v>756</v>
      </c>
      <c r="B5" s="112">
        <v>2.0</v>
      </c>
      <c r="C5" s="113" t="s">
        <v>16</v>
      </c>
      <c r="D5" s="114" t="s">
        <v>96</v>
      </c>
      <c r="E5" s="121"/>
      <c r="F5" s="121"/>
      <c r="G5" s="115"/>
      <c r="H5" s="121"/>
      <c r="I5" s="116" t="s">
        <v>103</v>
      </c>
      <c r="J5" s="116" t="s">
        <v>104</v>
      </c>
      <c r="K5" s="116" t="s">
        <v>105</v>
      </c>
      <c r="L5" s="116" t="s">
        <v>106</v>
      </c>
      <c r="M5" s="116" t="s">
        <v>107</v>
      </c>
      <c r="N5" s="116" t="s">
        <v>763</v>
      </c>
      <c r="O5" s="117" t="s">
        <v>573</v>
      </c>
      <c r="P5" s="110"/>
      <c r="Q5" s="110"/>
      <c r="R5" s="110"/>
      <c r="S5" s="110"/>
      <c r="T5" s="110"/>
      <c r="U5" s="110"/>
      <c r="V5" s="110"/>
      <c r="W5" s="110"/>
      <c r="X5" s="110"/>
      <c r="Y5" s="110"/>
      <c r="Z5" s="110"/>
    </row>
    <row r="6" ht="28.5" customHeight="1">
      <c r="A6" s="47"/>
      <c r="B6" s="47"/>
      <c r="C6" s="47"/>
      <c r="D6" s="118" t="s">
        <v>95</v>
      </c>
      <c r="E6" s="122"/>
      <c r="F6" s="122"/>
      <c r="G6" s="122"/>
      <c r="H6" s="119" t="s">
        <v>572</v>
      </c>
      <c r="I6" s="122"/>
      <c r="J6" s="123"/>
      <c r="K6" s="123"/>
      <c r="L6" s="123"/>
      <c r="M6" s="123"/>
      <c r="N6" s="123"/>
      <c r="O6" s="47"/>
      <c r="P6" s="110"/>
      <c r="Q6" s="110"/>
      <c r="R6" s="110"/>
      <c r="S6" s="110"/>
      <c r="T6" s="110"/>
      <c r="U6" s="110"/>
      <c r="V6" s="110"/>
      <c r="W6" s="110"/>
      <c r="X6" s="110"/>
      <c r="Y6" s="110"/>
      <c r="Z6" s="110"/>
    </row>
    <row r="7" ht="28.5" customHeight="1">
      <c r="A7" s="112" t="s">
        <v>756</v>
      </c>
      <c r="B7" s="112">
        <v>3.0</v>
      </c>
      <c r="C7" s="113" t="s">
        <v>19</v>
      </c>
      <c r="D7" s="114" t="s">
        <v>96</v>
      </c>
      <c r="E7" s="124"/>
      <c r="F7" s="124"/>
      <c r="G7" s="124"/>
      <c r="H7" s="124"/>
      <c r="I7" s="125" t="s">
        <v>108</v>
      </c>
      <c r="J7" s="125" t="s">
        <v>109</v>
      </c>
      <c r="K7" s="125" t="s">
        <v>110</v>
      </c>
      <c r="L7" s="125" t="s">
        <v>111</v>
      </c>
      <c r="M7" s="125" t="s">
        <v>112</v>
      </c>
      <c r="N7" s="125" t="s">
        <v>764</v>
      </c>
      <c r="O7" s="117" t="s">
        <v>583</v>
      </c>
      <c r="P7" s="110"/>
      <c r="Q7" s="110"/>
      <c r="R7" s="110"/>
      <c r="S7" s="110"/>
      <c r="T7" s="110"/>
      <c r="U7" s="110"/>
      <c r="V7" s="110"/>
      <c r="W7" s="110"/>
      <c r="X7" s="110"/>
      <c r="Y7" s="110"/>
      <c r="Z7" s="110"/>
    </row>
    <row r="8" ht="28.5" customHeight="1">
      <c r="A8" s="47"/>
      <c r="B8" s="47"/>
      <c r="C8" s="47"/>
      <c r="D8" s="118" t="s">
        <v>95</v>
      </c>
      <c r="E8" s="119" t="s">
        <v>579</v>
      </c>
      <c r="F8" s="119" t="s">
        <v>580</v>
      </c>
      <c r="G8" s="119" t="s">
        <v>581</v>
      </c>
      <c r="H8" s="119" t="s">
        <v>321</v>
      </c>
      <c r="I8" s="119" t="s">
        <v>582</v>
      </c>
      <c r="J8" s="120"/>
      <c r="K8" s="120"/>
      <c r="L8" s="120"/>
      <c r="M8" s="120"/>
      <c r="N8" s="120"/>
      <c r="O8" s="47"/>
      <c r="P8" s="110"/>
      <c r="Q8" s="110"/>
      <c r="R8" s="110"/>
      <c r="S8" s="110"/>
      <c r="T8" s="110"/>
      <c r="U8" s="110"/>
      <c r="V8" s="110"/>
      <c r="W8" s="110"/>
      <c r="X8" s="110"/>
      <c r="Y8" s="110"/>
      <c r="Z8" s="110"/>
    </row>
    <row r="9" ht="28.5" customHeight="1">
      <c r="A9" s="112" t="s">
        <v>756</v>
      </c>
      <c r="B9" s="112">
        <v>4.0</v>
      </c>
      <c r="C9" s="113" t="s">
        <v>113</v>
      </c>
      <c r="D9" s="114" t="s">
        <v>96</v>
      </c>
      <c r="E9" s="124"/>
      <c r="F9" s="124"/>
      <c r="G9" s="124"/>
      <c r="H9" s="124"/>
      <c r="I9" s="116" t="s">
        <v>119</v>
      </c>
      <c r="J9" s="116" t="s">
        <v>120</v>
      </c>
      <c r="K9" s="116" t="s">
        <v>121</v>
      </c>
      <c r="L9" s="116" t="s">
        <v>122</v>
      </c>
      <c r="M9" s="116" t="s">
        <v>123</v>
      </c>
      <c r="N9" s="116" t="s">
        <v>765</v>
      </c>
      <c r="O9" s="117" t="s">
        <v>588</v>
      </c>
      <c r="P9" s="110"/>
      <c r="Q9" s="110"/>
      <c r="R9" s="110"/>
      <c r="S9" s="110"/>
      <c r="T9" s="110"/>
      <c r="U9" s="110"/>
      <c r="V9" s="110"/>
      <c r="W9" s="110"/>
      <c r="X9" s="110"/>
      <c r="Y9" s="110"/>
      <c r="Z9" s="110"/>
    </row>
    <row r="10" ht="28.5" customHeight="1">
      <c r="A10" s="47"/>
      <c r="B10" s="47"/>
      <c r="C10" s="47"/>
      <c r="D10" s="118" t="s">
        <v>95</v>
      </c>
      <c r="E10" s="119" t="s">
        <v>114</v>
      </c>
      <c r="F10" s="119" t="s">
        <v>115</v>
      </c>
      <c r="G10" s="119" t="s">
        <v>116</v>
      </c>
      <c r="H10" s="119" t="s">
        <v>117</v>
      </c>
      <c r="I10" s="119" t="s">
        <v>118</v>
      </c>
      <c r="J10" s="120"/>
      <c r="K10" s="120"/>
      <c r="L10" s="120"/>
      <c r="M10" s="120"/>
      <c r="N10" s="120"/>
      <c r="O10" s="47"/>
      <c r="P10" s="110"/>
      <c r="Q10" s="110"/>
      <c r="R10" s="110"/>
      <c r="S10" s="110"/>
      <c r="T10" s="110"/>
      <c r="U10" s="110"/>
      <c r="V10" s="110"/>
      <c r="W10" s="110"/>
      <c r="X10" s="110"/>
      <c r="Y10" s="110"/>
      <c r="Z10" s="110"/>
    </row>
    <row r="11" ht="28.5" customHeight="1">
      <c r="A11" s="112" t="s">
        <v>756</v>
      </c>
      <c r="B11" s="112">
        <v>5.0</v>
      </c>
      <c r="C11" s="113" t="s">
        <v>124</v>
      </c>
      <c r="D11" s="114" t="s">
        <v>96</v>
      </c>
      <c r="E11" s="124"/>
      <c r="F11" s="124"/>
      <c r="G11" s="124"/>
      <c r="H11" s="124"/>
      <c r="I11" s="126" t="s">
        <v>130</v>
      </c>
      <c r="J11" s="126" t="s">
        <v>131</v>
      </c>
      <c r="K11" s="126" t="s">
        <v>132</v>
      </c>
      <c r="L11" s="126" t="s">
        <v>133</v>
      </c>
      <c r="M11" s="126" t="s">
        <v>134</v>
      </c>
      <c r="N11" s="116" t="s">
        <v>766</v>
      </c>
      <c r="O11" s="117" t="s">
        <v>588</v>
      </c>
      <c r="P11" s="110"/>
      <c r="Q11" s="110"/>
      <c r="R11" s="110"/>
      <c r="S11" s="110"/>
      <c r="T11" s="110"/>
      <c r="U11" s="110"/>
      <c r="V11" s="110"/>
      <c r="W11" s="110"/>
      <c r="X11" s="110"/>
      <c r="Y11" s="110"/>
      <c r="Z11" s="110"/>
    </row>
    <row r="12" ht="28.5" customHeight="1">
      <c r="A12" s="47"/>
      <c r="B12" s="47"/>
      <c r="C12" s="47"/>
      <c r="D12" s="118" t="s">
        <v>95</v>
      </c>
      <c r="E12" s="127" t="s">
        <v>125</v>
      </c>
      <c r="F12" s="127" t="s">
        <v>126</v>
      </c>
      <c r="G12" s="127" t="s">
        <v>127</v>
      </c>
      <c r="H12" s="127" t="s">
        <v>128</v>
      </c>
      <c r="I12" s="127" t="s">
        <v>129</v>
      </c>
      <c r="J12" s="120"/>
      <c r="K12" s="120"/>
      <c r="L12" s="120"/>
      <c r="M12" s="120"/>
      <c r="N12" s="120"/>
      <c r="O12" s="47"/>
      <c r="P12" s="110"/>
      <c r="Q12" s="110"/>
      <c r="R12" s="110"/>
      <c r="S12" s="110"/>
      <c r="T12" s="110"/>
      <c r="U12" s="110"/>
      <c r="V12" s="110"/>
      <c r="W12" s="110"/>
      <c r="X12" s="110"/>
      <c r="Y12" s="110"/>
      <c r="Z12" s="110"/>
    </row>
    <row r="13" ht="28.5" customHeight="1">
      <c r="A13" s="112" t="s">
        <v>756</v>
      </c>
      <c r="B13" s="112">
        <v>6.0</v>
      </c>
      <c r="C13" s="113" t="s">
        <v>26</v>
      </c>
      <c r="D13" s="114" t="s">
        <v>96</v>
      </c>
      <c r="E13" s="124"/>
      <c r="F13" s="124"/>
      <c r="G13" s="124"/>
      <c r="H13" s="124"/>
      <c r="I13" s="116" t="s">
        <v>135</v>
      </c>
      <c r="J13" s="116" t="s">
        <v>135</v>
      </c>
      <c r="K13" s="116" t="s">
        <v>135</v>
      </c>
      <c r="L13" s="116" t="s">
        <v>135</v>
      </c>
      <c r="M13" s="116" t="s">
        <v>135</v>
      </c>
      <c r="N13" s="116" t="s">
        <v>767</v>
      </c>
      <c r="O13" s="128"/>
      <c r="P13" s="110"/>
      <c r="Q13" s="110"/>
      <c r="R13" s="110"/>
      <c r="S13" s="110"/>
      <c r="T13" s="110"/>
      <c r="U13" s="110"/>
      <c r="V13" s="110"/>
      <c r="W13" s="110"/>
      <c r="X13" s="110"/>
      <c r="Y13" s="110"/>
      <c r="Z13" s="110"/>
    </row>
    <row r="14" ht="28.5" customHeight="1">
      <c r="A14" s="47"/>
      <c r="B14" s="47"/>
      <c r="C14" s="47"/>
      <c r="D14" s="118" t="s">
        <v>95</v>
      </c>
      <c r="E14" s="119" t="s">
        <v>592</v>
      </c>
      <c r="F14" s="119" t="s">
        <v>402</v>
      </c>
      <c r="G14" s="119" t="s">
        <v>402</v>
      </c>
      <c r="H14" s="119" t="s">
        <v>593</v>
      </c>
      <c r="I14" s="119" t="s">
        <v>592</v>
      </c>
      <c r="J14" s="120"/>
      <c r="K14" s="120"/>
      <c r="L14" s="120"/>
      <c r="M14" s="120"/>
      <c r="N14" s="120"/>
      <c r="O14" s="47"/>
      <c r="P14" s="110"/>
      <c r="Q14" s="110"/>
      <c r="R14" s="110"/>
      <c r="S14" s="110"/>
      <c r="T14" s="110"/>
      <c r="U14" s="110"/>
      <c r="V14" s="110"/>
      <c r="W14" s="110"/>
      <c r="X14" s="110"/>
      <c r="Y14" s="110"/>
      <c r="Z14" s="110"/>
    </row>
    <row r="15" ht="28.5" customHeight="1">
      <c r="A15" s="112" t="s">
        <v>756</v>
      </c>
      <c r="B15" s="112">
        <v>7.0</v>
      </c>
      <c r="C15" s="113" t="s">
        <v>28</v>
      </c>
      <c r="D15" s="114" t="s">
        <v>96</v>
      </c>
      <c r="E15" s="124"/>
      <c r="F15" s="124"/>
      <c r="G15" s="124"/>
      <c r="H15" s="124"/>
      <c r="I15" s="116" t="s">
        <v>138</v>
      </c>
      <c r="J15" s="116" t="s">
        <v>139</v>
      </c>
      <c r="K15" s="116" t="s">
        <v>140</v>
      </c>
      <c r="L15" s="116" t="s">
        <v>141</v>
      </c>
      <c r="M15" s="116" t="s">
        <v>142</v>
      </c>
      <c r="N15" s="116" t="s">
        <v>768</v>
      </c>
      <c r="O15" s="117" t="s">
        <v>757</v>
      </c>
      <c r="P15" s="110"/>
      <c r="Q15" s="110"/>
      <c r="R15" s="110"/>
      <c r="S15" s="110"/>
      <c r="T15" s="110"/>
      <c r="U15" s="110"/>
      <c r="V15" s="110"/>
      <c r="W15" s="110"/>
      <c r="X15" s="110"/>
      <c r="Y15" s="110"/>
      <c r="Z15" s="110"/>
    </row>
    <row r="16" ht="28.5" customHeight="1">
      <c r="A16" s="47"/>
      <c r="B16" s="47"/>
      <c r="C16" s="47"/>
      <c r="D16" s="118" t="s">
        <v>95</v>
      </c>
      <c r="E16" s="122"/>
      <c r="F16" s="122"/>
      <c r="G16" s="122"/>
      <c r="H16" s="119" t="s">
        <v>136</v>
      </c>
      <c r="I16" s="119" t="s">
        <v>137</v>
      </c>
      <c r="J16" s="120"/>
      <c r="K16" s="120"/>
      <c r="L16" s="120"/>
      <c r="M16" s="120"/>
      <c r="N16" s="120"/>
      <c r="O16" s="47"/>
      <c r="P16" s="110"/>
      <c r="Q16" s="110"/>
      <c r="R16" s="110"/>
      <c r="S16" s="110"/>
      <c r="T16" s="110"/>
      <c r="U16" s="110"/>
      <c r="V16" s="110"/>
      <c r="W16" s="110"/>
      <c r="X16" s="110"/>
      <c r="Y16" s="110"/>
      <c r="Z16" s="110"/>
    </row>
    <row r="17" ht="28.5" customHeight="1">
      <c r="A17" s="112" t="s">
        <v>756</v>
      </c>
      <c r="B17" s="112">
        <v>8.0</v>
      </c>
      <c r="C17" s="113" t="s">
        <v>143</v>
      </c>
      <c r="D17" s="114" t="s">
        <v>96</v>
      </c>
      <c r="E17" s="121"/>
      <c r="F17" s="121"/>
      <c r="G17" s="121"/>
      <c r="H17" s="121"/>
      <c r="I17" s="116" t="s">
        <v>144</v>
      </c>
      <c r="J17" s="116" t="s">
        <v>145</v>
      </c>
      <c r="K17" s="116" t="s">
        <v>146</v>
      </c>
      <c r="L17" s="116" t="s">
        <v>146</v>
      </c>
      <c r="M17" s="116" t="s">
        <v>147</v>
      </c>
      <c r="N17" s="116" t="s">
        <v>769</v>
      </c>
      <c r="O17" s="129" t="s">
        <v>596</v>
      </c>
      <c r="P17" s="110"/>
      <c r="Q17" s="110"/>
      <c r="R17" s="110"/>
      <c r="S17" s="110"/>
      <c r="T17" s="110"/>
      <c r="U17" s="110"/>
      <c r="V17" s="110"/>
      <c r="W17" s="110"/>
      <c r="X17" s="110"/>
      <c r="Y17" s="110"/>
      <c r="Z17" s="110"/>
    </row>
    <row r="18" ht="31.5" customHeight="1">
      <c r="A18" s="47"/>
      <c r="B18" s="47"/>
      <c r="C18" s="47"/>
      <c r="D18" s="118" t="s">
        <v>95</v>
      </c>
      <c r="E18" s="119"/>
      <c r="F18" s="119"/>
      <c r="G18" s="119"/>
      <c r="H18" s="119"/>
      <c r="I18" s="120"/>
      <c r="J18" s="120"/>
      <c r="K18" s="120"/>
      <c r="L18" s="120"/>
      <c r="M18" s="120"/>
      <c r="N18" s="120"/>
      <c r="O18" s="47"/>
      <c r="P18" s="110"/>
      <c r="Q18" s="110"/>
      <c r="R18" s="110"/>
      <c r="S18" s="110"/>
      <c r="T18" s="110"/>
      <c r="U18" s="110"/>
      <c r="V18" s="110"/>
      <c r="W18" s="110"/>
      <c r="X18" s="110"/>
      <c r="Y18" s="110"/>
      <c r="Z18" s="110"/>
    </row>
    <row r="19" ht="32.25" customHeight="1">
      <c r="A19" s="112" t="s">
        <v>756</v>
      </c>
      <c r="B19" s="112">
        <v>9.0</v>
      </c>
      <c r="C19" s="113" t="s">
        <v>148</v>
      </c>
      <c r="D19" s="114" t="s">
        <v>96</v>
      </c>
      <c r="E19" s="124"/>
      <c r="F19" s="124"/>
      <c r="G19" s="124"/>
      <c r="H19" s="124"/>
      <c r="I19" s="116" t="s">
        <v>152</v>
      </c>
      <c r="J19" s="116" t="s">
        <v>153</v>
      </c>
      <c r="K19" s="116" t="s">
        <v>154</v>
      </c>
      <c r="L19" s="116" t="s">
        <v>155</v>
      </c>
      <c r="M19" s="116" t="s">
        <v>156</v>
      </c>
      <c r="N19" s="116" t="s">
        <v>770</v>
      </c>
      <c r="O19" s="117" t="s">
        <v>598</v>
      </c>
      <c r="P19" s="110"/>
      <c r="Q19" s="110"/>
      <c r="R19" s="110"/>
      <c r="S19" s="110"/>
      <c r="T19" s="110"/>
      <c r="U19" s="110"/>
      <c r="V19" s="110"/>
      <c r="W19" s="110"/>
      <c r="X19" s="110"/>
      <c r="Y19" s="110"/>
      <c r="Z19" s="110"/>
    </row>
    <row r="20" ht="28.5" customHeight="1">
      <c r="A20" s="47"/>
      <c r="B20" s="47"/>
      <c r="C20" s="47"/>
      <c r="D20" s="118" t="s">
        <v>95</v>
      </c>
      <c r="E20" s="119" t="s">
        <v>149</v>
      </c>
      <c r="F20" s="119" t="s">
        <v>150</v>
      </c>
      <c r="G20" s="119" t="s">
        <v>151</v>
      </c>
      <c r="H20" s="119"/>
      <c r="I20" s="119"/>
      <c r="J20" s="120"/>
      <c r="K20" s="120"/>
      <c r="L20" s="120"/>
      <c r="M20" s="120"/>
      <c r="N20" s="120"/>
      <c r="O20" s="47"/>
      <c r="P20" s="110"/>
      <c r="Q20" s="110"/>
      <c r="R20" s="110"/>
      <c r="S20" s="110"/>
      <c r="T20" s="110"/>
      <c r="U20" s="110"/>
      <c r="V20" s="110"/>
      <c r="W20" s="110"/>
      <c r="X20" s="110"/>
      <c r="Y20" s="110"/>
      <c r="Z20" s="110"/>
    </row>
    <row r="21" ht="28.5" customHeight="1">
      <c r="A21" s="112" t="s">
        <v>756</v>
      </c>
      <c r="B21" s="112">
        <v>10.0</v>
      </c>
      <c r="C21" s="113" t="s">
        <v>157</v>
      </c>
      <c r="D21" s="114" t="s">
        <v>96</v>
      </c>
      <c r="E21" s="124"/>
      <c r="F21" s="124"/>
      <c r="G21" s="124"/>
      <c r="H21" s="124"/>
      <c r="I21" s="116" t="s">
        <v>163</v>
      </c>
      <c r="J21" s="116" t="s">
        <v>164</v>
      </c>
      <c r="K21" s="116" t="s">
        <v>165</v>
      </c>
      <c r="L21" s="116" t="s">
        <v>166</v>
      </c>
      <c r="M21" s="116" t="s">
        <v>167</v>
      </c>
      <c r="N21" s="116" t="s">
        <v>771</v>
      </c>
      <c r="O21" s="128"/>
      <c r="P21" s="110"/>
      <c r="Q21" s="110"/>
      <c r="R21" s="110"/>
      <c r="S21" s="110"/>
      <c r="T21" s="110"/>
      <c r="U21" s="110"/>
      <c r="V21" s="110"/>
      <c r="W21" s="110"/>
      <c r="X21" s="110"/>
      <c r="Y21" s="110"/>
      <c r="Z21" s="110"/>
    </row>
    <row r="22" ht="28.5" customHeight="1">
      <c r="A22" s="47"/>
      <c r="B22" s="47"/>
      <c r="C22" s="47"/>
      <c r="D22" s="118" t="s">
        <v>95</v>
      </c>
      <c r="E22" s="119" t="s">
        <v>158</v>
      </c>
      <c r="F22" s="119" t="s">
        <v>159</v>
      </c>
      <c r="G22" s="119" t="s">
        <v>160</v>
      </c>
      <c r="H22" s="119" t="s">
        <v>161</v>
      </c>
      <c r="I22" s="119" t="s">
        <v>162</v>
      </c>
      <c r="J22" s="120"/>
      <c r="K22" s="120"/>
      <c r="L22" s="120"/>
      <c r="M22" s="120"/>
      <c r="N22" s="120"/>
      <c r="O22" s="47"/>
      <c r="P22" s="110"/>
      <c r="Q22" s="110"/>
      <c r="R22" s="110"/>
      <c r="S22" s="110"/>
      <c r="T22" s="110"/>
      <c r="U22" s="110"/>
      <c r="V22" s="110"/>
      <c r="W22" s="110"/>
      <c r="X22" s="110"/>
      <c r="Y22" s="110"/>
      <c r="Z22" s="110"/>
    </row>
    <row r="23" ht="28.5" customHeight="1">
      <c r="A23" s="112" t="s">
        <v>758</v>
      </c>
      <c r="B23" s="112">
        <v>11.0</v>
      </c>
      <c r="C23" s="113" t="s">
        <v>168</v>
      </c>
      <c r="D23" s="114" t="s">
        <v>96</v>
      </c>
      <c r="E23" s="124"/>
      <c r="F23" s="124"/>
      <c r="G23" s="124"/>
      <c r="H23" s="124"/>
      <c r="I23" s="116" t="s">
        <v>169</v>
      </c>
      <c r="J23" s="116" t="s">
        <v>170</v>
      </c>
      <c r="K23" s="116" t="s">
        <v>171</v>
      </c>
      <c r="L23" s="116" t="s">
        <v>172</v>
      </c>
      <c r="M23" s="116" t="s">
        <v>173</v>
      </c>
      <c r="N23" s="116" t="s">
        <v>772</v>
      </c>
      <c r="O23" s="117" t="s">
        <v>588</v>
      </c>
      <c r="P23" s="110"/>
      <c r="Q23" s="110"/>
      <c r="R23" s="110"/>
      <c r="S23" s="110"/>
      <c r="T23" s="110"/>
      <c r="U23" s="110"/>
      <c r="V23" s="110"/>
      <c r="W23" s="110"/>
      <c r="X23" s="110"/>
      <c r="Y23" s="110"/>
      <c r="Z23" s="110"/>
    </row>
    <row r="24" ht="28.5" customHeight="1">
      <c r="A24" s="47"/>
      <c r="B24" s="47"/>
      <c r="C24" s="47"/>
      <c r="D24" s="118" t="s">
        <v>95</v>
      </c>
      <c r="E24" s="119">
        <v>73.49</v>
      </c>
      <c r="F24" s="119">
        <v>73.51</v>
      </c>
      <c r="G24" s="119">
        <v>73.54</v>
      </c>
      <c r="H24" s="119">
        <v>73.57</v>
      </c>
      <c r="I24" s="119">
        <v>73.68</v>
      </c>
      <c r="J24" s="120"/>
      <c r="K24" s="120"/>
      <c r="L24" s="120"/>
      <c r="M24" s="120"/>
      <c r="N24" s="120"/>
      <c r="O24" s="47"/>
      <c r="P24" s="110"/>
      <c r="Q24" s="110"/>
      <c r="R24" s="110"/>
      <c r="S24" s="110"/>
      <c r="T24" s="110"/>
      <c r="U24" s="110"/>
      <c r="V24" s="110"/>
      <c r="W24" s="110"/>
      <c r="X24" s="110"/>
      <c r="Y24" s="110"/>
      <c r="Z24" s="110"/>
    </row>
    <row r="25" ht="28.5" customHeight="1">
      <c r="A25" s="112" t="s">
        <v>758</v>
      </c>
      <c r="B25" s="112">
        <v>12.0</v>
      </c>
      <c r="C25" s="113" t="s">
        <v>174</v>
      </c>
      <c r="D25" s="114" t="s">
        <v>96</v>
      </c>
      <c r="E25" s="121"/>
      <c r="F25" s="121"/>
      <c r="G25" s="121"/>
      <c r="H25" s="121"/>
      <c r="I25" s="116" t="s">
        <v>175</v>
      </c>
      <c r="J25" s="116" t="s">
        <v>176</v>
      </c>
      <c r="K25" s="116" t="s">
        <v>177</v>
      </c>
      <c r="L25" s="116" t="s">
        <v>178</v>
      </c>
      <c r="M25" s="116" t="s">
        <v>179</v>
      </c>
      <c r="N25" s="116" t="s">
        <v>773</v>
      </c>
      <c r="O25" s="129" t="s">
        <v>596</v>
      </c>
      <c r="P25" s="110"/>
      <c r="Q25" s="110"/>
      <c r="R25" s="110"/>
      <c r="S25" s="110"/>
      <c r="T25" s="110"/>
      <c r="U25" s="110"/>
      <c r="V25" s="110"/>
      <c r="W25" s="110"/>
      <c r="X25" s="110"/>
      <c r="Y25" s="110"/>
      <c r="Z25" s="110"/>
    </row>
    <row r="26" ht="28.5" customHeight="1">
      <c r="A26" s="47"/>
      <c r="B26" s="47"/>
      <c r="C26" s="47"/>
      <c r="D26" s="118" t="s">
        <v>95</v>
      </c>
      <c r="E26" s="119"/>
      <c r="F26" s="119"/>
      <c r="G26" s="119"/>
      <c r="H26" s="122"/>
      <c r="I26" s="120"/>
      <c r="J26" s="120"/>
      <c r="K26" s="120"/>
      <c r="L26" s="120"/>
      <c r="M26" s="120"/>
      <c r="N26" s="120"/>
      <c r="O26" s="47"/>
      <c r="P26" s="110"/>
      <c r="Q26" s="110"/>
      <c r="R26" s="110"/>
      <c r="S26" s="110"/>
      <c r="T26" s="110"/>
      <c r="U26" s="110"/>
      <c r="V26" s="110"/>
      <c r="W26" s="110"/>
      <c r="X26" s="110"/>
      <c r="Y26" s="110"/>
      <c r="Z26" s="110"/>
    </row>
    <row r="27" ht="28.5" customHeight="1">
      <c r="A27" s="112" t="s">
        <v>758</v>
      </c>
      <c r="B27" s="112">
        <v>13.0</v>
      </c>
      <c r="C27" s="113" t="s">
        <v>180</v>
      </c>
      <c r="D27" s="114" t="s">
        <v>96</v>
      </c>
      <c r="E27" s="124"/>
      <c r="F27" s="124"/>
      <c r="G27" s="124"/>
      <c r="H27" s="124"/>
      <c r="I27" s="116" t="s">
        <v>181</v>
      </c>
      <c r="J27" s="116" t="s">
        <v>182</v>
      </c>
      <c r="K27" s="116" t="s">
        <v>183</v>
      </c>
      <c r="L27" s="116" t="s">
        <v>184</v>
      </c>
      <c r="M27" s="116" t="s">
        <v>185</v>
      </c>
      <c r="N27" s="116" t="s">
        <v>774</v>
      </c>
      <c r="O27" s="129" t="s">
        <v>604</v>
      </c>
      <c r="P27" s="110"/>
      <c r="Q27" s="110"/>
      <c r="R27" s="110"/>
      <c r="S27" s="110"/>
      <c r="T27" s="110"/>
      <c r="U27" s="110"/>
      <c r="V27" s="110"/>
      <c r="W27" s="110"/>
      <c r="X27" s="110"/>
      <c r="Y27" s="110"/>
      <c r="Z27" s="110"/>
    </row>
    <row r="28" ht="28.5" customHeight="1">
      <c r="A28" s="47"/>
      <c r="B28" s="47"/>
      <c r="C28" s="47"/>
      <c r="D28" s="118" t="s">
        <v>95</v>
      </c>
      <c r="E28" s="119" t="s">
        <v>600</v>
      </c>
      <c r="F28" s="119" t="s">
        <v>601</v>
      </c>
      <c r="G28" s="119" t="s">
        <v>602</v>
      </c>
      <c r="H28" s="119" t="s">
        <v>603</v>
      </c>
      <c r="I28" s="122"/>
      <c r="J28" s="120"/>
      <c r="K28" s="120"/>
      <c r="L28" s="120"/>
      <c r="M28" s="120"/>
      <c r="N28" s="120"/>
      <c r="O28" s="47"/>
      <c r="P28" s="110"/>
      <c r="Q28" s="110"/>
      <c r="R28" s="110"/>
      <c r="S28" s="110"/>
      <c r="T28" s="110"/>
      <c r="U28" s="110"/>
      <c r="V28" s="110"/>
      <c r="W28" s="110"/>
      <c r="X28" s="110"/>
      <c r="Y28" s="110"/>
      <c r="Z28" s="110"/>
    </row>
    <row r="29" ht="28.5" customHeight="1">
      <c r="A29" s="112" t="s">
        <v>758</v>
      </c>
      <c r="B29" s="112">
        <v>14.0</v>
      </c>
      <c r="C29" s="113" t="s">
        <v>605</v>
      </c>
      <c r="D29" s="114" t="s">
        <v>96</v>
      </c>
      <c r="E29" s="121"/>
      <c r="F29" s="121"/>
      <c r="G29" s="121"/>
      <c r="H29" s="121"/>
      <c r="I29" s="116" t="s">
        <v>187</v>
      </c>
      <c r="J29" s="116" t="s">
        <v>187</v>
      </c>
      <c r="K29" s="116" t="s">
        <v>187</v>
      </c>
      <c r="L29" s="116" t="s">
        <v>187</v>
      </c>
      <c r="M29" s="116" t="s">
        <v>187</v>
      </c>
      <c r="N29" s="116" t="s">
        <v>382</v>
      </c>
      <c r="O29" s="129" t="s">
        <v>606</v>
      </c>
      <c r="P29" s="110"/>
      <c r="Q29" s="110"/>
      <c r="R29" s="110"/>
      <c r="S29" s="110"/>
      <c r="T29" s="110"/>
      <c r="U29" s="110"/>
      <c r="V29" s="110"/>
      <c r="W29" s="110"/>
      <c r="X29" s="110"/>
      <c r="Y29" s="110"/>
      <c r="Z29" s="110"/>
    </row>
    <row r="30" ht="28.5" customHeight="1">
      <c r="A30" s="47"/>
      <c r="B30" s="47"/>
      <c r="C30" s="47"/>
      <c r="D30" s="118" t="s">
        <v>95</v>
      </c>
      <c r="E30" s="119"/>
      <c r="F30" s="119"/>
      <c r="G30" s="122"/>
      <c r="H30" s="119"/>
      <c r="I30" s="120"/>
      <c r="J30" s="120"/>
      <c r="K30" s="120"/>
      <c r="L30" s="120"/>
      <c r="M30" s="120"/>
      <c r="N30" s="120"/>
      <c r="O30" s="47"/>
      <c r="P30" s="110"/>
      <c r="Q30" s="110"/>
      <c r="R30" s="110"/>
      <c r="S30" s="110"/>
      <c r="T30" s="110"/>
      <c r="U30" s="110"/>
      <c r="V30" s="110"/>
      <c r="W30" s="110"/>
      <c r="X30" s="110"/>
      <c r="Y30" s="110"/>
      <c r="Z30" s="110"/>
    </row>
    <row r="31" ht="28.5" customHeight="1">
      <c r="A31" s="112" t="s">
        <v>758</v>
      </c>
      <c r="B31" s="112">
        <v>15.0</v>
      </c>
      <c r="C31" s="113" t="s">
        <v>189</v>
      </c>
      <c r="D31" s="114" t="s">
        <v>96</v>
      </c>
      <c r="E31" s="115"/>
      <c r="F31" s="115"/>
      <c r="G31" s="121"/>
      <c r="H31" s="115"/>
      <c r="I31" s="116" t="s">
        <v>190</v>
      </c>
      <c r="J31" s="116" t="s">
        <v>191</v>
      </c>
      <c r="K31" s="116" t="s">
        <v>192</v>
      </c>
      <c r="L31" s="116" t="s">
        <v>193</v>
      </c>
      <c r="M31" s="116" t="s">
        <v>194</v>
      </c>
      <c r="N31" s="116" t="s">
        <v>775</v>
      </c>
      <c r="O31" s="129" t="s">
        <v>608</v>
      </c>
      <c r="P31" s="110"/>
      <c r="Q31" s="110"/>
      <c r="R31" s="110"/>
      <c r="S31" s="110"/>
      <c r="T31" s="110"/>
      <c r="U31" s="110"/>
      <c r="V31" s="110"/>
      <c r="W31" s="110"/>
      <c r="X31" s="110"/>
      <c r="Y31" s="110"/>
      <c r="Z31" s="110"/>
    </row>
    <row r="32" ht="33.75" customHeight="1">
      <c r="A32" s="47"/>
      <c r="B32" s="47"/>
      <c r="C32" s="47"/>
      <c r="D32" s="118" t="s">
        <v>95</v>
      </c>
      <c r="E32" s="122"/>
      <c r="F32" s="122"/>
      <c r="G32" s="122"/>
      <c r="H32" s="122"/>
      <c r="I32" s="120"/>
      <c r="J32" s="120"/>
      <c r="K32" s="120"/>
      <c r="L32" s="120"/>
      <c r="M32" s="120"/>
      <c r="N32" s="120"/>
      <c r="O32" s="47"/>
      <c r="P32" s="110"/>
      <c r="Q32" s="110"/>
      <c r="R32" s="110"/>
      <c r="S32" s="110"/>
      <c r="T32" s="110"/>
      <c r="U32" s="110"/>
      <c r="V32" s="110"/>
      <c r="W32" s="110"/>
      <c r="X32" s="110"/>
      <c r="Y32" s="110"/>
      <c r="Z32" s="110"/>
    </row>
    <row r="33" ht="27.0" customHeight="1">
      <c r="A33" s="112" t="s">
        <v>758</v>
      </c>
      <c r="B33" s="112">
        <v>16.0</v>
      </c>
      <c r="C33" s="130" t="s">
        <v>195</v>
      </c>
      <c r="D33" s="114" t="s">
        <v>96</v>
      </c>
      <c r="E33" s="121"/>
      <c r="F33" s="121"/>
      <c r="G33" s="121"/>
      <c r="H33" s="121"/>
      <c r="I33" s="116" t="s">
        <v>196</v>
      </c>
      <c r="J33" s="116" t="s">
        <v>197</v>
      </c>
      <c r="K33" s="116" t="s">
        <v>198</v>
      </c>
      <c r="L33" s="116" t="s">
        <v>199</v>
      </c>
      <c r="M33" s="116" t="s">
        <v>200</v>
      </c>
      <c r="N33" s="116" t="s">
        <v>776</v>
      </c>
      <c r="O33" s="129" t="s">
        <v>596</v>
      </c>
      <c r="P33" s="110"/>
      <c r="Q33" s="110"/>
      <c r="R33" s="110"/>
      <c r="S33" s="110"/>
      <c r="T33" s="110"/>
      <c r="U33" s="110"/>
      <c r="V33" s="110"/>
      <c r="W33" s="110"/>
      <c r="X33" s="110"/>
      <c r="Y33" s="110"/>
      <c r="Z33" s="110"/>
    </row>
    <row r="34" ht="35.25" customHeight="1">
      <c r="A34" s="47"/>
      <c r="B34" s="47"/>
      <c r="C34" s="47"/>
      <c r="D34" s="118" t="s">
        <v>95</v>
      </c>
      <c r="E34" s="122"/>
      <c r="F34" s="122"/>
      <c r="G34" s="122"/>
      <c r="H34" s="122"/>
      <c r="I34" s="120"/>
      <c r="J34" s="120"/>
      <c r="K34" s="120"/>
      <c r="L34" s="120"/>
      <c r="M34" s="120"/>
      <c r="N34" s="120"/>
      <c r="O34" s="47"/>
      <c r="P34" s="110"/>
      <c r="Q34" s="110"/>
      <c r="R34" s="110"/>
      <c r="S34" s="110"/>
      <c r="T34" s="110"/>
      <c r="U34" s="110"/>
      <c r="V34" s="110"/>
      <c r="W34" s="110"/>
      <c r="X34" s="110"/>
      <c r="Y34" s="110"/>
      <c r="Z34" s="110"/>
    </row>
    <row r="35" ht="30.0" customHeight="1">
      <c r="A35" s="112" t="s">
        <v>758</v>
      </c>
      <c r="B35" s="112">
        <v>17.0</v>
      </c>
      <c r="C35" s="130" t="s">
        <v>201</v>
      </c>
      <c r="D35" s="114" t="s">
        <v>96</v>
      </c>
      <c r="E35" s="121"/>
      <c r="F35" s="121"/>
      <c r="G35" s="121"/>
      <c r="H35" s="121"/>
      <c r="I35" s="116" t="s">
        <v>196</v>
      </c>
      <c r="J35" s="116" t="s">
        <v>202</v>
      </c>
      <c r="K35" s="116" t="s">
        <v>197</v>
      </c>
      <c r="L35" s="116" t="s">
        <v>203</v>
      </c>
      <c r="M35" s="116" t="s">
        <v>198</v>
      </c>
      <c r="N35" s="116" t="s">
        <v>200</v>
      </c>
      <c r="O35" s="129" t="s">
        <v>596</v>
      </c>
      <c r="P35" s="110"/>
      <c r="Q35" s="110"/>
      <c r="R35" s="110"/>
      <c r="S35" s="110"/>
      <c r="T35" s="110"/>
      <c r="U35" s="110"/>
      <c r="V35" s="110"/>
      <c r="W35" s="110"/>
      <c r="X35" s="110"/>
      <c r="Y35" s="110"/>
      <c r="Z35" s="110"/>
    </row>
    <row r="36" ht="28.5" customHeight="1">
      <c r="A36" s="47"/>
      <c r="B36" s="47"/>
      <c r="C36" s="47"/>
      <c r="D36" s="118" t="s">
        <v>95</v>
      </c>
      <c r="E36" s="119"/>
      <c r="F36" s="119"/>
      <c r="G36" s="119"/>
      <c r="H36" s="119"/>
      <c r="I36" s="120"/>
      <c r="J36" s="120"/>
      <c r="K36" s="120"/>
      <c r="L36" s="120"/>
      <c r="M36" s="120"/>
      <c r="N36" s="120"/>
      <c r="O36" s="47"/>
      <c r="P36" s="110"/>
      <c r="Q36" s="110"/>
      <c r="R36" s="110"/>
      <c r="S36" s="110"/>
      <c r="T36" s="110"/>
      <c r="U36" s="110"/>
      <c r="V36" s="110"/>
      <c r="W36" s="110"/>
      <c r="X36" s="110"/>
      <c r="Y36" s="110"/>
      <c r="Z36" s="110"/>
    </row>
    <row r="37" ht="28.5" customHeight="1">
      <c r="A37" s="112" t="s">
        <v>758</v>
      </c>
      <c r="B37" s="112">
        <v>18.0</v>
      </c>
      <c r="C37" s="113" t="s">
        <v>204</v>
      </c>
      <c r="D37" s="114" t="s">
        <v>96</v>
      </c>
      <c r="E37" s="124"/>
      <c r="F37" s="124"/>
      <c r="G37" s="124"/>
      <c r="H37" s="124"/>
      <c r="I37" s="116" t="s">
        <v>205</v>
      </c>
      <c r="J37" s="116" t="s">
        <v>110</v>
      </c>
      <c r="K37" s="116" t="s">
        <v>206</v>
      </c>
      <c r="L37" s="116" t="s">
        <v>207</v>
      </c>
      <c r="M37" s="116" t="s">
        <v>208</v>
      </c>
      <c r="N37" s="116" t="s">
        <v>777</v>
      </c>
      <c r="O37" s="117" t="s">
        <v>588</v>
      </c>
      <c r="P37" s="110"/>
      <c r="Q37" s="110"/>
      <c r="R37" s="110"/>
      <c r="S37" s="110"/>
      <c r="T37" s="110"/>
      <c r="U37" s="110"/>
      <c r="V37" s="110"/>
      <c r="W37" s="110"/>
      <c r="X37" s="110"/>
      <c r="Y37" s="110"/>
      <c r="Z37" s="110"/>
    </row>
    <row r="38" ht="28.5" customHeight="1">
      <c r="A38" s="47"/>
      <c r="B38" s="47"/>
      <c r="C38" s="47"/>
      <c r="D38" s="118" t="s">
        <v>95</v>
      </c>
      <c r="E38" s="119" t="s">
        <v>109</v>
      </c>
      <c r="F38" s="119" t="s">
        <v>617</v>
      </c>
      <c r="G38" s="119" t="s">
        <v>618</v>
      </c>
      <c r="H38" s="119" t="s">
        <v>619</v>
      </c>
      <c r="I38" s="119" t="s">
        <v>620</v>
      </c>
      <c r="J38" s="120"/>
      <c r="K38" s="120"/>
      <c r="L38" s="120"/>
      <c r="M38" s="120"/>
      <c r="N38" s="120"/>
      <c r="O38" s="47"/>
      <c r="P38" s="110"/>
      <c r="Q38" s="110"/>
      <c r="R38" s="110"/>
      <c r="S38" s="110"/>
      <c r="T38" s="110"/>
      <c r="U38" s="110"/>
      <c r="V38" s="110"/>
      <c r="W38" s="110"/>
      <c r="X38" s="110"/>
      <c r="Y38" s="110"/>
      <c r="Z38" s="110"/>
    </row>
    <row r="39" ht="28.5" customHeight="1">
      <c r="A39" s="112" t="s">
        <v>758</v>
      </c>
      <c r="B39" s="112">
        <v>19.0</v>
      </c>
      <c r="C39" s="113" t="s">
        <v>209</v>
      </c>
      <c r="D39" s="114" t="s">
        <v>96</v>
      </c>
      <c r="E39" s="124"/>
      <c r="F39" s="124"/>
      <c r="G39" s="124"/>
      <c r="H39" s="124"/>
      <c r="I39" s="116" t="s">
        <v>210</v>
      </c>
      <c r="J39" s="116" t="s">
        <v>211</v>
      </c>
      <c r="K39" s="116" t="s">
        <v>212</v>
      </c>
      <c r="L39" s="116" t="s">
        <v>213</v>
      </c>
      <c r="M39" s="116" t="s">
        <v>214</v>
      </c>
      <c r="N39" s="116" t="s">
        <v>778</v>
      </c>
      <c r="O39" s="117" t="s">
        <v>588</v>
      </c>
      <c r="P39" s="110"/>
      <c r="Q39" s="110"/>
      <c r="R39" s="110"/>
      <c r="S39" s="110"/>
      <c r="T39" s="110"/>
      <c r="U39" s="110"/>
      <c r="V39" s="110"/>
      <c r="W39" s="110"/>
      <c r="X39" s="110"/>
      <c r="Y39" s="110"/>
      <c r="Z39" s="110"/>
    </row>
    <row r="40" ht="28.5" customHeight="1">
      <c r="A40" s="47"/>
      <c r="B40" s="47"/>
      <c r="C40" s="47"/>
      <c r="D40" s="118" t="s">
        <v>95</v>
      </c>
      <c r="E40" s="119" t="s">
        <v>621</v>
      </c>
      <c r="F40" s="119" t="s">
        <v>622</v>
      </c>
      <c r="G40" s="119" t="s">
        <v>623</v>
      </c>
      <c r="H40" s="119" t="s">
        <v>624</v>
      </c>
      <c r="I40" s="119" t="s">
        <v>625</v>
      </c>
      <c r="J40" s="120"/>
      <c r="K40" s="120"/>
      <c r="L40" s="120"/>
      <c r="M40" s="120"/>
      <c r="N40" s="120"/>
      <c r="O40" s="47"/>
      <c r="P40" s="110"/>
      <c r="Q40" s="110"/>
      <c r="R40" s="110"/>
      <c r="S40" s="110"/>
      <c r="T40" s="110"/>
      <c r="U40" s="110"/>
      <c r="V40" s="110"/>
      <c r="W40" s="110"/>
      <c r="X40" s="110"/>
      <c r="Y40" s="110"/>
      <c r="Z40" s="110"/>
    </row>
    <row r="41" ht="28.5" customHeight="1">
      <c r="A41" s="112" t="s">
        <v>758</v>
      </c>
      <c r="B41" s="112">
        <v>20.0</v>
      </c>
      <c r="C41" s="113" t="s">
        <v>48</v>
      </c>
      <c r="D41" s="114" t="s">
        <v>96</v>
      </c>
      <c r="E41" s="124"/>
      <c r="F41" s="124"/>
      <c r="G41" s="124"/>
      <c r="H41" s="124"/>
      <c r="I41" s="116" t="s">
        <v>215</v>
      </c>
      <c r="J41" s="116" t="s">
        <v>216</v>
      </c>
      <c r="K41" s="116" t="s">
        <v>217</v>
      </c>
      <c r="L41" s="116" t="s">
        <v>218</v>
      </c>
      <c r="M41" s="116" t="s">
        <v>219</v>
      </c>
      <c r="N41" s="131" t="s">
        <v>779</v>
      </c>
      <c r="O41" s="129" t="s">
        <v>632</v>
      </c>
      <c r="P41" s="110"/>
      <c r="Q41" s="110"/>
      <c r="R41" s="110"/>
      <c r="S41" s="110"/>
      <c r="T41" s="110"/>
      <c r="U41" s="110"/>
      <c r="V41" s="110"/>
      <c r="W41" s="110"/>
      <c r="X41" s="110"/>
      <c r="Y41" s="110"/>
      <c r="Z41" s="110"/>
    </row>
    <row r="42" ht="28.5" customHeight="1">
      <c r="A42" s="47"/>
      <c r="B42" s="47"/>
      <c r="C42" s="47"/>
      <c r="D42" s="118" t="s">
        <v>95</v>
      </c>
      <c r="E42" s="119" t="s">
        <v>627</v>
      </c>
      <c r="F42" s="119" t="s">
        <v>628</v>
      </c>
      <c r="G42" s="119" t="s">
        <v>629</v>
      </c>
      <c r="H42" s="119" t="s">
        <v>630</v>
      </c>
      <c r="I42" s="119" t="s">
        <v>631</v>
      </c>
      <c r="J42" s="120"/>
      <c r="K42" s="120"/>
      <c r="L42" s="120"/>
      <c r="M42" s="120"/>
      <c r="N42" s="120"/>
      <c r="O42" s="47"/>
      <c r="P42" s="110"/>
      <c r="Q42" s="110"/>
      <c r="R42" s="110"/>
      <c r="S42" s="110"/>
      <c r="T42" s="110"/>
      <c r="U42" s="110"/>
      <c r="V42" s="110"/>
      <c r="W42" s="110"/>
      <c r="X42" s="110"/>
      <c r="Y42" s="110"/>
      <c r="Z42" s="110"/>
    </row>
    <row r="43" ht="28.5" customHeight="1">
      <c r="A43" s="112" t="s">
        <v>758</v>
      </c>
      <c r="B43" s="112">
        <v>21.0</v>
      </c>
      <c r="C43" s="113" t="s">
        <v>220</v>
      </c>
      <c r="D43" s="114" t="s">
        <v>96</v>
      </c>
      <c r="E43" s="121"/>
      <c r="F43" s="121"/>
      <c r="G43" s="121"/>
      <c r="H43" s="121"/>
      <c r="I43" s="116" t="s">
        <v>190</v>
      </c>
      <c r="J43" s="116" t="s">
        <v>191</v>
      </c>
      <c r="K43" s="116" t="s">
        <v>192</v>
      </c>
      <c r="L43" s="116" t="s">
        <v>221</v>
      </c>
      <c r="M43" s="116" t="s">
        <v>193</v>
      </c>
      <c r="N43" s="116" t="s">
        <v>780</v>
      </c>
      <c r="O43" s="129" t="s">
        <v>759</v>
      </c>
      <c r="P43" s="110"/>
      <c r="Q43" s="110"/>
      <c r="R43" s="110"/>
      <c r="S43" s="110"/>
      <c r="T43" s="110"/>
      <c r="U43" s="110"/>
      <c r="V43" s="110"/>
      <c r="W43" s="110"/>
      <c r="X43" s="110"/>
      <c r="Y43" s="110"/>
      <c r="Z43" s="110"/>
    </row>
    <row r="44" ht="28.5" customHeight="1">
      <c r="A44" s="47"/>
      <c r="B44" s="47"/>
      <c r="C44" s="47"/>
      <c r="D44" s="118" t="s">
        <v>95</v>
      </c>
      <c r="E44" s="122"/>
      <c r="F44" s="122"/>
      <c r="G44" s="122"/>
      <c r="H44" s="122"/>
      <c r="I44" s="120"/>
      <c r="J44" s="120"/>
      <c r="K44" s="120"/>
      <c r="L44" s="120"/>
      <c r="M44" s="120"/>
      <c r="N44" s="120"/>
      <c r="O44" s="47"/>
      <c r="P44" s="110"/>
      <c r="Q44" s="110"/>
      <c r="R44" s="110"/>
      <c r="S44" s="110"/>
      <c r="T44" s="110"/>
      <c r="U44" s="110"/>
      <c r="V44" s="110"/>
      <c r="W44" s="110"/>
      <c r="X44" s="110"/>
      <c r="Y44" s="110"/>
      <c r="Z44" s="110"/>
    </row>
    <row r="45" ht="28.5" customHeight="1">
      <c r="A45" s="112" t="s">
        <v>758</v>
      </c>
      <c r="B45" s="112">
        <v>22.0</v>
      </c>
      <c r="C45" s="113" t="s">
        <v>222</v>
      </c>
      <c r="D45" s="114" t="s">
        <v>96</v>
      </c>
      <c r="E45" s="121"/>
      <c r="F45" s="121"/>
      <c r="G45" s="121"/>
      <c r="H45" s="121"/>
      <c r="I45" s="116" t="s">
        <v>223</v>
      </c>
      <c r="J45" s="116" t="s">
        <v>164</v>
      </c>
      <c r="K45" s="116" t="s">
        <v>224</v>
      </c>
      <c r="L45" s="116" t="s">
        <v>225</v>
      </c>
      <c r="M45" s="116" t="s">
        <v>226</v>
      </c>
      <c r="N45" s="116" t="s">
        <v>781</v>
      </c>
      <c r="O45" s="129" t="s">
        <v>634</v>
      </c>
      <c r="P45" s="110"/>
      <c r="Q45" s="110"/>
      <c r="R45" s="110"/>
      <c r="S45" s="110"/>
      <c r="T45" s="110"/>
      <c r="U45" s="110"/>
      <c r="V45" s="110"/>
      <c r="W45" s="110"/>
      <c r="X45" s="110"/>
      <c r="Y45" s="110"/>
      <c r="Z45" s="110"/>
    </row>
    <row r="46" ht="28.5" customHeight="1">
      <c r="A46" s="47"/>
      <c r="B46" s="47"/>
      <c r="C46" s="47"/>
      <c r="D46" s="118" t="s">
        <v>95</v>
      </c>
      <c r="E46" s="122"/>
      <c r="F46" s="122"/>
      <c r="G46" s="122"/>
      <c r="H46" s="122"/>
      <c r="I46" s="120"/>
      <c r="J46" s="120"/>
      <c r="K46" s="120"/>
      <c r="L46" s="120"/>
      <c r="M46" s="120"/>
      <c r="N46" s="120"/>
      <c r="O46" s="47"/>
      <c r="P46" s="110"/>
      <c r="Q46" s="110"/>
      <c r="R46" s="110"/>
      <c r="S46" s="110"/>
      <c r="T46" s="110"/>
      <c r="U46" s="110"/>
      <c r="V46" s="110"/>
      <c r="W46" s="110"/>
      <c r="X46" s="110"/>
      <c r="Y46" s="110"/>
      <c r="Z46" s="110"/>
    </row>
    <row r="47" ht="28.5" customHeight="1">
      <c r="A47" s="112" t="s">
        <v>758</v>
      </c>
      <c r="B47" s="112">
        <v>23.0</v>
      </c>
      <c r="C47" s="113" t="s">
        <v>227</v>
      </c>
      <c r="D47" s="114" t="s">
        <v>96</v>
      </c>
      <c r="E47" s="121"/>
      <c r="F47" s="121"/>
      <c r="G47" s="121"/>
      <c r="H47" s="121"/>
      <c r="I47" s="116" t="s">
        <v>198</v>
      </c>
      <c r="J47" s="116" t="s">
        <v>228</v>
      </c>
      <c r="K47" s="116" t="s">
        <v>229</v>
      </c>
      <c r="L47" s="116" t="s">
        <v>230</v>
      </c>
      <c r="M47" s="116" t="s">
        <v>199</v>
      </c>
      <c r="N47" s="116" t="s">
        <v>776</v>
      </c>
      <c r="O47" s="129" t="s">
        <v>636</v>
      </c>
      <c r="P47" s="110"/>
      <c r="Q47" s="110"/>
      <c r="R47" s="110"/>
      <c r="S47" s="110"/>
      <c r="T47" s="110"/>
      <c r="U47" s="110"/>
      <c r="V47" s="110"/>
      <c r="W47" s="110"/>
      <c r="X47" s="110"/>
      <c r="Y47" s="110"/>
      <c r="Z47" s="110"/>
    </row>
    <row r="48" ht="28.5" customHeight="1">
      <c r="A48" s="47"/>
      <c r="B48" s="47"/>
      <c r="C48" s="47"/>
      <c r="D48" s="118" t="s">
        <v>95</v>
      </c>
      <c r="E48" s="119"/>
      <c r="F48" s="119"/>
      <c r="G48" s="119"/>
      <c r="H48" s="119"/>
      <c r="I48" s="120"/>
      <c r="J48" s="120"/>
      <c r="K48" s="120"/>
      <c r="L48" s="120"/>
      <c r="M48" s="120"/>
      <c r="N48" s="120"/>
      <c r="O48" s="47"/>
      <c r="P48" s="110"/>
      <c r="Q48" s="110"/>
      <c r="R48" s="110"/>
      <c r="S48" s="110"/>
      <c r="T48" s="110"/>
      <c r="U48" s="110"/>
      <c r="V48" s="110"/>
      <c r="W48" s="110"/>
      <c r="X48" s="110"/>
      <c r="Y48" s="110"/>
      <c r="Z48" s="110"/>
    </row>
    <row r="49" ht="28.5" customHeight="1">
      <c r="A49" s="112" t="s">
        <v>758</v>
      </c>
      <c r="B49" s="112">
        <v>24.0</v>
      </c>
      <c r="C49" s="113" t="s">
        <v>231</v>
      </c>
      <c r="D49" s="114" t="s">
        <v>96</v>
      </c>
      <c r="E49" s="124"/>
      <c r="F49" s="124"/>
      <c r="G49" s="124"/>
      <c r="H49" s="124"/>
      <c r="I49" s="116" t="s">
        <v>108</v>
      </c>
      <c r="J49" s="116" t="s">
        <v>109</v>
      </c>
      <c r="K49" s="116" t="s">
        <v>110</v>
      </c>
      <c r="L49" s="116" t="s">
        <v>111</v>
      </c>
      <c r="M49" s="116" t="s">
        <v>112</v>
      </c>
      <c r="N49" s="116" t="s">
        <v>764</v>
      </c>
      <c r="O49" s="117" t="s">
        <v>583</v>
      </c>
      <c r="P49" s="110"/>
      <c r="Q49" s="110"/>
      <c r="R49" s="110"/>
      <c r="S49" s="110"/>
      <c r="T49" s="110"/>
      <c r="U49" s="110"/>
      <c r="V49" s="110"/>
      <c r="W49" s="110"/>
      <c r="X49" s="110"/>
      <c r="Y49" s="110"/>
      <c r="Z49" s="110"/>
    </row>
    <row r="50" ht="28.5" customHeight="1">
      <c r="A50" s="47"/>
      <c r="B50" s="47"/>
      <c r="C50" s="47"/>
      <c r="D50" s="118" t="s">
        <v>95</v>
      </c>
      <c r="E50" s="119" t="s">
        <v>579</v>
      </c>
      <c r="F50" s="119" t="s">
        <v>580</v>
      </c>
      <c r="G50" s="119" t="s">
        <v>581</v>
      </c>
      <c r="H50" s="119" t="s">
        <v>321</v>
      </c>
      <c r="I50" s="119" t="s">
        <v>582</v>
      </c>
      <c r="J50" s="132"/>
      <c r="K50" s="132"/>
      <c r="L50" s="132"/>
      <c r="M50" s="132"/>
      <c r="N50" s="132"/>
      <c r="O50" s="47"/>
      <c r="P50" s="110"/>
      <c r="Q50" s="110"/>
      <c r="R50" s="110"/>
      <c r="S50" s="110"/>
      <c r="T50" s="110"/>
      <c r="U50" s="110"/>
      <c r="V50" s="110"/>
      <c r="W50" s="110"/>
      <c r="X50" s="110"/>
      <c r="Y50" s="110"/>
      <c r="Z50" s="110"/>
    </row>
    <row r="51" ht="28.5" customHeight="1">
      <c r="A51" s="112" t="s">
        <v>758</v>
      </c>
      <c r="B51" s="112" t="s">
        <v>637</v>
      </c>
      <c r="C51" s="113" t="s">
        <v>638</v>
      </c>
      <c r="D51" s="114" t="s">
        <v>96</v>
      </c>
      <c r="E51" s="124"/>
      <c r="F51" s="124"/>
      <c r="G51" s="124"/>
      <c r="H51" s="124"/>
      <c r="I51" s="133" t="s">
        <v>233</v>
      </c>
      <c r="J51" s="133" t="s">
        <v>234</v>
      </c>
      <c r="K51" s="133" t="s">
        <v>235</v>
      </c>
      <c r="L51" s="133" t="s">
        <v>236</v>
      </c>
      <c r="M51" s="133" t="s">
        <v>237</v>
      </c>
      <c r="N51" s="134"/>
      <c r="O51" s="117" t="s">
        <v>642</v>
      </c>
      <c r="P51" s="110"/>
      <c r="Q51" s="110"/>
      <c r="R51" s="110"/>
      <c r="S51" s="110"/>
      <c r="T51" s="110"/>
      <c r="U51" s="110"/>
      <c r="V51" s="110"/>
      <c r="W51" s="110"/>
      <c r="X51" s="110"/>
      <c r="Y51" s="110"/>
      <c r="Z51" s="110"/>
    </row>
    <row r="52" ht="28.5" customHeight="1">
      <c r="A52" s="47"/>
      <c r="B52" s="47"/>
      <c r="C52" s="47"/>
      <c r="D52" s="118" t="s">
        <v>95</v>
      </c>
      <c r="E52" s="119" t="s">
        <v>639</v>
      </c>
      <c r="F52" s="119" t="s">
        <v>640</v>
      </c>
      <c r="G52" s="119" t="s">
        <v>373</v>
      </c>
      <c r="H52" s="119" t="s">
        <v>239</v>
      </c>
      <c r="I52" s="119" t="s">
        <v>641</v>
      </c>
      <c r="J52" s="132"/>
      <c r="K52" s="120"/>
      <c r="L52" s="120"/>
      <c r="M52" s="120"/>
      <c r="N52" s="120"/>
      <c r="O52" s="47"/>
      <c r="P52" s="110"/>
      <c r="Q52" s="110"/>
      <c r="R52" s="110"/>
      <c r="S52" s="110"/>
      <c r="T52" s="110"/>
      <c r="U52" s="110"/>
      <c r="V52" s="110"/>
      <c r="W52" s="110"/>
      <c r="X52" s="110"/>
      <c r="Y52" s="110"/>
      <c r="Z52" s="110"/>
    </row>
    <row r="53" ht="28.5" customHeight="1">
      <c r="A53" s="112" t="s">
        <v>758</v>
      </c>
      <c r="B53" s="112" t="s">
        <v>643</v>
      </c>
      <c r="C53" s="113" t="s">
        <v>644</v>
      </c>
      <c r="D53" s="114" t="s">
        <v>96</v>
      </c>
      <c r="E53" s="124"/>
      <c r="F53" s="124"/>
      <c r="G53" s="124"/>
      <c r="H53" s="124"/>
      <c r="I53" s="124"/>
      <c r="J53" s="124"/>
      <c r="K53" s="124"/>
      <c r="L53" s="124"/>
      <c r="M53" s="124"/>
      <c r="N53" s="135"/>
      <c r="O53" s="117" t="s">
        <v>645</v>
      </c>
      <c r="P53" s="110"/>
      <c r="Q53" s="110"/>
      <c r="R53" s="110"/>
      <c r="S53" s="110"/>
      <c r="T53" s="110"/>
      <c r="U53" s="110"/>
      <c r="V53" s="110"/>
      <c r="W53" s="110"/>
      <c r="X53" s="110"/>
      <c r="Y53" s="110"/>
      <c r="Z53" s="110"/>
    </row>
    <row r="54" ht="28.5" customHeight="1">
      <c r="A54" s="47"/>
      <c r="B54" s="47"/>
      <c r="C54" s="47"/>
      <c r="D54" s="118" t="s">
        <v>95</v>
      </c>
      <c r="E54" s="119">
        <v>2.32</v>
      </c>
      <c r="F54" s="119">
        <v>3.83</v>
      </c>
      <c r="G54" s="119">
        <v>1.67</v>
      </c>
      <c r="H54" s="119">
        <v>3.37</v>
      </c>
      <c r="I54" s="119">
        <v>8.88</v>
      </c>
      <c r="J54" s="120"/>
      <c r="K54" s="120"/>
      <c r="L54" s="120"/>
      <c r="M54" s="120"/>
      <c r="N54" s="120"/>
      <c r="O54" s="47"/>
      <c r="P54" s="110"/>
      <c r="Q54" s="110"/>
      <c r="R54" s="110"/>
      <c r="S54" s="110"/>
      <c r="T54" s="110"/>
      <c r="U54" s="110"/>
      <c r="V54" s="110"/>
      <c r="W54" s="110"/>
      <c r="X54" s="110"/>
      <c r="Y54" s="110"/>
      <c r="Z54" s="110"/>
    </row>
    <row r="55" ht="28.5" customHeight="1">
      <c r="A55" s="112" t="s">
        <v>758</v>
      </c>
      <c r="B55" s="112">
        <v>26.0</v>
      </c>
      <c r="C55" s="113" t="s">
        <v>52</v>
      </c>
      <c r="D55" s="114" t="s">
        <v>96</v>
      </c>
      <c r="E55" s="124"/>
      <c r="F55" s="124"/>
      <c r="G55" s="124"/>
      <c r="H55" s="124"/>
      <c r="I55" s="116" t="s">
        <v>239</v>
      </c>
      <c r="J55" s="116" t="s">
        <v>240</v>
      </c>
      <c r="K55" s="116" t="s">
        <v>241</v>
      </c>
      <c r="L55" s="116" t="s">
        <v>242</v>
      </c>
      <c r="M55" s="116" t="s">
        <v>243</v>
      </c>
      <c r="N55" s="116" t="s">
        <v>440</v>
      </c>
      <c r="O55" s="128"/>
      <c r="P55" s="110"/>
      <c r="Q55" s="110"/>
      <c r="R55" s="110"/>
      <c r="S55" s="110"/>
      <c r="T55" s="110"/>
      <c r="U55" s="110"/>
      <c r="V55" s="110"/>
      <c r="W55" s="110"/>
      <c r="X55" s="110"/>
      <c r="Y55" s="110"/>
      <c r="Z55" s="110"/>
    </row>
    <row r="56" ht="28.5" customHeight="1">
      <c r="A56" s="47"/>
      <c r="B56" s="47"/>
      <c r="C56" s="47"/>
      <c r="D56" s="118" t="s">
        <v>95</v>
      </c>
      <c r="E56" s="119" t="s">
        <v>647</v>
      </c>
      <c r="F56" s="119" t="s">
        <v>648</v>
      </c>
      <c r="G56" s="119" t="s">
        <v>276</v>
      </c>
      <c r="H56" s="119" t="s">
        <v>649</v>
      </c>
      <c r="I56" s="119" t="s">
        <v>650</v>
      </c>
      <c r="J56" s="132"/>
      <c r="K56" s="132"/>
      <c r="L56" s="132"/>
      <c r="M56" s="132"/>
      <c r="N56" s="132"/>
      <c r="O56" s="47"/>
      <c r="P56" s="110"/>
      <c r="Q56" s="110"/>
      <c r="R56" s="110"/>
      <c r="S56" s="110"/>
      <c r="T56" s="110"/>
      <c r="U56" s="110"/>
      <c r="V56" s="110"/>
      <c r="W56" s="110"/>
      <c r="X56" s="110"/>
      <c r="Y56" s="110"/>
      <c r="Z56" s="110"/>
    </row>
    <row r="57" ht="28.5" customHeight="1">
      <c r="A57" s="112" t="s">
        <v>758</v>
      </c>
      <c r="B57" s="112">
        <v>27.0</v>
      </c>
      <c r="C57" s="113" t="s">
        <v>54</v>
      </c>
      <c r="D57" s="114" t="s">
        <v>96</v>
      </c>
      <c r="E57" s="124"/>
      <c r="F57" s="124"/>
      <c r="G57" s="124"/>
      <c r="H57" s="124"/>
      <c r="I57" s="116" t="s">
        <v>249</v>
      </c>
      <c r="J57" s="116" t="s">
        <v>250</v>
      </c>
      <c r="K57" s="116" t="s">
        <v>251</v>
      </c>
      <c r="L57" s="116" t="s">
        <v>252</v>
      </c>
      <c r="M57" s="116" t="s">
        <v>253</v>
      </c>
      <c r="N57" s="131" t="s">
        <v>782</v>
      </c>
      <c r="O57" s="128"/>
      <c r="P57" s="110"/>
      <c r="Q57" s="110"/>
      <c r="R57" s="110"/>
      <c r="S57" s="110"/>
      <c r="T57" s="110"/>
      <c r="U57" s="110"/>
      <c r="V57" s="110"/>
      <c r="W57" s="110"/>
      <c r="X57" s="110"/>
      <c r="Y57" s="110"/>
      <c r="Z57" s="110"/>
    </row>
    <row r="58" ht="28.5" customHeight="1">
      <c r="A58" s="47"/>
      <c r="B58" s="47"/>
      <c r="C58" s="47"/>
      <c r="D58" s="118" t="s">
        <v>95</v>
      </c>
      <c r="E58" s="120" t="s">
        <v>244</v>
      </c>
      <c r="F58" s="120" t="s">
        <v>245</v>
      </c>
      <c r="G58" s="120" t="s">
        <v>246</v>
      </c>
      <c r="H58" s="120" t="s">
        <v>247</v>
      </c>
      <c r="I58" s="120" t="s">
        <v>248</v>
      </c>
      <c r="J58" s="120"/>
      <c r="K58" s="120"/>
      <c r="L58" s="120"/>
      <c r="M58" s="120"/>
      <c r="N58" s="120"/>
      <c r="O58" s="47"/>
      <c r="P58" s="110"/>
      <c r="Q58" s="110"/>
      <c r="R58" s="110"/>
      <c r="S58" s="110"/>
      <c r="T58" s="110"/>
      <c r="U58" s="110"/>
      <c r="V58" s="110"/>
      <c r="W58" s="110"/>
      <c r="X58" s="110"/>
      <c r="Y58" s="110"/>
      <c r="Z58" s="110"/>
    </row>
    <row r="59" ht="28.5" customHeight="1">
      <c r="A59" s="112" t="s">
        <v>758</v>
      </c>
      <c r="B59" s="112">
        <v>28.0</v>
      </c>
      <c r="C59" s="113" t="s">
        <v>55</v>
      </c>
      <c r="D59" s="114" t="s">
        <v>96</v>
      </c>
      <c r="E59" s="115"/>
      <c r="F59" s="115"/>
      <c r="G59" s="115"/>
      <c r="H59" s="115"/>
      <c r="I59" s="133" t="s">
        <v>254</v>
      </c>
      <c r="J59" s="133" t="s">
        <v>255</v>
      </c>
      <c r="K59" s="133" t="s">
        <v>256</v>
      </c>
      <c r="L59" s="133" t="s">
        <v>256</v>
      </c>
      <c r="M59" s="133" t="s">
        <v>256</v>
      </c>
      <c r="N59" s="133" t="s">
        <v>783</v>
      </c>
      <c r="O59" s="117" t="s">
        <v>652</v>
      </c>
      <c r="P59" s="110"/>
      <c r="Q59" s="110"/>
      <c r="R59" s="110"/>
      <c r="S59" s="110"/>
      <c r="T59" s="110"/>
      <c r="U59" s="110"/>
      <c r="V59" s="110"/>
      <c r="W59" s="110"/>
      <c r="X59" s="110"/>
      <c r="Y59" s="110"/>
      <c r="Z59" s="110"/>
    </row>
    <row r="60" ht="28.5" customHeight="1">
      <c r="A60" s="47"/>
      <c r="B60" s="47"/>
      <c r="C60" s="47"/>
      <c r="D60" s="118" t="s">
        <v>95</v>
      </c>
      <c r="E60" s="122"/>
      <c r="F60" s="122"/>
      <c r="G60" s="122"/>
      <c r="H60" s="122"/>
      <c r="I60" s="120"/>
      <c r="J60" s="120"/>
      <c r="K60" s="120"/>
      <c r="L60" s="120"/>
      <c r="M60" s="120"/>
      <c r="N60" s="120"/>
      <c r="O60" s="47"/>
      <c r="P60" s="110"/>
      <c r="Q60" s="110"/>
      <c r="R60" s="110"/>
      <c r="S60" s="110"/>
      <c r="T60" s="110"/>
      <c r="U60" s="110"/>
      <c r="V60" s="110"/>
      <c r="W60" s="110"/>
      <c r="X60" s="110"/>
      <c r="Y60" s="110"/>
      <c r="Z60" s="110"/>
    </row>
    <row r="61" ht="28.5" customHeight="1">
      <c r="A61" s="112" t="s">
        <v>758</v>
      </c>
      <c r="B61" s="112">
        <v>29.0</v>
      </c>
      <c r="C61" s="113" t="s">
        <v>58</v>
      </c>
      <c r="D61" s="114" t="s">
        <v>96</v>
      </c>
      <c r="E61" s="121"/>
      <c r="F61" s="121"/>
      <c r="G61" s="121"/>
      <c r="H61" s="121"/>
      <c r="I61" s="116" t="s">
        <v>257</v>
      </c>
      <c r="J61" s="116" t="s">
        <v>258</v>
      </c>
      <c r="K61" s="116" t="s">
        <v>259</v>
      </c>
      <c r="L61" s="116" t="s">
        <v>260</v>
      </c>
      <c r="M61" s="116" t="s">
        <v>261</v>
      </c>
      <c r="N61" s="116" t="s">
        <v>282</v>
      </c>
      <c r="O61" s="117" t="s">
        <v>654</v>
      </c>
      <c r="P61" s="110"/>
      <c r="Q61" s="110"/>
      <c r="R61" s="110"/>
      <c r="S61" s="110"/>
      <c r="T61" s="110"/>
      <c r="U61" s="110"/>
      <c r="V61" s="110"/>
      <c r="W61" s="110"/>
      <c r="X61" s="110"/>
      <c r="Y61" s="110"/>
      <c r="Z61" s="110"/>
    </row>
    <row r="62" ht="28.5" customHeight="1">
      <c r="A62" s="47"/>
      <c r="B62" s="47"/>
      <c r="C62" s="47"/>
      <c r="D62" s="118" t="s">
        <v>95</v>
      </c>
      <c r="E62" s="122"/>
      <c r="F62" s="122"/>
      <c r="G62" s="122"/>
      <c r="H62" s="122"/>
      <c r="I62" s="120"/>
      <c r="J62" s="120"/>
      <c r="K62" s="120"/>
      <c r="L62" s="120"/>
      <c r="M62" s="120"/>
      <c r="N62" s="120"/>
      <c r="O62" s="47"/>
      <c r="P62" s="110"/>
      <c r="Q62" s="110"/>
      <c r="R62" s="110"/>
      <c r="S62" s="110"/>
      <c r="T62" s="110"/>
      <c r="U62" s="110"/>
      <c r="V62" s="110"/>
      <c r="W62" s="110"/>
      <c r="X62" s="110"/>
      <c r="Y62" s="110"/>
      <c r="Z62" s="110"/>
    </row>
    <row r="63" ht="28.5" customHeight="1">
      <c r="A63" s="112" t="s">
        <v>758</v>
      </c>
      <c r="B63" s="112">
        <v>30.0</v>
      </c>
      <c r="C63" s="113" t="s">
        <v>262</v>
      </c>
      <c r="D63" s="114" t="s">
        <v>96</v>
      </c>
      <c r="E63" s="121"/>
      <c r="F63" s="121"/>
      <c r="G63" s="121"/>
      <c r="H63" s="121"/>
      <c r="I63" s="116" t="s">
        <v>263</v>
      </c>
      <c r="J63" s="116" t="s">
        <v>264</v>
      </c>
      <c r="K63" s="116" t="s">
        <v>265</v>
      </c>
      <c r="L63" s="116" t="s">
        <v>266</v>
      </c>
      <c r="M63" s="116" t="s">
        <v>267</v>
      </c>
      <c r="N63" s="116" t="s">
        <v>497</v>
      </c>
      <c r="O63" s="129" t="s">
        <v>636</v>
      </c>
      <c r="P63" s="110"/>
      <c r="Q63" s="110"/>
      <c r="R63" s="110"/>
      <c r="S63" s="110"/>
      <c r="T63" s="110"/>
      <c r="U63" s="110"/>
      <c r="V63" s="110"/>
      <c r="W63" s="110"/>
      <c r="X63" s="110"/>
      <c r="Y63" s="110"/>
      <c r="Z63" s="110"/>
    </row>
    <row r="64" ht="28.5" customHeight="1">
      <c r="A64" s="47"/>
      <c r="B64" s="47"/>
      <c r="C64" s="47"/>
      <c r="D64" s="118" t="s">
        <v>95</v>
      </c>
      <c r="E64" s="122"/>
      <c r="F64" s="122"/>
      <c r="G64" s="122"/>
      <c r="H64" s="122"/>
      <c r="I64" s="120"/>
      <c r="J64" s="120"/>
      <c r="K64" s="120"/>
      <c r="L64" s="120"/>
      <c r="M64" s="120"/>
      <c r="N64" s="120"/>
      <c r="O64" s="47"/>
      <c r="P64" s="110"/>
      <c r="Q64" s="110"/>
      <c r="R64" s="110"/>
      <c r="S64" s="110"/>
      <c r="T64" s="110"/>
      <c r="U64" s="110"/>
      <c r="V64" s="110"/>
      <c r="W64" s="110"/>
      <c r="X64" s="110"/>
      <c r="Y64" s="110"/>
      <c r="Z64" s="110"/>
    </row>
    <row r="65" ht="28.5" customHeight="1">
      <c r="A65" s="112" t="s">
        <v>758</v>
      </c>
      <c r="B65" s="112">
        <v>31.0</v>
      </c>
      <c r="C65" s="113" t="s">
        <v>60</v>
      </c>
      <c r="D65" s="114" t="s">
        <v>96</v>
      </c>
      <c r="E65" s="121"/>
      <c r="F65" s="121"/>
      <c r="G65" s="121"/>
      <c r="H65" s="121"/>
      <c r="I65" s="116" t="s">
        <v>268</v>
      </c>
      <c r="J65" s="116" t="s">
        <v>269</v>
      </c>
      <c r="K65" s="116" t="s">
        <v>270</v>
      </c>
      <c r="L65" s="116" t="s">
        <v>271</v>
      </c>
      <c r="M65" s="116" t="s">
        <v>272</v>
      </c>
      <c r="N65" s="116" t="s">
        <v>242</v>
      </c>
      <c r="O65" s="117" t="s">
        <v>655</v>
      </c>
      <c r="P65" s="110"/>
      <c r="Q65" s="110"/>
      <c r="R65" s="110"/>
      <c r="S65" s="110"/>
      <c r="T65" s="110"/>
      <c r="U65" s="110"/>
      <c r="V65" s="110"/>
      <c r="W65" s="110"/>
      <c r="X65" s="110"/>
      <c r="Y65" s="110"/>
      <c r="Z65" s="110"/>
    </row>
    <row r="66" ht="28.5" customHeight="1">
      <c r="A66" s="47"/>
      <c r="B66" s="47"/>
      <c r="C66" s="47"/>
      <c r="D66" s="118" t="s">
        <v>95</v>
      </c>
      <c r="E66" s="122"/>
      <c r="F66" s="122"/>
      <c r="G66" s="122"/>
      <c r="H66" s="122"/>
      <c r="I66" s="120"/>
      <c r="J66" s="120"/>
      <c r="K66" s="120"/>
      <c r="L66" s="120"/>
      <c r="M66" s="120"/>
      <c r="N66" s="120"/>
      <c r="O66" s="47"/>
      <c r="P66" s="110"/>
      <c r="Q66" s="110"/>
      <c r="R66" s="110"/>
      <c r="S66" s="110"/>
      <c r="T66" s="110"/>
      <c r="U66" s="110"/>
      <c r="V66" s="110"/>
      <c r="W66" s="110"/>
      <c r="X66" s="110"/>
      <c r="Y66" s="110"/>
      <c r="Z66" s="110"/>
    </row>
    <row r="67" ht="28.5" customHeight="1">
      <c r="A67" s="112" t="s">
        <v>758</v>
      </c>
      <c r="B67" s="112">
        <v>32.0</v>
      </c>
      <c r="C67" s="113" t="s">
        <v>62</v>
      </c>
      <c r="D67" s="114" t="s">
        <v>96</v>
      </c>
      <c r="E67" s="121"/>
      <c r="F67" s="121"/>
      <c r="G67" s="121"/>
      <c r="H67" s="121"/>
      <c r="I67" s="116" t="s">
        <v>273</v>
      </c>
      <c r="J67" s="116" t="s">
        <v>274</v>
      </c>
      <c r="K67" s="116" t="s">
        <v>275</v>
      </c>
      <c r="L67" s="116" t="s">
        <v>276</v>
      </c>
      <c r="M67" s="116" t="s">
        <v>277</v>
      </c>
      <c r="N67" s="116" t="s">
        <v>784</v>
      </c>
      <c r="O67" s="117" t="s">
        <v>654</v>
      </c>
      <c r="P67" s="110"/>
      <c r="Q67" s="110"/>
      <c r="R67" s="110"/>
      <c r="S67" s="110"/>
      <c r="T67" s="110"/>
      <c r="U67" s="110"/>
      <c r="V67" s="110"/>
      <c r="W67" s="110"/>
      <c r="X67" s="110"/>
      <c r="Y67" s="110"/>
      <c r="Z67" s="110"/>
    </row>
    <row r="68" ht="28.5" customHeight="1">
      <c r="A68" s="47"/>
      <c r="B68" s="47"/>
      <c r="C68" s="47"/>
      <c r="D68" s="118" t="s">
        <v>95</v>
      </c>
      <c r="E68" s="119"/>
      <c r="F68" s="119"/>
      <c r="G68" s="119"/>
      <c r="H68" s="119"/>
      <c r="I68" s="120"/>
      <c r="J68" s="120"/>
      <c r="K68" s="120"/>
      <c r="L68" s="120"/>
      <c r="M68" s="120"/>
      <c r="N68" s="120"/>
      <c r="O68" s="47"/>
      <c r="P68" s="110"/>
      <c r="Q68" s="110"/>
      <c r="R68" s="110"/>
      <c r="S68" s="110"/>
      <c r="T68" s="110"/>
      <c r="U68" s="110"/>
      <c r="V68" s="110"/>
      <c r="W68" s="110"/>
      <c r="X68" s="110"/>
      <c r="Y68" s="110"/>
      <c r="Z68" s="110"/>
    </row>
    <row r="69" ht="28.5" customHeight="1">
      <c r="A69" s="112" t="s">
        <v>758</v>
      </c>
      <c r="B69" s="112">
        <v>33.0</v>
      </c>
      <c r="C69" s="113" t="s">
        <v>656</v>
      </c>
      <c r="D69" s="114" t="s">
        <v>96</v>
      </c>
      <c r="E69" s="124"/>
      <c r="F69" s="124"/>
      <c r="G69" s="124"/>
      <c r="H69" s="124"/>
      <c r="I69" s="116" t="s">
        <v>279</v>
      </c>
      <c r="J69" s="116" t="s">
        <v>280</v>
      </c>
      <c r="K69" s="116" t="s">
        <v>281</v>
      </c>
      <c r="L69" s="116" t="s">
        <v>282</v>
      </c>
      <c r="M69" s="116" t="s">
        <v>283</v>
      </c>
      <c r="N69" s="116" t="s">
        <v>363</v>
      </c>
      <c r="O69" s="129" t="s">
        <v>636</v>
      </c>
      <c r="P69" s="110"/>
      <c r="Q69" s="110"/>
      <c r="R69" s="110"/>
      <c r="S69" s="110"/>
      <c r="T69" s="110"/>
      <c r="U69" s="110"/>
      <c r="V69" s="110"/>
      <c r="W69" s="110"/>
      <c r="X69" s="110"/>
      <c r="Y69" s="110"/>
      <c r="Z69" s="110"/>
    </row>
    <row r="70" ht="28.5" customHeight="1">
      <c r="A70" s="47"/>
      <c r="B70" s="47"/>
      <c r="C70" s="47"/>
      <c r="D70" s="118" t="s">
        <v>95</v>
      </c>
      <c r="E70" s="119" t="s">
        <v>658</v>
      </c>
      <c r="F70" s="119" t="s">
        <v>659</v>
      </c>
      <c r="G70" s="119" t="s">
        <v>660</v>
      </c>
      <c r="H70" s="119" t="s">
        <v>661</v>
      </c>
      <c r="I70" s="119" t="s">
        <v>662</v>
      </c>
      <c r="J70" s="120"/>
      <c r="K70" s="120"/>
      <c r="L70" s="120"/>
      <c r="M70" s="120"/>
      <c r="N70" s="120"/>
      <c r="O70" s="47"/>
      <c r="P70" s="110"/>
      <c r="Q70" s="110"/>
      <c r="R70" s="110"/>
      <c r="S70" s="110"/>
      <c r="T70" s="110"/>
      <c r="U70" s="110"/>
      <c r="V70" s="110"/>
      <c r="W70" s="110"/>
      <c r="X70" s="110"/>
      <c r="Y70" s="110"/>
      <c r="Z70" s="110"/>
    </row>
    <row r="71" ht="28.5" customHeight="1">
      <c r="A71" s="112" t="s">
        <v>758</v>
      </c>
      <c r="B71" s="112">
        <v>34.0</v>
      </c>
      <c r="C71" s="113" t="s">
        <v>284</v>
      </c>
      <c r="D71" s="114" t="s">
        <v>96</v>
      </c>
      <c r="E71" s="121"/>
      <c r="F71" s="121"/>
      <c r="G71" s="121"/>
      <c r="H71" s="121"/>
      <c r="I71" s="116" t="s">
        <v>285</v>
      </c>
      <c r="J71" s="116" t="s">
        <v>286</v>
      </c>
      <c r="K71" s="116" t="s">
        <v>287</v>
      </c>
      <c r="L71" s="116" t="s">
        <v>288</v>
      </c>
      <c r="M71" s="116" t="s">
        <v>289</v>
      </c>
      <c r="N71" s="116" t="s">
        <v>187</v>
      </c>
      <c r="O71" s="129" t="s">
        <v>663</v>
      </c>
      <c r="P71" s="110"/>
      <c r="Q71" s="110"/>
      <c r="R71" s="110"/>
      <c r="S71" s="110"/>
      <c r="T71" s="110"/>
      <c r="U71" s="110"/>
      <c r="V71" s="110"/>
      <c r="W71" s="110"/>
      <c r="X71" s="110"/>
      <c r="Y71" s="110"/>
      <c r="Z71" s="110"/>
    </row>
    <row r="72" ht="28.5" customHeight="1">
      <c r="A72" s="47"/>
      <c r="B72" s="47"/>
      <c r="C72" s="47"/>
      <c r="D72" s="118" t="s">
        <v>95</v>
      </c>
      <c r="E72" s="120"/>
      <c r="F72" s="120"/>
      <c r="G72" s="120"/>
      <c r="H72" s="120"/>
      <c r="I72" s="120"/>
      <c r="J72" s="120"/>
      <c r="K72" s="120"/>
      <c r="L72" s="120"/>
      <c r="M72" s="120"/>
      <c r="N72" s="120"/>
      <c r="O72" s="47"/>
      <c r="P72" s="110"/>
      <c r="Q72" s="110"/>
      <c r="R72" s="110"/>
      <c r="S72" s="110"/>
      <c r="T72" s="110"/>
      <c r="U72" s="110"/>
      <c r="V72" s="110"/>
      <c r="W72" s="110"/>
      <c r="X72" s="110"/>
      <c r="Y72" s="110"/>
      <c r="Z72" s="110"/>
    </row>
    <row r="73" ht="28.5" customHeight="1">
      <c r="A73" s="112" t="s">
        <v>758</v>
      </c>
      <c r="B73" s="112">
        <v>35.0</v>
      </c>
      <c r="C73" s="113" t="s">
        <v>290</v>
      </c>
      <c r="D73" s="114" t="s">
        <v>96</v>
      </c>
      <c r="E73" s="124"/>
      <c r="F73" s="124"/>
      <c r="G73" s="124"/>
      <c r="H73" s="124"/>
      <c r="I73" s="116" t="s">
        <v>292</v>
      </c>
      <c r="J73" s="116" t="s">
        <v>293</v>
      </c>
      <c r="K73" s="116" t="s">
        <v>294</v>
      </c>
      <c r="L73" s="116" t="s">
        <v>295</v>
      </c>
      <c r="M73" s="116" t="s">
        <v>296</v>
      </c>
      <c r="N73" s="116" t="s">
        <v>785</v>
      </c>
      <c r="O73" s="117" t="s">
        <v>636</v>
      </c>
      <c r="P73" s="110"/>
      <c r="Q73" s="110"/>
      <c r="R73" s="110"/>
      <c r="S73" s="110"/>
      <c r="T73" s="110"/>
      <c r="U73" s="110"/>
      <c r="V73" s="110"/>
      <c r="W73" s="110"/>
      <c r="X73" s="110"/>
      <c r="Y73" s="110"/>
      <c r="Z73" s="110"/>
    </row>
    <row r="74" ht="28.5" customHeight="1">
      <c r="A74" s="47"/>
      <c r="B74" s="47"/>
      <c r="C74" s="47"/>
      <c r="D74" s="118" t="s">
        <v>95</v>
      </c>
      <c r="E74" s="120">
        <v>48.44</v>
      </c>
      <c r="F74" s="120">
        <v>49.3</v>
      </c>
      <c r="G74" s="120">
        <v>53.6</v>
      </c>
      <c r="H74" s="120" t="s">
        <v>291</v>
      </c>
      <c r="I74" s="120">
        <v>52.26</v>
      </c>
      <c r="J74" s="120"/>
      <c r="K74" s="120"/>
      <c r="L74" s="120"/>
      <c r="M74" s="120"/>
      <c r="N74" s="120"/>
      <c r="O74" s="47"/>
      <c r="P74" s="110"/>
      <c r="Q74" s="110"/>
      <c r="R74" s="110"/>
      <c r="S74" s="110"/>
      <c r="T74" s="110"/>
      <c r="U74" s="110"/>
      <c r="V74" s="110"/>
      <c r="W74" s="110"/>
      <c r="X74" s="110"/>
      <c r="Y74" s="110"/>
      <c r="Z74" s="110"/>
    </row>
    <row r="75" ht="28.5" customHeight="1">
      <c r="A75" s="112" t="s">
        <v>758</v>
      </c>
      <c r="B75" s="112">
        <v>36.0</v>
      </c>
      <c r="C75" s="113" t="s">
        <v>64</v>
      </c>
      <c r="D75" s="114" t="s">
        <v>96</v>
      </c>
      <c r="E75" s="124"/>
      <c r="F75" s="124"/>
      <c r="G75" s="124"/>
      <c r="H75" s="124"/>
      <c r="I75" s="116" t="s">
        <v>298</v>
      </c>
      <c r="J75" s="116" t="s">
        <v>299</v>
      </c>
      <c r="K75" s="116" t="s">
        <v>300</v>
      </c>
      <c r="L75" s="116" t="s">
        <v>301</v>
      </c>
      <c r="M75" s="116" t="s">
        <v>302</v>
      </c>
      <c r="N75" s="116" t="s">
        <v>785</v>
      </c>
      <c r="O75" s="117" t="s">
        <v>666</v>
      </c>
      <c r="P75" s="110"/>
      <c r="Q75" s="110"/>
      <c r="R75" s="110"/>
      <c r="S75" s="110"/>
      <c r="T75" s="110"/>
      <c r="U75" s="110"/>
      <c r="V75" s="110"/>
      <c r="W75" s="110"/>
      <c r="X75" s="110"/>
      <c r="Y75" s="110"/>
      <c r="Z75" s="110"/>
    </row>
    <row r="76" ht="28.5" customHeight="1">
      <c r="A76" s="47"/>
      <c r="B76" s="47"/>
      <c r="C76" s="47"/>
      <c r="D76" s="118" t="s">
        <v>95</v>
      </c>
      <c r="E76" s="120">
        <v>39.36</v>
      </c>
      <c r="F76" s="120">
        <v>46.37</v>
      </c>
      <c r="G76" s="120">
        <v>45.86</v>
      </c>
      <c r="H76" s="120">
        <v>53.35</v>
      </c>
      <c r="I76" s="120" t="s">
        <v>297</v>
      </c>
      <c r="J76" s="120"/>
      <c r="K76" s="120"/>
      <c r="L76" s="120"/>
      <c r="M76" s="120"/>
      <c r="N76" s="120"/>
      <c r="O76" s="47"/>
      <c r="P76" s="110"/>
      <c r="Q76" s="110"/>
      <c r="R76" s="110"/>
      <c r="S76" s="110"/>
      <c r="T76" s="110"/>
      <c r="U76" s="110"/>
      <c r="V76" s="110"/>
      <c r="W76" s="110"/>
      <c r="X76" s="110"/>
      <c r="Y76" s="110"/>
      <c r="Z76" s="110"/>
    </row>
    <row r="77" ht="28.5" customHeight="1">
      <c r="A77" s="112" t="s">
        <v>758</v>
      </c>
      <c r="B77" s="112">
        <v>37.0</v>
      </c>
      <c r="C77" s="113" t="s">
        <v>303</v>
      </c>
      <c r="D77" s="114" t="s">
        <v>96</v>
      </c>
      <c r="E77" s="121"/>
      <c r="F77" s="121"/>
      <c r="G77" s="121"/>
      <c r="H77" s="121"/>
      <c r="I77" s="116" t="s">
        <v>304</v>
      </c>
      <c r="J77" s="116" t="s">
        <v>305</v>
      </c>
      <c r="K77" s="116" t="s">
        <v>306</v>
      </c>
      <c r="L77" s="116" t="s">
        <v>307</v>
      </c>
      <c r="M77" s="116" t="s">
        <v>308</v>
      </c>
      <c r="N77" s="116" t="s">
        <v>786</v>
      </c>
      <c r="O77" s="117" t="s">
        <v>668</v>
      </c>
      <c r="P77" s="110"/>
      <c r="Q77" s="110"/>
      <c r="R77" s="110"/>
      <c r="S77" s="110"/>
      <c r="T77" s="110"/>
      <c r="U77" s="110"/>
      <c r="V77" s="110"/>
      <c r="W77" s="110"/>
      <c r="X77" s="110"/>
      <c r="Y77" s="110"/>
      <c r="Z77" s="110"/>
    </row>
    <row r="78" ht="28.5" customHeight="1">
      <c r="A78" s="47"/>
      <c r="B78" s="47"/>
      <c r="C78" s="47"/>
      <c r="D78" s="118" t="s">
        <v>95</v>
      </c>
      <c r="E78" s="122"/>
      <c r="F78" s="122"/>
      <c r="G78" s="122"/>
      <c r="H78" s="122"/>
      <c r="I78" s="120"/>
      <c r="J78" s="120"/>
      <c r="K78" s="120"/>
      <c r="L78" s="120"/>
      <c r="M78" s="120"/>
      <c r="N78" s="120"/>
      <c r="O78" s="47"/>
      <c r="P78" s="110"/>
      <c r="Q78" s="110"/>
      <c r="R78" s="110"/>
      <c r="S78" s="110"/>
      <c r="T78" s="110"/>
      <c r="U78" s="110"/>
      <c r="V78" s="110"/>
      <c r="W78" s="110"/>
      <c r="X78" s="110"/>
      <c r="Y78" s="110"/>
      <c r="Z78" s="110"/>
    </row>
    <row r="79" ht="28.5" customHeight="1">
      <c r="A79" s="112" t="s">
        <v>758</v>
      </c>
      <c r="B79" s="112">
        <v>38.0</v>
      </c>
      <c r="C79" s="113" t="s">
        <v>309</v>
      </c>
      <c r="D79" s="114" t="s">
        <v>96</v>
      </c>
      <c r="E79" s="121"/>
      <c r="F79" s="121"/>
      <c r="G79" s="121"/>
      <c r="H79" s="121"/>
      <c r="I79" s="116" t="s">
        <v>310</v>
      </c>
      <c r="J79" s="116" t="s">
        <v>311</v>
      </c>
      <c r="K79" s="116" t="s">
        <v>312</v>
      </c>
      <c r="L79" s="116" t="s">
        <v>313</v>
      </c>
      <c r="M79" s="116" t="s">
        <v>314</v>
      </c>
      <c r="N79" s="116" t="s">
        <v>787</v>
      </c>
      <c r="O79" s="117" t="s">
        <v>670</v>
      </c>
      <c r="P79" s="110"/>
      <c r="Q79" s="110"/>
      <c r="R79" s="110"/>
      <c r="S79" s="110"/>
      <c r="T79" s="110"/>
      <c r="U79" s="110"/>
      <c r="V79" s="110"/>
      <c r="W79" s="110"/>
      <c r="X79" s="110"/>
      <c r="Y79" s="110"/>
      <c r="Z79" s="110"/>
    </row>
    <row r="80" ht="28.5" customHeight="1">
      <c r="A80" s="47"/>
      <c r="B80" s="47"/>
      <c r="C80" s="47"/>
      <c r="D80" s="118" t="s">
        <v>95</v>
      </c>
      <c r="E80" s="122"/>
      <c r="F80" s="122"/>
      <c r="G80" s="122"/>
      <c r="H80" s="122"/>
      <c r="I80" s="120"/>
      <c r="J80" s="120"/>
      <c r="K80" s="120"/>
      <c r="L80" s="120"/>
      <c r="M80" s="120"/>
      <c r="N80" s="120"/>
      <c r="O80" s="47"/>
      <c r="P80" s="110"/>
      <c r="Q80" s="110"/>
      <c r="R80" s="110"/>
      <c r="S80" s="110"/>
      <c r="T80" s="110"/>
      <c r="U80" s="110"/>
      <c r="V80" s="110"/>
      <c r="W80" s="110"/>
      <c r="X80" s="110"/>
      <c r="Y80" s="110"/>
      <c r="Z80" s="110"/>
    </row>
    <row r="81" ht="28.5" customHeight="1">
      <c r="A81" s="112" t="s">
        <v>758</v>
      </c>
      <c r="B81" s="112">
        <v>39.0</v>
      </c>
      <c r="C81" s="130" t="s">
        <v>66</v>
      </c>
      <c r="D81" s="114" t="s">
        <v>96</v>
      </c>
      <c r="E81" s="121"/>
      <c r="F81" s="121"/>
      <c r="G81" s="121"/>
      <c r="H81" s="121"/>
      <c r="I81" s="116" t="s">
        <v>315</v>
      </c>
      <c r="J81" s="116" t="s">
        <v>316</v>
      </c>
      <c r="K81" s="116" t="s">
        <v>317</v>
      </c>
      <c r="L81" s="116" t="s">
        <v>318</v>
      </c>
      <c r="M81" s="116" t="s">
        <v>319</v>
      </c>
      <c r="N81" s="116" t="s">
        <v>788</v>
      </c>
      <c r="O81" s="117" t="s">
        <v>671</v>
      </c>
      <c r="P81" s="110"/>
      <c r="Q81" s="110"/>
      <c r="R81" s="110"/>
      <c r="S81" s="110"/>
      <c r="T81" s="110"/>
      <c r="U81" s="110"/>
      <c r="V81" s="110"/>
      <c r="W81" s="110"/>
      <c r="X81" s="110"/>
      <c r="Y81" s="110"/>
      <c r="Z81" s="110"/>
    </row>
    <row r="82" ht="28.5" customHeight="1">
      <c r="A82" s="47"/>
      <c r="B82" s="47"/>
      <c r="C82" s="47"/>
      <c r="D82" s="118" t="s">
        <v>95</v>
      </c>
      <c r="E82" s="122"/>
      <c r="F82" s="122"/>
      <c r="G82" s="122"/>
      <c r="H82" s="122"/>
      <c r="I82" s="120"/>
      <c r="J82" s="120"/>
      <c r="K82" s="120"/>
      <c r="L82" s="120"/>
      <c r="M82" s="120"/>
      <c r="N82" s="120"/>
      <c r="O82" s="47"/>
      <c r="P82" s="110"/>
      <c r="Q82" s="110"/>
      <c r="R82" s="110"/>
      <c r="S82" s="110"/>
      <c r="T82" s="110"/>
      <c r="U82" s="110"/>
      <c r="V82" s="110"/>
      <c r="W82" s="110"/>
      <c r="X82" s="110"/>
      <c r="Y82" s="110"/>
      <c r="Z82" s="110"/>
    </row>
    <row r="83" ht="28.5" customHeight="1">
      <c r="A83" s="112" t="s">
        <v>758</v>
      </c>
      <c r="B83" s="112">
        <v>40.0</v>
      </c>
      <c r="C83" s="113" t="s">
        <v>67</v>
      </c>
      <c r="D83" s="114" t="s">
        <v>96</v>
      </c>
      <c r="E83" s="121"/>
      <c r="F83" s="121"/>
      <c r="G83" s="121"/>
      <c r="H83" s="121"/>
      <c r="I83" s="116" t="s">
        <v>320</v>
      </c>
      <c r="J83" s="116" t="s">
        <v>321</v>
      </c>
      <c r="K83" s="116" t="s">
        <v>322</v>
      </c>
      <c r="L83" s="116" t="s">
        <v>323</v>
      </c>
      <c r="M83" s="116" t="s">
        <v>324</v>
      </c>
      <c r="N83" s="131" t="s">
        <v>789</v>
      </c>
      <c r="O83" s="117" t="s">
        <v>673</v>
      </c>
      <c r="P83" s="110"/>
      <c r="Q83" s="110"/>
      <c r="R83" s="110"/>
      <c r="S83" s="110"/>
      <c r="T83" s="110"/>
      <c r="U83" s="110"/>
      <c r="V83" s="110"/>
      <c r="W83" s="110"/>
      <c r="X83" s="110"/>
      <c r="Y83" s="110"/>
      <c r="Z83" s="110"/>
    </row>
    <row r="84" ht="28.5" customHeight="1">
      <c r="A84" s="47"/>
      <c r="B84" s="47"/>
      <c r="C84" s="47"/>
      <c r="D84" s="118" t="s">
        <v>95</v>
      </c>
      <c r="E84" s="119"/>
      <c r="F84" s="119"/>
      <c r="G84" s="119"/>
      <c r="H84" s="119"/>
      <c r="I84" s="120"/>
      <c r="J84" s="120"/>
      <c r="K84" s="120"/>
      <c r="L84" s="120"/>
      <c r="M84" s="120"/>
      <c r="N84" s="120"/>
      <c r="O84" s="47"/>
      <c r="P84" s="110"/>
      <c r="Q84" s="110"/>
      <c r="R84" s="110"/>
      <c r="S84" s="110"/>
      <c r="T84" s="110"/>
      <c r="U84" s="110"/>
      <c r="V84" s="110"/>
      <c r="W84" s="110"/>
      <c r="X84" s="110"/>
      <c r="Y84" s="110"/>
      <c r="Z84" s="110"/>
    </row>
    <row r="85" ht="28.5" customHeight="1">
      <c r="A85" s="112" t="s">
        <v>758</v>
      </c>
      <c r="B85" s="112">
        <v>41.0</v>
      </c>
      <c r="C85" s="113" t="s">
        <v>325</v>
      </c>
      <c r="D85" s="114" t="s">
        <v>96</v>
      </c>
      <c r="E85" s="124"/>
      <c r="F85" s="124"/>
      <c r="G85" s="124"/>
      <c r="H85" s="124"/>
      <c r="I85" s="116" t="s">
        <v>331</v>
      </c>
      <c r="J85" s="116" t="s">
        <v>332</v>
      </c>
      <c r="K85" s="116" t="s">
        <v>333</v>
      </c>
      <c r="L85" s="116" t="s">
        <v>334</v>
      </c>
      <c r="M85" s="116" t="s">
        <v>335</v>
      </c>
      <c r="N85" s="116" t="s">
        <v>790</v>
      </c>
      <c r="O85" s="117" t="s">
        <v>679</v>
      </c>
      <c r="P85" s="110"/>
      <c r="Q85" s="110"/>
      <c r="R85" s="110"/>
      <c r="S85" s="110"/>
      <c r="T85" s="110"/>
      <c r="U85" s="110"/>
      <c r="V85" s="110"/>
      <c r="W85" s="110"/>
      <c r="X85" s="110"/>
      <c r="Y85" s="110"/>
      <c r="Z85" s="110"/>
    </row>
    <row r="86" ht="28.5" customHeight="1">
      <c r="A86" s="47"/>
      <c r="B86" s="47"/>
      <c r="C86" s="47"/>
      <c r="D86" s="118" t="s">
        <v>95</v>
      </c>
      <c r="E86" s="119" t="s">
        <v>674</v>
      </c>
      <c r="F86" s="119" t="s">
        <v>675</v>
      </c>
      <c r="G86" s="119" t="s">
        <v>676</v>
      </c>
      <c r="H86" s="119" t="s">
        <v>677</v>
      </c>
      <c r="I86" s="119" t="s">
        <v>678</v>
      </c>
      <c r="J86" s="120"/>
      <c r="K86" s="120"/>
      <c r="L86" s="120"/>
      <c r="M86" s="120"/>
      <c r="N86" s="120"/>
      <c r="O86" s="47"/>
      <c r="P86" s="110"/>
      <c r="Q86" s="110"/>
      <c r="R86" s="110"/>
      <c r="S86" s="110"/>
      <c r="T86" s="110"/>
      <c r="U86" s="110"/>
      <c r="V86" s="110"/>
      <c r="W86" s="110"/>
      <c r="X86" s="110"/>
      <c r="Y86" s="110"/>
      <c r="Z86" s="110"/>
    </row>
    <row r="87" ht="28.5" customHeight="1">
      <c r="A87" s="112" t="s">
        <v>758</v>
      </c>
      <c r="B87" s="112">
        <v>42.0</v>
      </c>
      <c r="C87" s="113" t="s">
        <v>70</v>
      </c>
      <c r="D87" s="114" t="s">
        <v>96</v>
      </c>
      <c r="E87" s="124"/>
      <c r="F87" s="124"/>
      <c r="G87" s="124"/>
      <c r="H87" s="124"/>
      <c r="I87" s="116" t="s">
        <v>341</v>
      </c>
      <c r="J87" s="116" t="s">
        <v>342</v>
      </c>
      <c r="K87" s="116" t="s">
        <v>343</v>
      </c>
      <c r="L87" s="116" t="s">
        <v>344</v>
      </c>
      <c r="M87" s="116" t="s">
        <v>345</v>
      </c>
      <c r="N87" s="116" t="s">
        <v>791</v>
      </c>
      <c r="O87" s="117" t="s">
        <v>679</v>
      </c>
      <c r="P87" s="110"/>
      <c r="Q87" s="110"/>
      <c r="R87" s="110"/>
      <c r="S87" s="110"/>
      <c r="T87" s="110"/>
      <c r="U87" s="110"/>
      <c r="V87" s="110"/>
      <c r="W87" s="110"/>
      <c r="X87" s="110"/>
      <c r="Y87" s="110"/>
      <c r="Z87" s="110"/>
    </row>
    <row r="88" ht="28.5" customHeight="1">
      <c r="A88" s="47"/>
      <c r="B88" s="47"/>
      <c r="C88" s="47"/>
      <c r="D88" s="118" t="s">
        <v>95</v>
      </c>
      <c r="E88" s="119" t="s">
        <v>681</v>
      </c>
      <c r="F88" s="119" t="s">
        <v>682</v>
      </c>
      <c r="G88" s="119" t="s">
        <v>683</v>
      </c>
      <c r="H88" s="119" t="s">
        <v>684</v>
      </c>
      <c r="I88" s="119" t="s">
        <v>685</v>
      </c>
      <c r="J88" s="120"/>
      <c r="K88" s="120"/>
      <c r="L88" s="120"/>
      <c r="M88" s="120"/>
      <c r="N88" s="120"/>
      <c r="O88" s="47"/>
      <c r="P88" s="110"/>
      <c r="Q88" s="110"/>
      <c r="R88" s="110"/>
      <c r="S88" s="110"/>
      <c r="T88" s="110"/>
      <c r="U88" s="110"/>
      <c r="V88" s="110"/>
      <c r="W88" s="110"/>
      <c r="X88" s="110"/>
      <c r="Y88" s="110"/>
      <c r="Z88" s="110"/>
    </row>
    <row r="89" ht="28.5" customHeight="1">
      <c r="A89" s="112" t="s">
        <v>758</v>
      </c>
      <c r="B89" s="112">
        <v>43.0</v>
      </c>
      <c r="C89" s="113" t="s">
        <v>346</v>
      </c>
      <c r="D89" s="114" t="s">
        <v>96</v>
      </c>
      <c r="E89" s="124"/>
      <c r="F89" s="124"/>
      <c r="G89" s="124"/>
      <c r="H89" s="124"/>
      <c r="I89" s="116" t="s">
        <v>347</v>
      </c>
      <c r="J89" s="116" t="s">
        <v>348</v>
      </c>
      <c r="K89" s="116" t="s">
        <v>349</v>
      </c>
      <c r="L89" s="116" t="s">
        <v>350</v>
      </c>
      <c r="M89" s="116" t="s">
        <v>351</v>
      </c>
      <c r="N89" s="116" t="s">
        <v>770</v>
      </c>
      <c r="O89" s="117" t="s">
        <v>692</v>
      </c>
      <c r="P89" s="110"/>
      <c r="Q89" s="110"/>
      <c r="R89" s="110"/>
      <c r="S89" s="110"/>
      <c r="T89" s="110"/>
      <c r="U89" s="110"/>
      <c r="V89" s="110"/>
      <c r="W89" s="110"/>
      <c r="X89" s="110"/>
      <c r="Y89" s="110"/>
      <c r="Z89" s="110"/>
    </row>
    <row r="90" ht="28.5" customHeight="1">
      <c r="A90" s="47"/>
      <c r="B90" s="47"/>
      <c r="C90" s="47"/>
      <c r="D90" s="118" t="s">
        <v>95</v>
      </c>
      <c r="E90" s="119" t="s">
        <v>687</v>
      </c>
      <c r="F90" s="119" t="s">
        <v>688</v>
      </c>
      <c r="G90" s="119" t="s">
        <v>689</v>
      </c>
      <c r="H90" s="119" t="s">
        <v>690</v>
      </c>
      <c r="I90" s="119" t="s">
        <v>691</v>
      </c>
      <c r="J90" s="120"/>
      <c r="K90" s="120"/>
      <c r="L90" s="120"/>
      <c r="M90" s="120"/>
      <c r="N90" s="120"/>
      <c r="O90" s="47"/>
      <c r="P90" s="110"/>
      <c r="Q90" s="110"/>
      <c r="R90" s="110"/>
      <c r="S90" s="110"/>
      <c r="T90" s="110"/>
      <c r="U90" s="110"/>
      <c r="V90" s="110"/>
      <c r="W90" s="110"/>
      <c r="X90" s="110"/>
      <c r="Y90" s="110"/>
      <c r="Z90" s="110"/>
    </row>
    <row r="91" ht="28.5" customHeight="1">
      <c r="A91" s="112" t="s">
        <v>758</v>
      </c>
      <c r="B91" s="112">
        <v>44.0</v>
      </c>
      <c r="C91" s="113" t="s">
        <v>352</v>
      </c>
      <c r="D91" s="114" t="s">
        <v>96</v>
      </c>
      <c r="E91" s="124"/>
      <c r="F91" s="124"/>
      <c r="G91" s="124"/>
      <c r="H91" s="124"/>
      <c r="I91" s="116" t="s">
        <v>353</v>
      </c>
      <c r="J91" s="116" t="s">
        <v>354</v>
      </c>
      <c r="K91" s="116" t="s">
        <v>355</v>
      </c>
      <c r="L91" s="116" t="s">
        <v>356</v>
      </c>
      <c r="M91" s="116" t="s">
        <v>357</v>
      </c>
      <c r="N91" s="131" t="s">
        <v>792</v>
      </c>
      <c r="O91" s="136" t="s">
        <v>793</v>
      </c>
      <c r="P91" s="110"/>
      <c r="Q91" s="110"/>
      <c r="R91" s="110"/>
      <c r="S91" s="110"/>
      <c r="T91" s="110"/>
      <c r="U91" s="110"/>
      <c r="V91" s="110"/>
      <c r="W91" s="110"/>
      <c r="X91" s="110"/>
      <c r="Y91" s="110"/>
      <c r="Z91" s="110"/>
    </row>
    <row r="92" ht="28.5" customHeight="1">
      <c r="A92" s="47"/>
      <c r="B92" s="47"/>
      <c r="C92" s="47"/>
      <c r="D92" s="118" t="s">
        <v>95</v>
      </c>
      <c r="E92" s="119" t="s">
        <v>694</v>
      </c>
      <c r="F92" s="119" t="s">
        <v>695</v>
      </c>
      <c r="G92" s="119" t="s">
        <v>696</v>
      </c>
      <c r="H92" s="119" t="s">
        <v>697</v>
      </c>
      <c r="I92" s="119" t="s">
        <v>353</v>
      </c>
      <c r="J92" s="120"/>
      <c r="K92" s="120"/>
      <c r="L92" s="120"/>
      <c r="M92" s="120"/>
      <c r="N92" s="120"/>
      <c r="O92" s="47"/>
      <c r="P92" s="110"/>
      <c r="Q92" s="110"/>
      <c r="R92" s="110"/>
      <c r="S92" s="110"/>
      <c r="T92" s="110"/>
      <c r="U92" s="110"/>
      <c r="V92" s="110"/>
      <c r="W92" s="110"/>
      <c r="X92" s="110"/>
      <c r="Y92" s="110"/>
      <c r="Z92" s="110"/>
    </row>
    <row r="93" ht="28.5" customHeight="1">
      <c r="A93" s="112" t="s">
        <v>758</v>
      </c>
      <c r="B93" s="112">
        <v>45.0</v>
      </c>
      <c r="C93" s="113" t="s">
        <v>74</v>
      </c>
      <c r="D93" s="114" t="s">
        <v>96</v>
      </c>
      <c r="E93" s="121"/>
      <c r="F93" s="121"/>
      <c r="G93" s="121"/>
      <c r="H93" s="121"/>
      <c r="I93" s="116" t="s">
        <v>358</v>
      </c>
      <c r="J93" s="116" t="s">
        <v>359</v>
      </c>
      <c r="K93" s="116" t="s">
        <v>360</v>
      </c>
      <c r="L93" s="116" t="s">
        <v>191</v>
      </c>
      <c r="M93" s="116" t="s">
        <v>193</v>
      </c>
      <c r="N93" s="116" t="s">
        <v>770</v>
      </c>
      <c r="O93" s="129" t="s">
        <v>596</v>
      </c>
      <c r="P93" s="110"/>
      <c r="Q93" s="110"/>
      <c r="R93" s="110"/>
      <c r="S93" s="110"/>
      <c r="T93" s="110"/>
      <c r="U93" s="110"/>
      <c r="V93" s="110"/>
      <c r="W93" s="110"/>
      <c r="X93" s="110"/>
      <c r="Y93" s="110"/>
      <c r="Z93" s="110"/>
    </row>
    <row r="94" ht="28.5" customHeight="1">
      <c r="A94" s="47"/>
      <c r="B94" s="47"/>
      <c r="C94" s="47"/>
      <c r="D94" s="118" t="s">
        <v>95</v>
      </c>
      <c r="E94" s="120"/>
      <c r="F94" s="120"/>
      <c r="G94" s="120"/>
      <c r="H94" s="120"/>
      <c r="I94" s="120"/>
      <c r="J94" s="120"/>
      <c r="K94" s="120"/>
      <c r="L94" s="120"/>
      <c r="M94" s="120"/>
      <c r="N94" s="120"/>
      <c r="O94" s="47"/>
      <c r="P94" s="110"/>
      <c r="Q94" s="110"/>
      <c r="R94" s="110"/>
      <c r="S94" s="110"/>
      <c r="T94" s="110"/>
      <c r="U94" s="110"/>
      <c r="V94" s="110"/>
      <c r="W94" s="110"/>
      <c r="X94" s="110"/>
      <c r="Y94" s="110"/>
      <c r="Z94" s="110"/>
    </row>
    <row r="95" ht="28.5" customHeight="1">
      <c r="A95" s="112" t="s">
        <v>758</v>
      </c>
      <c r="B95" s="112">
        <v>46.0</v>
      </c>
      <c r="C95" s="113" t="s">
        <v>361</v>
      </c>
      <c r="D95" s="114" t="s">
        <v>96</v>
      </c>
      <c r="E95" s="124"/>
      <c r="F95" s="124"/>
      <c r="G95" s="124"/>
      <c r="H95" s="124"/>
      <c r="I95" s="116" t="s">
        <v>365</v>
      </c>
      <c r="J95" s="116" t="s">
        <v>366</v>
      </c>
      <c r="K95" s="116" t="s">
        <v>367</v>
      </c>
      <c r="L95" s="116" t="s">
        <v>368</v>
      </c>
      <c r="M95" s="116" t="s">
        <v>369</v>
      </c>
      <c r="N95" s="116" t="s">
        <v>120</v>
      </c>
      <c r="O95" s="117" t="s">
        <v>700</v>
      </c>
      <c r="P95" s="110"/>
      <c r="Q95" s="110"/>
      <c r="R95" s="110"/>
      <c r="S95" s="110"/>
      <c r="T95" s="110"/>
      <c r="U95" s="110"/>
      <c r="V95" s="110"/>
      <c r="W95" s="110"/>
      <c r="X95" s="110"/>
      <c r="Y95" s="110"/>
      <c r="Z95" s="110"/>
    </row>
    <row r="96" ht="28.5" customHeight="1">
      <c r="A96" s="47"/>
      <c r="B96" s="47"/>
      <c r="C96" s="47"/>
      <c r="D96" s="118" t="s">
        <v>95</v>
      </c>
      <c r="E96" s="120" t="s">
        <v>362</v>
      </c>
      <c r="F96" s="120" t="s">
        <v>363</v>
      </c>
      <c r="G96" s="120" t="s">
        <v>364</v>
      </c>
      <c r="H96" s="120">
        <v>3.79</v>
      </c>
      <c r="I96" s="120"/>
      <c r="J96" s="120"/>
      <c r="K96" s="120"/>
      <c r="L96" s="120"/>
      <c r="M96" s="120"/>
      <c r="N96" s="120"/>
      <c r="O96" s="47"/>
      <c r="P96" s="110"/>
      <c r="Q96" s="110"/>
      <c r="R96" s="110"/>
      <c r="S96" s="110"/>
      <c r="T96" s="110"/>
      <c r="U96" s="110"/>
      <c r="V96" s="110"/>
      <c r="W96" s="110"/>
      <c r="X96" s="110"/>
      <c r="Y96" s="110"/>
      <c r="Z96" s="110"/>
    </row>
    <row r="97" ht="28.5" customHeight="1">
      <c r="A97" s="112" t="s">
        <v>758</v>
      </c>
      <c r="B97" s="112">
        <v>47.0</v>
      </c>
      <c r="C97" s="130" t="s">
        <v>370</v>
      </c>
      <c r="D97" s="114" t="s">
        <v>96</v>
      </c>
      <c r="E97" s="124"/>
      <c r="F97" s="124"/>
      <c r="G97" s="124"/>
      <c r="H97" s="124"/>
      <c r="I97" s="116" t="s">
        <v>371</v>
      </c>
      <c r="J97" s="116" t="s">
        <v>372</v>
      </c>
      <c r="K97" s="116" t="s">
        <v>373</v>
      </c>
      <c r="L97" s="116" t="s">
        <v>374</v>
      </c>
      <c r="M97" s="116" t="s">
        <v>142</v>
      </c>
      <c r="N97" s="116" t="s">
        <v>120</v>
      </c>
      <c r="O97" s="117" t="s">
        <v>702</v>
      </c>
      <c r="P97" s="110"/>
      <c r="Q97" s="110"/>
      <c r="R97" s="110"/>
      <c r="S97" s="110"/>
      <c r="T97" s="110"/>
      <c r="U97" s="110"/>
      <c r="V97" s="110"/>
      <c r="W97" s="110"/>
      <c r="X97" s="110"/>
      <c r="Y97" s="110"/>
      <c r="Z97" s="110"/>
    </row>
    <row r="98" ht="28.5" customHeight="1">
      <c r="A98" s="47"/>
      <c r="B98" s="47"/>
      <c r="C98" s="47"/>
      <c r="D98" s="118" t="s">
        <v>95</v>
      </c>
      <c r="E98" s="120">
        <v>3.44</v>
      </c>
      <c r="F98" s="120">
        <v>4.06</v>
      </c>
      <c r="G98" s="120">
        <v>3.41</v>
      </c>
      <c r="H98" s="120">
        <v>4.22</v>
      </c>
      <c r="I98" s="120">
        <v>3.86</v>
      </c>
      <c r="J98" s="120"/>
      <c r="K98" s="120"/>
      <c r="L98" s="120"/>
      <c r="M98" s="120"/>
      <c r="N98" s="120"/>
      <c r="O98" s="47"/>
      <c r="P98" s="110"/>
      <c r="Q98" s="110"/>
      <c r="R98" s="110"/>
      <c r="S98" s="110"/>
      <c r="T98" s="110"/>
      <c r="U98" s="110"/>
      <c r="V98" s="110"/>
      <c r="W98" s="110"/>
      <c r="X98" s="110"/>
      <c r="Y98" s="110"/>
      <c r="Z98" s="110"/>
    </row>
    <row r="99" ht="28.5" customHeight="1">
      <c r="A99" s="112" t="s">
        <v>758</v>
      </c>
      <c r="B99" s="112">
        <v>48.0</v>
      </c>
      <c r="C99" s="130" t="s">
        <v>375</v>
      </c>
      <c r="D99" s="114" t="s">
        <v>96</v>
      </c>
      <c r="E99" s="121"/>
      <c r="F99" s="121"/>
      <c r="G99" s="121"/>
      <c r="H99" s="121"/>
      <c r="I99" s="116" t="s">
        <v>376</v>
      </c>
      <c r="J99" s="116" t="s">
        <v>377</v>
      </c>
      <c r="K99" s="116" t="s">
        <v>378</v>
      </c>
      <c r="L99" s="116" t="s">
        <v>379</v>
      </c>
      <c r="M99" s="116" t="s">
        <v>380</v>
      </c>
      <c r="N99" s="116" t="s">
        <v>794</v>
      </c>
      <c r="O99" s="129" t="s">
        <v>596</v>
      </c>
      <c r="P99" s="110"/>
      <c r="Q99" s="110"/>
      <c r="R99" s="110"/>
      <c r="S99" s="110"/>
      <c r="T99" s="110"/>
      <c r="U99" s="110"/>
      <c r="V99" s="110"/>
      <c r="W99" s="110"/>
      <c r="X99" s="110"/>
      <c r="Y99" s="110"/>
      <c r="Z99" s="110"/>
    </row>
    <row r="100" ht="28.5" customHeight="1">
      <c r="A100" s="47"/>
      <c r="B100" s="47"/>
      <c r="C100" s="47"/>
      <c r="D100" s="118" t="s">
        <v>95</v>
      </c>
      <c r="E100" s="122"/>
      <c r="F100" s="122"/>
      <c r="G100" s="122"/>
      <c r="H100" s="122"/>
      <c r="I100" s="120"/>
      <c r="J100" s="120"/>
      <c r="K100" s="120"/>
      <c r="L100" s="120"/>
      <c r="M100" s="120"/>
      <c r="N100" s="120"/>
      <c r="O100" s="47"/>
      <c r="P100" s="110"/>
      <c r="Q100" s="110"/>
      <c r="R100" s="110"/>
      <c r="S100" s="110"/>
      <c r="T100" s="110"/>
      <c r="U100" s="110"/>
      <c r="V100" s="110"/>
      <c r="W100" s="110"/>
      <c r="X100" s="110"/>
      <c r="Y100" s="110"/>
      <c r="Z100" s="110"/>
    </row>
    <row r="101" ht="28.5" customHeight="1">
      <c r="A101" s="112" t="s">
        <v>758</v>
      </c>
      <c r="B101" s="112">
        <v>49.0</v>
      </c>
      <c r="C101" s="113" t="s">
        <v>381</v>
      </c>
      <c r="D101" s="114" t="s">
        <v>96</v>
      </c>
      <c r="E101" s="121"/>
      <c r="F101" s="121"/>
      <c r="G101" s="121"/>
      <c r="H101" s="121"/>
      <c r="I101" s="116" t="s">
        <v>382</v>
      </c>
      <c r="J101" s="116" t="s">
        <v>383</v>
      </c>
      <c r="K101" s="116" t="s">
        <v>358</v>
      </c>
      <c r="L101" s="116" t="s">
        <v>384</v>
      </c>
      <c r="M101" s="116" t="s">
        <v>193</v>
      </c>
      <c r="N101" s="116" t="s">
        <v>795</v>
      </c>
      <c r="O101" s="129" t="s">
        <v>663</v>
      </c>
      <c r="P101" s="110"/>
      <c r="Q101" s="110"/>
      <c r="R101" s="110"/>
      <c r="S101" s="110"/>
      <c r="T101" s="110"/>
      <c r="U101" s="110"/>
      <c r="V101" s="110"/>
      <c r="W101" s="110"/>
      <c r="X101" s="110"/>
      <c r="Y101" s="110"/>
      <c r="Z101" s="110"/>
    </row>
    <row r="102" ht="28.5" customHeight="1">
      <c r="A102" s="47"/>
      <c r="B102" s="47"/>
      <c r="C102" s="47"/>
      <c r="D102" s="118" t="s">
        <v>95</v>
      </c>
      <c r="E102" s="122"/>
      <c r="F102" s="122"/>
      <c r="G102" s="122"/>
      <c r="H102" s="122"/>
      <c r="I102" s="120"/>
      <c r="J102" s="120"/>
      <c r="K102" s="120"/>
      <c r="L102" s="120"/>
      <c r="M102" s="120"/>
      <c r="N102" s="120"/>
      <c r="O102" s="47"/>
      <c r="P102" s="110"/>
      <c r="Q102" s="110"/>
      <c r="R102" s="110"/>
      <c r="S102" s="110"/>
      <c r="T102" s="110"/>
      <c r="U102" s="110"/>
      <c r="V102" s="110"/>
      <c r="W102" s="110"/>
      <c r="X102" s="110"/>
      <c r="Y102" s="110"/>
      <c r="Z102" s="110"/>
    </row>
    <row r="103" ht="28.5" customHeight="1">
      <c r="A103" s="112" t="s">
        <v>758</v>
      </c>
      <c r="B103" s="112">
        <v>49.0</v>
      </c>
      <c r="C103" s="113" t="s">
        <v>385</v>
      </c>
      <c r="D103" s="114" t="s">
        <v>96</v>
      </c>
      <c r="E103" s="121"/>
      <c r="F103" s="121"/>
      <c r="G103" s="121"/>
      <c r="H103" s="121"/>
      <c r="I103" s="116" t="s">
        <v>386</v>
      </c>
      <c r="J103" s="116" t="s">
        <v>387</v>
      </c>
      <c r="K103" s="116" t="s">
        <v>388</v>
      </c>
      <c r="L103" s="116" t="s">
        <v>389</v>
      </c>
      <c r="M103" s="116" t="s">
        <v>382</v>
      </c>
      <c r="N103" s="131" t="s">
        <v>187</v>
      </c>
      <c r="O103" s="129" t="s">
        <v>663</v>
      </c>
      <c r="P103" s="110"/>
      <c r="Q103" s="110"/>
      <c r="R103" s="110"/>
      <c r="S103" s="110"/>
      <c r="T103" s="110"/>
      <c r="U103" s="110"/>
      <c r="V103" s="110"/>
      <c r="W103" s="110"/>
      <c r="X103" s="110"/>
      <c r="Y103" s="110"/>
      <c r="Z103" s="110"/>
    </row>
    <row r="104" ht="27.75" customHeight="1">
      <c r="A104" s="47"/>
      <c r="B104" s="47"/>
      <c r="C104" s="47"/>
      <c r="D104" s="118" t="s">
        <v>95</v>
      </c>
      <c r="E104" s="119"/>
      <c r="F104" s="119"/>
      <c r="G104" s="119"/>
      <c r="H104" s="119"/>
      <c r="I104" s="120"/>
      <c r="J104" s="120"/>
      <c r="K104" s="120"/>
      <c r="L104" s="120"/>
      <c r="M104" s="120"/>
      <c r="N104" s="120"/>
      <c r="O104" s="47"/>
      <c r="P104" s="110"/>
      <c r="Q104" s="110"/>
      <c r="R104" s="110"/>
      <c r="S104" s="110"/>
      <c r="T104" s="110"/>
      <c r="U104" s="110"/>
      <c r="V104" s="110"/>
      <c r="W104" s="110"/>
      <c r="X104" s="110"/>
      <c r="Y104" s="110"/>
      <c r="Z104" s="110"/>
    </row>
    <row r="105" ht="27.75" customHeight="1">
      <c r="A105" s="112" t="s">
        <v>758</v>
      </c>
      <c r="B105" s="112">
        <v>50.0</v>
      </c>
      <c r="C105" s="113" t="s">
        <v>390</v>
      </c>
      <c r="D105" s="114" t="s">
        <v>96</v>
      </c>
      <c r="E105" s="124"/>
      <c r="F105" s="124"/>
      <c r="G105" s="124"/>
      <c r="H105" s="124"/>
      <c r="I105" s="116" t="s">
        <v>391</v>
      </c>
      <c r="J105" s="116" t="s">
        <v>392</v>
      </c>
      <c r="K105" s="116" t="s">
        <v>393</v>
      </c>
      <c r="L105" s="116" t="s">
        <v>394</v>
      </c>
      <c r="M105" s="116" t="s">
        <v>395</v>
      </c>
      <c r="N105" s="116" t="s">
        <v>796</v>
      </c>
      <c r="O105" s="129" t="s">
        <v>707</v>
      </c>
      <c r="P105" s="110"/>
      <c r="Q105" s="110"/>
      <c r="R105" s="110"/>
      <c r="S105" s="110"/>
      <c r="T105" s="110"/>
      <c r="U105" s="110"/>
      <c r="V105" s="110"/>
      <c r="W105" s="110"/>
      <c r="X105" s="110"/>
      <c r="Y105" s="110"/>
      <c r="Z105" s="110"/>
    </row>
    <row r="106" ht="28.5" customHeight="1">
      <c r="A106" s="47"/>
      <c r="B106" s="47"/>
      <c r="C106" s="47"/>
      <c r="D106" s="118" t="s">
        <v>95</v>
      </c>
      <c r="E106" s="119"/>
      <c r="F106" s="119"/>
      <c r="G106" s="119"/>
      <c r="H106" s="119" t="s">
        <v>705</v>
      </c>
      <c r="I106" s="119" t="s">
        <v>706</v>
      </c>
      <c r="J106" s="120"/>
      <c r="K106" s="120"/>
      <c r="L106" s="120"/>
      <c r="M106" s="120"/>
      <c r="N106" s="120"/>
      <c r="O106" s="47"/>
      <c r="P106" s="110"/>
      <c r="Q106" s="110"/>
      <c r="R106" s="110"/>
      <c r="S106" s="110"/>
      <c r="T106" s="110"/>
      <c r="U106" s="110"/>
      <c r="V106" s="110"/>
      <c r="W106" s="110"/>
      <c r="X106" s="110"/>
      <c r="Y106" s="110"/>
      <c r="Z106" s="110"/>
    </row>
    <row r="107" ht="28.5" customHeight="1">
      <c r="A107" s="112" t="s">
        <v>758</v>
      </c>
      <c r="B107" s="112">
        <v>51.0</v>
      </c>
      <c r="C107" s="113" t="s">
        <v>396</v>
      </c>
      <c r="D107" s="114" t="s">
        <v>96</v>
      </c>
      <c r="E107" s="124"/>
      <c r="F107" s="124"/>
      <c r="G107" s="124"/>
      <c r="H107" s="124"/>
      <c r="I107" s="116" t="s">
        <v>397</v>
      </c>
      <c r="J107" s="116" t="s">
        <v>398</v>
      </c>
      <c r="K107" s="116" t="s">
        <v>399</v>
      </c>
      <c r="L107" s="116" t="s">
        <v>400</v>
      </c>
      <c r="M107" s="116" t="s">
        <v>401</v>
      </c>
      <c r="N107" s="131" t="s">
        <v>797</v>
      </c>
      <c r="O107" s="117" t="s">
        <v>588</v>
      </c>
      <c r="P107" s="110"/>
      <c r="Q107" s="110"/>
      <c r="R107" s="110"/>
      <c r="S107" s="110"/>
      <c r="T107" s="110"/>
      <c r="U107" s="110"/>
      <c r="V107" s="110"/>
      <c r="W107" s="110"/>
      <c r="X107" s="110"/>
      <c r="Y107" s="110"/>
      <c r="Z107" s="110"/>
    </row>
    <row r="108" ht="28.5" customHeight="1">
      <c r="A108" s="47"/>
      <c r="B108" s="47"/>
      <c r="C108" s="47"/>
      <c r="D108" s="118" t="s">
        <v>95</v>
      </c>
      <c r="E108" s="120">
        <v>79.38</v>
      </c>
      <c r="F108" s="120">
        <v>78.79</v>
      </c>
      <c r="G108" s="120">
        <v>80.47</v>
      </c>
      <c r="H108" s="120">
        <v>77.35</v>
      </c>
      <c r="I108" s="120" t="s">
        <v>708</v>
      </c>
      <c r="J108" s="120"/>
      <c r="K108" s="120"/>
      <c r="L108" s="120"/>
      <c r="M108" s="120"/>
      <c r="N108" s="120"/>
      <c r="O108" s="47"/>
      <c r="P108" s="110"/>
      <c r="Q108" s="110"/>
      <c r="R108" s="110"/>
      <c r="S108" s="110"/>
      <c r="T108" s="110"/>
      <c r="U108" s="110"/>
      <c r="V108" s="110"/>
      <c r="W108" s="110"/>
      <c r="X108" s="110"/>
      <c r="Y108" s="110"/>
      <c r="Z108" s="110"/>
    </row>
    <row r="109" ht="28.5" customHeight="1">
      <c r="A109" s="112" t="s">
        <v>758</v>
      </c>
      <c r="B109" s="112">
        <v>52.0</v>
      </c>
      <c r="C109" s="130" t="s">
        <v>80</v>
      </c>
      <c r="D109" s="114" t="s">
        <v>96</v>
      </c>
      <c r="E109" s="121"/>
      <c r="F109" s="121"/>
      <c r="G109" s="121"/>
      <c r="H109" s="121"/>
      <c r="I109" s="116" t="s">
        <v>135</v>
      </c>
      <c r="J109" s="116" t="s">
        <v>402</v>
      </c>
      <c r="K109" s="116" t="s">
        <v>403</v>
      </c>
      <c r="L109" s="116" t="s">
        <v>404</v>
      </c>
      <c r="M109" s="116" t="s">
        <v>405</v>
      </c>
      <c r="N109" s="116" t="s">
        <v>798</v>
      </c>
      <c r="O109" s="128"/>
      <c r="P109" s="110"/>
      <c r="Q109" s="110"/>
      <c r="R109" s="110"/>
      <c r="S109" s="110"/>
      <c r="T109" s="110"/>
      <c r="U109" s="110"/>
      <c r="V109" s="110"/>
      <c r="W109" s="110"/>
      <c r="X109" s="110"/>
      <c r="Y109" s="110"/>
      <c r="Z109" s="110"/>
    </row>
    <row r="110" ht="28.5" customHeight="1">
      <c r="A110" s="47"/>
      <c r="B110" s="47"/>
      <c r="C110" s="47"/>
      <c r="D110" s="118" t="s">
        <v>95</v>
      </c>
      <c r="J110" s="120"/>
      <c r="K110" s="120"/>
      <c r="L110" s="120"/>
      <c r="M110" s="120"/>
      <c r="N110" s="120"/>
      <c r="O110" s="47"/>
      <c r="P110" s="110"/>
      <c r="Q110" s="110"/>
      <c r="R110" s="110"/>
      <c r="S110" s="110"/>
      <c r="T110" s="110"/>
      <c r="U110" s="110"/>
      <c r="V110" s="110"/>
      <c r="W110" s="110"/>
      <c r="X110" s="110"/>
      <c r="Y110" s="110"/>
      <c r="Z110" s="110"/>
    </row>
    <row r="111" ht="28.5" customHeight="1">
      <c r="A111" s="112" t="s">
        <v>758</v>
      </c>
      <c r="B111" s="112">
        <v>53.0</v>
      </c>
      <c r="C111" s="130" t="s">
        <v>406</v>
      </c>
      <c r="D111" s="114" t="s">
        <v>96</v>
      </c>
      <c r="E111" s="124"/>
      <c r="F111" s="124"/>
      <c r="G111" s="124"/>
      <c r="H111" s="124"/>
      <c r="I111" s="116" t="s">
        <v>407</v>
      </c>
      <c r="J111" s="116" t="s">
        <v>407</v>
      </c>
      <c r="K111" s="116" t="s">
        <v>407</v>
      </c>
      <c r="L111" s="116" t="s">
        <v>407</v>
      </c>
      <c r="M111" s="116" t="s">
        <v>407</v>
      </c>
      <c r="N111" s="116" t="s">
        <v>799</v>
      </c>
      <c r="O111" s="117" t="s">
        <v>715</v>
      </c>
      <c r="P111" s="110"/>
      <c r="Q111" s="110"/>
      <c r="R111" s="110"/>
      <c r="S111" s="110"/>
      <c r="T111" s="110"/>
      <c r="U111" s="110"/>
      <c r="V111" s="110"/>
      <c r="W111" s="110"/>
      <c r="X111" s="110"/>
      <c r="Y111" s="110"/>
      <c r="Z111" s="110"/>
    </row>
    <row r="112" ht="28.5" customHeight="1">
      <c r="A112" s="47"/>
      <c r="B112" s="47"/>
      <c r="C112" s="47"/>
      <c r="D112" s="118" t="s">
        <v>95</v>
      </c>
      <c r="E112" s="119" t="s">
        <v>711</v>
      </c>
      <c r="F112" s="119" t="s">
        <v>712</v>
      </c>
      <c r="G112" s="119" t="s">
        <v>713</v>
      </c>
      <c r="H112" s="119" t="s">
        <v>275</v>
      </c>
      <c r="I112" s="119" t="s">
        <v>714</v>
      </c>
      <c r="J112" s="120"/>
      <c r="K112" s="120"/>
      <c r="L112" s="120"/>
      <c r="M112" s="120"/>
      <c r="N112" s="120"/>
      <c r="O112" s="47"/>
      <c r="P112" s="110"/>
      <c r="Q112" s="110"/>
      <c r="R112" s="110"/>
      <c r="S112" s="110"/>
      <c r="T112" s="110"/>
      <c r="U112" s="110"/>
      <c r="V112" s="110"/>
      <c r="W112" s="110"/>
      <c r="X112" s="110"/>
      <c r="Y112" s="110"/>
      <c r="Z112" s="110"/>
    </row>
    <row r="113" ht="28.5" customHeight="1">
      <c r="A113" s="112" t="s">
        <v>758</v>
      </c>
      <c r="B113" s="112">
        <v>54.0</v>
      </c>
      <c r="C113" s="113" t="s">
        <v>82</v>
      </c>
      <c r="D113" s="114" t="s">
        <v>96</v>
      </c>
      <c r="E113" s="121"/>
      <c r="F113" s="121"/>
      <c r="G113" s="121"/>
      <c r="H113" s="121"/>
      <c r="I113" s="116" t="s">
        <v>408</v>
      </c>
      <c r="J113" s="116" t="s">
        <v>409</v>
      </c>
      <c r="K113" s="116" t="s">
        <v>410</v>
      </c>
      <c r="L113" s="116" t="s">
        <v>411</v>
      </c>
      <c r="M113" s="116" t="s">
        <v>412</v>
      </c>
      <c r="N113" s="116" t="s">
        <v>800</v>
      </c>
      <c r="O113" s="117" t="s">
        <v>716</v>
      </c>
      <c r="P113" s="110"/>
      <c r="Q113" s="110"/>
      <c r="R113" s="110"/>
      <c r="S113" s="110"/>
      <c r="T113" s="110"/>
      <c r="U113" s="110"/>
      <c r="V113" s="110"/>
      <c r="W113" s="110"/>
      <c r="X113" s="110"/>
      <c r="Y113" s="110"/>
      <c r="Z113" s="110"/>
    </row>
    <row r="114" ht="28.5" customHeight="1">
      <c r="A114" s="47"/>
      <c r="B114" s="47"/>
      <c r="C114" s="47"/>
      <c r="D114" s="118" t="s">
        <v>95</v>
      </c>
      <c r="E114" s="122"/>
      <c r="F114" s="122"/>
      <c r="G114" s="122"/>
      <c r="H114" s="122"/>
      <c r="I114" s="120"/>
      <c r="J114" s="120"/>
      <c r="K114" s="120"/>
      <c r="L114" s="120"/>
      <c r="M114" s="120"/>
      <c r="N114" s="120"/>
      <c r="O114" s="47"/>
      <c r="P114" s="110"/>
      <c r="Q114" s="110"/>
      <c r="R114" s="110"/>
      <c r="S114" s="110"/>
      <c r="T114" s="110"/>
      <c r="U114" s="110"/>
      <c r="V114" s="110"/>
      <c r="W114" s="110"/>
      <c r="X114" s="110"/>
      <c r="Y114" s="110"/>
      <c r="Z114" s="110"/>
    </row>
    <row r="115" ht="28.5" customHeight="1">
      <c r="A115" s="112" t="s">
        <v>758</v>
      </c>
      <c r="B115" s="112">
        <v>55.0</v>
      </c>
      <c r="C115" s="113" t="s">
        <v>717</v>
      </c>
      <c r="D115" s="114" t="s">
        <v>96</v>
      </c>
      <c r="E115" s="121"/>
      <c r="F115" s="121"/>
      <c r="G115" s="121"/>
      <c r="H115" s="121"/>
      <c r="I115" s="116" t="s">
        <v>414</v>
      </c>
      <c r="J115" s="116" t="s">
        <v>415</v>
      </c>
      <c r="K115" s="116" t="s">
        <v>403</v>
      </c>
      <c r="L115" s="116" t="s">
        <v>416</v>
      </c>
      <c r="M115" s="116" t="s">
        <v>417</v>
      </c>
      <c r="N115" s="116" t="s">
        <v>371</v>
      </c>
      <c r="O115" s="117" t="s">
        <v>718</v>
      </c>
      <c r="P115" s="110"/>
      <c r="Q115" s="110"/>
      <c r="R115" s="110"/>
      <c r="S115" s="110"/>
      <c r="T115" s="110"/>
      <c r="U115" s="110"/>
      <c r="V115" s="110"/>
      <c r="W115" s="110"/>
      <c r="X115" s="110"/>
      <c r="Y115" s="110"/>
      <c r="Z115" s="110"/>
    </row>
    <row r="116" ht="28.5" customHeight="1">
      <c r="A116" s="47"/>
      <c r="B116" s="47"/>
      <c r="C116" s="47"/>
      <c r="D116" s="118" t="s">
        <v>95</v>
      </c>
      <c r="E116" s="122"/>
      <c r="F116" s="122"/>
      <c r="G116" s="122"/>
      <c r="H116" s="122"/>
      <c r="I116" s="120"/>
      <c r="J116" s="120"/>
      <c r="K116" s="120"/>
      <c r="L116" s="120"/>
      <c r="M116" s="120"/>
      <c r="N116" s="120"/>
      <c r="O116" s="47"/>
      <c r="P116" s="110"/>
      <c r="Q116" s="110"/>
      <c r="R116" s="110"/>
      <c r="S116" s="110"/>
      <c r="T116" s="110"/>
      <c r="U116" s="110"/>
      <c r="V116" s="110"/>
      <c r="W116" s="110"/>
      <c r="X116" s="110"/>
      <c r="Y116" s="110"/>
      <c r="Z116" s="110"/>
    </row>
    <row r="117" ht="28.5" customHeight="1">
      <c r="A117" s="112" t="s">
        <v>758</v>
      </c>
      <c r="B117" s="112">
        <v>56.0</v>
      </c>
      <c r="C117" s="113" t="s">
        <v>418</v>
      </c>
      <c r="D117" s="114" t="s">
        <v>96</v>
      </c>
      <c r="E117" s="121"/>
      <c r="F117" s="121"/>
      <c r="G117" s="121"/>
      <c r="H117" s="121"/>
      <c r="I117" s="116" t="s">
        <v>419</v>
      </c>
      <c r="J117" s="116" t="s">
        <v>420</v>
      </c>
      <c r="K117" s="116" t="s">
        <v>421</v>
      </c>
      <c r="L117" s="116" t="s">
        <v>422</v>
      </c>
      <c r="M117" s="116" t="s">
        <v>423</v>
      </c>
      <c r="N117" s="116" t="s">
        <v>801</v>
      </c>
      <c r="O117" s="117" t="s">
        <v>719</v>
      </c>
      <c r="P117" s="110"/>
      <c r="Q117" s="110"/>
      <c r="R117" s="110"/>
      <c r="S117" s="110"/>
      <c r="T117" s="110"/>
      <c r="U117" s="110"/>
      <c r="V117" s="110"/>
      <c r="W117" s="110"/>
      <c r="X117" s="110"/>
      <c r="Y117" s="110"/>
      <c r="Z117" s="110"/>
    </row>
    <row r="118" ht="28.5" customHeight="1">
      <c r="A118" s="47"/>
      <c r="B118" s="47"/>
      <c r="C118" s="47"/>
      <c r="D118" s="118" t="s">
        <v>95</v>
      </c>
      <c r="E118" s="122"/>
      <c r="F118" s="122"/>
      <c r="G118" s="122"/>
      <c r="H118" s="122"/>
      <c r="I118" s="120"/>
      <c r="J118" s="120"/>
      <c r="K118" s="120"/>
      <c r="L118" s="120"/>
      <c r="M118" s="120"/>
      <c r="N118" s="120"/>
      <c r="O118" s="47"/>
      <c r="P118" s="110"/>
      <c r="Q118" s="110"/>
      <c r="R118" s="110"/>
      <c r="S118" s="110"/>
      <c r="T118" s="110"/>
      <c r="U118" s="110"/>
      <c r="V118" s="110"/>
      <c r="W118" s="110"/>
      <c r="X118" s="110"/>
      <c r="Y118" s="110"/>
      <c r="Z118" s="110"/>
    </row>
    <row r="119" ht="28.5" customHeight="1">
      <c r="A119" s="112" t="s">
        <v>758</v>
      </c>
      <c r="B119" s="112">
        <v>57.0</v>
      </c>
      <c r="C119" s="113" t="s">
        <v>424</v>
      </c>
      <c r="D119" s="114" t="s">
        <v>96</v>
      </c>
      <c r="E119" s="121"/>
      <c r="F119" s="121"/>
      <c r="G119" s="121"/>
      <c r="H119" s="121"/>
      <c r="I119" s="116" t="s">
        <v>425</v>
      </c>
      <c r="J119" s="116" t="s">
        <v>426</v>
      </c>
      <c r="K119" s="116" t="s">
        <v>427</v>
      </c>
      <c r="L119" s="116" t="s">
        <v>428</v>
      </c>
      <c r="M119" s="116" t="s">
        <v>429</v>
      </c>
      <c r="N119" s="116" t="s">
        <v>802</v>
      </c>
      <c r="O119" s="117" t="s">
        <v>720</v>
      </c>
      <c r="P119" s="110"/>
      <c r="Q119" s="110"/>
      <c r="R119" s="110"/>
      <c r="S119" s="110"/>
      <c r="T119" s="110"/>
      <c r="U119" s="110"/>
      <c r="V119" s="110"/>
      <c r="W119" s="110"/>
      <c r="X119" s="110"/>
      <c r="Y119" s="110"/>
      <c r="Z119" s="110"/>
    </row>
    <row r="120" ht="28.5" customHeight="1">
      <c r="A120" s="47"/>
      <c r="B120" s="47"/>
      <c r="C120" s="47"/>
      <c r="D120" s="118" t="s">
        <v>95</v>
      </c>
      <c r="E120" s="119"/>
      <c r="F120" s="122"/>
      <c r="G120" s="122"/>
      <c r="H120" s="122"/>
      <c r="I120" s="120"/>
      <c r="J120" s="120"/>
      <c r="K120" s="120"/>
      <c r="L120" s="120"/>
      <c r="M120" s="120"/>
      <c r="N120" s="120"/>
      <c r="O120" s="47"/>
      <c r="P120" s="110"/>
      <c r="Q120" s="110"/>
      <c r="R120" s="110"/>
      <c r="S120" s="110"/>
      <c r="T120" s="110"/>
      <c r="U120" s="110"/>
      <c r="V120" s="110"/>
      <c r="W120" s="110"/>
      <c r="X120" s="110"/>
      <c r="Y120" s="110"/>
      <c r="Z120" s="110"/>
    </row>
    <row r="121" ht="28.5" customHeight="1">
      <c r="A121" s="112" t="s">
        <v>758</v>
      </c>
      <c r="B121" s="112">
        <v>58.0</v>
      </c>
      <c r="C121" s="113" t="s">
        <v>430</v>
      </c>
      <c r="D121" s="114" t="s">
        <v>96</v>
      </c>
      <c r="E121" s="124"/>
      <c r="F121" s="124"/>
      <c r="G121" s="124"/>
      <c r="H121" s="124"/>
      <c r="I121" s="116" t="s">
        <v>431</v>
      </c>
      <c r="J121" s="116" t="s">
        <v>432</v>
      </c>
      <c r="K121" s="116" t="s">
        <v>433</v>
      </c>
      <c r="L121" s="116" t="s">
        <v>434</v>
      </c>
      <c r="M121" s="116" t="s">
        <v>435</v>
      </c>
      <c r="N121" s="116" t="s">
        <v>803</v>
      </c>
      <c r="O121" s="129" t="s">
        <v>723</v>
      </c>
      <c r="P121" s="110"/>
      <c r="Q121" s="110"/>
      <c r="R121" s="110"/>
      <c r="S121" s="110"/>
      <c r="T121" s="110"/>
      <c r="U121" s="110"/>
      <c r="V121" s="110"/>
      <c r="W121" s="110"/>
      <c r="X121" s="110"/>
      <c r="Y121" s="110"/>
      <c r="Z121" s="110"/>
    </row>
    <row r="122" ht="28.5" customHeight="1">
      <c r="A122" s="47"/>
      <c r="B122" s="47"/>
      <c r="C122" s="47"/>
      <c r="D122" s="118" t="s">
        <v>95</v>
      </c>
      <c r="E122" s="122"/>
      <c r="F122" s="119" t="s">
        <v>722</v>
      </c>
      <c r="G122" s="122"/>
      <c r="H122" s="122"/>
      <c r="I122" s="122"/>
      <c r="J122" s="120"/>
      <c r="K122" s="120"/>
      <c r="L122" s="120"/>
      <c r="M122" s="120"/>
      <c r="N122" s="120"/>
      <c r="O122" s="47"/>
      <c r="P122" s="110"/>
      <c r="Q122" s="110"/>
      <c r="R122" s="110"/>
      <c r="S122" s="110"/>
      <c r="T122" s="110"/>
      <c r="U122" s="110"/>
      <c r="V122" s="110"/>
      <c r="W122" s="110"/>
      <c r="X122" s="110"/>
      <c r="Y122" s="110"/>
      <c r="Z122" s="110"/>
    </row>
    <row r="123" ht="28.5" customHeight="1">
      <c r="A123" s="112" t="s">
        <v>758</v>
      </c>
      <c r="B123" s="112">
        <v>59.0</v>
      </c>
      <c r="C123" s="113" t="s">
        <v>84</v>
      </c>
      <c r="D123" s="114" t="s">
        <v>96</v>
      </c>
      <c r="E123" s="121"/>
      <c r="F123" s="121"/>
      <c r="G123" s="121"/>
      <c r="H123" s="121"/>
      <c r="I123" s="116" t="s">
        <v>436</v>
      </c>
      <c r="J123" s="116" t="s">
        <v>437</v>
      </c>
      <c r="K123" s="116" t="s">
        <v>437</v>
      </c>
      <c r="L123" s="116" t="s">
        <v>437</v>
      </c>
      <c r="M123" s="116" t="s">
        <v>437</v>
      </c>
      <c r="N123" s="131" t="s">
        <v>804</v>
      </c>
      <c r="O123" s="117" t="s">
        <v>725</v>
      </c>
      <c r="P123" s="110"/>
      <c r="Q123" s="110"/>
      <c r="R123" s="110"/>
      <c r="S123" s="110"/>
      <c r="T123" s="110"/>
      <c r="U123" s="110"/>
      <c r="V123" s="110"/>
      <c r="W123" s="110"/>
      <c r="X123" s="110"/>
      <c r="Y123" s="110"/>
      <c r="Z123" s="110"/>
    </row>
    <row r="124" ht="28.5" customHeight="1">
      <c r="A124" s="47"/>
      <c r="B124" s="47"/>
      <c r="C124" s="47"/>
      <c r="D124" s="118" t="s">
        <v>95</v>
      </c>
      <c r="E124" s="122"/>
      <c r="F124" s="122"/>
      <c r="G124" s="122"/>
      <c r="H124" s="122"/>
      <c r="I124" s="120"/>
      <c r="J124" s="120"/>
      <c r="K124" s="120"/>
      <c r="L124" s="120"/>
      <c r="M124" s="120"/>
      <c r="N124" s="120"/>
      <c r="O124" s="47"/>
      <c r="P124" s="110"/>
      <c r="Q124" s="110"/>
      <c r="R124" s="110"/>
      <c r="S124" s="110"/>
      <c r="T124" s="110"/>
      <c r="U124" s="110"/>
      <c r="V124" s="110"/>
      <c r="W124" s="110"/>
      <c r="X124" s="110"/>
      <c r="Y124" s="110"/>
      <c r="Z124" s="110"/>
    </row>
    <row r="125" ht="28.5" customHeight="1">
      <c r="A125" s="112" t="s">
        <v>758</v>
      </c>
      <c r="B125" s="112">
        <v>60.0</v>
      </c>
      <c r="C125" s="113" t="s">
        <v>85</v>
      </c>
      <c r="D125" s="114" t="s">
        <v>96</v>
      </c>
      <c r="E125" s="121"/>
      <c r="F125" s="121"/>
      <c r="G125" s="121"/>
      <c r="H125" s="121"/>
      <c r="I125" s="116" t="s">
        <v>438</v>
      </c>
      <c r="J125" s="116" t="s">
        <v>439</v>
      </c>
      <c r="K125" s="116" t="s">
        <v>440</v>
      </c>
      <c r="L125" s="116" t="s">
        <v>441</v>
      </c>
      <c r="M125" s="116" t="s">
        <v>442</v>
      </c>
      <c r="N125" s="116" t="s">
        <v>805</v>
      </c>
      <c r="O125" s="117" t="s">
        <v>726</v>
      </c>
      <c r="P125" s="110"/>
      <c r="Q125" s="110"/>
      <c r="R125" s="110"/>
      <c r="S125" s="110"/>
      <c r="T125" s="110"/>
      <c r="U125" s="110"/>
      <c r="V125" s="110"/>
      <c r="W125" s="110"/>
      <c r="X125" s="110"/>
      <c r="Y125" s="110"/>
      <c r="Z125" s="110"/>
    </row>
    <row r="126" ht="28.5" customHeight="1">
      <c r="A126" s="47"/>
      <c r="B126" s="47"/>
      <c r="C126" s="47"/>
      <c r="D126" s="118" t="s">
        <v>95</v>
      </c>
      <c r="E126" s="119"/>
      <c r="F126" s="119"/>
      <c r="G126" s="119"/>
      <c r="H126" s="122"/>
      <c r="I126" s="120"/>
      <c r="J126" s="120"/>
      <c r="K126" s="120"/>
      <c r="L126" s="120"/>
      <c r="M126" s="120"/>
      <c r="N126" s="120"/>
      <c r="O126" s="47"/>
      <c r="P126" s="110"/>
      <c r="Q126" s="110"/>
      <c r="R126" s="110"/>
      <c r="S126" s="110"/>
      <c r="T126" s="110"/>
      <c r="U126" s="110"/>
      <c r="V126" s="110"/>
      <c r="W126" s="110"/>
      <c r="X126" s="110"/>
      <c r="Y126" s="110"/>
      <c r="Z126" s="110"/>
    </row>
    <row r="127" ht="28.5" customHeight="1">
      <c r="A127" s="112" t="s">
        <v>758</v>
      </c>
      <c r="B127" s="112">
        <v>61.0</v>
      </c>
      <c r="C127" s="113" t="s">
        <v>443</v>
      </c>
      <c r="D127" s="114" t="s">
        <v>96</v>
      </c>
      <c r="E127" s="124"/>
      <c r="F127" s="124"/>
      <c r="G127" s="124"/>
      <c r="H127" s="124"/>
      <c r="I127" s="116" t="s">
        <v>444</v>
      </c>
      <c r="J127" s="116" t="s">
        <v>445</v>
      </c>
      <c r="K127" s="116" t="s">
        <v>446</v>
      </c>
      <c r="L127" s="116" t="s">
        <v>447</v>
      </c>
      <c r="M127" s="116" t="s">
        <v>448</v>
      </c>
      <c r="N127" s="116" t="s">
        <v>806</v>
      </c>
      <c r="O127" s="129" t="s">
        <v>731</v>
      </c>
      <c r="P127" s="110"/>
      <c r="Q127" s="110"/>
      <c r="R127" s="110"/>
      <c r="S127" s="110"/>
      <c r="T127" s="110"/>
      <c r="U127" s="110"/>
      <c r="V127" s="110"/>
      <c r="W127" s="110"/>
      <c r="X127" s="110"/>
      <c r="Y127" s="110"/>
      <c r="Z127" s="110"/>
    </row>
    <row r="128" ht="28.5" customHeight="1">
      <c r="A128" s="47"/>
      <c r="B128" s="47"/>
      <c r="C128" s="47"/>
      <c r="D128" s="118" t="s">
        <v>95</v>
      </c>
      <c r="E128" s="119" t="s">
        <v>727</v>
      </c>
      <c r="F128" s="119" t="s">
        <v>728</v>
      </c>
      <c r="G128" s="119" t="s">
        <v>729</v>
      </c>
      <c r="H128" s="119" t="s">
        <v>730</v>
      </c>
      <c r="I128" s="122"/>
      <c r="J128" s="120"/>
      <c r="K128" s="120"/>
      <c r="L128" s="120"/>
      <c r="M128" s="120"/>
      <c r="N128" s="120"/>
      <c r="O128" s="47"/>
      <c r="P128" s="110"/>
      <c r="Q128" s="110"/>
      <c r="R128" s="110"/>
      <c r="S128" s="110"/>
      <c r="T128" s="110"/>
      <c r="U128" s="110"/>
      <c r="V128" s="110"/>
      <c r="W128" s="110"/>
      <c r="X128" s="110"/>
      <c r="Y128" s="110"/>
      <c r="Z128" s="110"/>
    </row>
    <row r="129" ht="28.5" customHeight="1">
      <c r="A129" s="112" t="s">
        <v>758</v>
      </c>
      <c r="B129" s="112">
        <v>62.0</v>
      </c>
      <c r="C129" s="113" t="s">
        <v>449</v>
      </c>
      <c r="D129" s="114" t="s">
        <v>96</v>
      </c>
      <c r="E129" s="124"/>
      <c r="F129" s="124"/>
      <c r="G129" s="124"/>
      <c r="H129" s="124"/>
      <c r="I129" s="116" t="s">
        <v>450</v>
      </c>
      <c r="J129" s="116" t="s">
        <v>451</v>
      </c>
      <c r="K129" s="116" t="s">
        <v>452</v>
      </c>
      <c r="L129" s="116" t="s">
        <v>453</v>
      </c>
      <c r="M129" s="116" t="s">
        <v>454</v>
      </c>
      <c r="N129" s="116" t="s">
        <v>807</v>
      </c>
      <c r="O129" s="128"/>
      <c r="P129" s="110"/>
      <c r="Q129" s="110"/>
      <c r="R129" s="110"/>
      <c r="S129" s="110"/>
      <c r="T129" s="110"/>
      <c r="U129" s="110"/>
      <c r="V129" s="110"/>
      <c r="W129" s="110"/>
      <c r="X129" s="110"/>
      <c r="Y129" s="110"/>
      <c r="Z129" s="110"/>
    </row>
    <row r="130" ht="28.5" customHeight="1">
      <c r="A130" s="47"/>
      <c r="B130" s="47"/>
      <c r="C130" s="47"/>
      <c r="D130" s="118" t="s">
        <v>95</v>
      </c>
      <c r="E130" s="120">
        <v>75.63</v>
      </c>
      <c r="F130" s="120">
        <v>80.95</v>
      </c>
      <c r="G130" s="120">
        <v>81.18</v>
      </c>
      <c r="H130" s="120">
        <v>78.94</v>
      </c>
      <c r="I130" s="120">
        <v>87.23</v>
      </c>
      <c r="J130" s="120"/>
      <c r="K130" s="120"/>
      <c r="L130" s="120"/>
      <c r="M130" s="120"/>
      <c r="N130" s="120"/>
      <c r="O130" s="47"/>
      <c r="P130" s="110"/>
      <c r="Q130" s="110"/>
      <c r="R130" s="110"/>
      <c r="S130" s="110"/>
      <c r="T130" s="110"/>
      <c r="U130" s="110"/>
      <c r="V130" s="110"/>
      <c r="W130" s="110"/>
      <c r="X130" s="110"/>
      <c r="Y130" s="110"/>
      <c r="Z130" s="110"/>
    </row>
    <row r="131" ht="28.5" customHeight="1">
      <c r="A131" s="112" t="s">
        <v>758</v>
      </c>
      <c r="B131" s="112">
        <v>63.0</v>
      </c>
      <c r="C131" s="113" t="s">
        <v>455</v>
      </c>
      <c r="D131" s="114" t="s">
        <v>96</v>
      </c>
      <c r="E131" s="124"/>
      <c r="F131" s="124"/>
      <c r="G131" s="124"/>
      <c r="H131" s="124"/>
      <c r="I131" s="116" t="s">
        <v>459</v>
      </c>
      <c r="J131" s="116" t="s">
        <v>460</v>
      </c>
      <c r="K131" s="116" t="s">
        <v>461</v>
      </c>
      <c r="L131" s="116" t="s">
        <v>462</v>
      </c>
      <c r="M131" s="116" t="s">
        <v>463</v>
      </c>
      <c r="N131" s="131" t="s">
        <v>808</v>
      </c>
      <c r="O131" s="117" t="s">
        <v>736</v>
      </c>
      <c r="P131" s="110"/>
      <c r="Q131" s="110"/>
      <c r="R131" s="110"/>
      <c r="S131" s="110"/>
      <c r="T131" s="110"/>
      <c r="U131" s="110"/>
      <c r="V131" s="110"/>
      <c r="W131" s="110"/>
      <c r="X131" s="110"/>
      <c r="Y131" s="110"/>
      <c r="Z131" s="110"/>
    </row>
    <row r="132" ht="28.5" customHeight="1">
      <c r="A132" s="47"/>
      <c r="B132" s="47"/>
      <c r="C132" s="47"/>
      <c r="D132" s="118" t="s">
        <v>95</v>
      </c>
      <c r="E132" s="119" t="s">
        <v>456</v>
      </c>
      <c r="F132" s="120" t="s">
        <v>457</v>
      </c>
      <c r="G132" s="119" t="s">
        <v>458</v>
      </c>
      <c r="H132" s="137"/>
      <c r="I132" s="122"/>
      <c r="J132" s="120"/>
      <c r="K132" s="120"/>
      <c r="L132" s="120"/>
      <c r="M132" s="120"/>
      <c r="N132" s="120"/>
      <c r="O132" s="47"/>
      <c r="P132" s="110"/>
      <c r="Q132" s="110"/>
      <c r="R132" s="110"/>
      <c r="S132" s="110"/>
      <c r="T132" s="110"/>
      <c r="U132" s="110"/>
      <c r="V132" s="110"/>
      <c r="W132" s="110"/>
      <c r="X132" s="110"/>
      <c r="Y132" s="110"/>
      <c r="Z132" s="110"/>
    </row>
    <row r="133" ht="28.5" customHeight="1">
      <c r="A133" s="112" t="s">
        <v>758</v>
      </c>
      <c r="B133" s="112">
        <v>64.0</v>
      </c>
      <c r="C133" s="113" t="s">
        <v>464</v>
      </c>
      <c r="D133" s="114" t="s">
        <v>96</v>
      </c>
      <c r="E133" s="124"/>
      <c r="F133" s="124"/>
      <c r="G133" s="124"/>
      <c r="H133" s="124"/>
      <c r="I133" s="116" t="s">
        <v>465</v>
      </c>
      <c r="J133" s="116" t="s">
        <v>465</v>
      </c>
      <c r="K133" s="116" t="s">
        <v>466</v>
      </c>
      <c r="L133" s="116" t="s">
        <v>269</v>
      </c>
      <c r="M133" s="116" t="s">
        <v>467</v>
      </c>
      <c r="N133" s="116" t="s">
        <v>809</v>
      </c>
      <c r="O133" s="128"/>
      <c r="P133" s="110"/>
      <c r="Q133" s="110"/>
      <c r="R133" s="110"/>
      <c r="S133" s="110"/>
      <c r="T133" s="110"/>
      <c r="U133" s="110"/>
      <c r="V133" s="110"/>
      <c r="W133" s="110"/>
      <c r="X133" s="110"/>
      <c r="Y133" s="110"/>
      <c r="Z133" s="110"/>
    </row>
    <row r="134" ht="28.5" customHeight="1">
      <c r="A134" s="47"/>
      <c r="B134" s="47"/>
      <c r="C134" s="47"/>
      <c r="D134" s="118" t="s">
        <v>95</v>
      </c>
      <c r="E134" s="119">
        <v>0.472</v>
      </c>
      <c r="F134" s="119">
        <v>0.444</v>
      </c>
      <c r="G134" s="138">
        <v>0.452</v>
      </c>
      <c r="H134" s="138">
        <v>0.418</v>
      </c>
      <c r="I134" s="138">
        <v>0.34</v>
      </c>
      <c r="J134" s="120"/>
      <c r="K134" s="120"/>
      <c r="L134" s="120"/>
      <c r="M134" s="120"/>
      <c r="N134" s="120"/>
      <c r="O134" s="47"/>
      <c r="P134" s="110"/>
      <c r="Q134" s="110"/>
      <c r="R134" s="110"/>
      <c r="S134" s="110"/>
      <c r="T134" s="110"/>
      <c r="U134" s="110"/>
      <c r="V134" s="110"/>
      <c r="W134" s="110"/>
      <c r="X134" s="110"/>
      <c r="Y134" s="110"/>
      <c r="Z134" s="110"/>
    </row>
    <row r="135" ht="28.5" customHeight="1">
      <c r="A135" s="112" t="s">
        <v>758</v>
      </c>
      <c r="B135" s="112">
        <v>65.0</v>
      </c>
      <c r="C135" s="113" t="s">
        <v>737</v>
      </c>
      <c r="D135" s="114" t="s">
        <v>96</v>
      </c>
      <c r="E135" s="116"/>
      <c r="F135" s="116"/>
      <c r="G135" s="116"/>
      <c r="H135" s="116"/>
      <c r="I135" s="116" t="s">
        <v>469</v>
      </c>
      <c r="J135" s="116" t="s">
        <v>470</v>
      </c>
      <c r="K135" s="116" t="s">
        <v>471</v>
      </c>
      <c r="L135" s="116" t="s">
        <v>472</v>
      </c>
      <c r="M135" s="116" t="s">
        <v>473</v>
      </c>
      <c r="N135" s="116" t="s">
        <v>810</v>
      </c>
      <c r="O135" s="129" t="s">
        <v>596</v>
      </c>
      <c r="P135" s="110"/>
      <c r="Q135" s="110"/>
      <c r="R135" s="110"/>
      <c r="S135" s="110"/>
      <c r="T135" s="110"/>
      <c r="U135" s="110"/>
      <c r="V135" s="110"/>
      <c r="W135" s="110"/>
      <c r="X135" s="110"/>
      <c r="Y135" s="110"/>
      <c r="Z135" s="110"/>
    </row>
    <row r="136" ht="28.5" customHeight="1">
      <c r="A136" s="47"/>
      <c r="B136" s="47"/>
      <c r="C136" s="47"/>
      <c r="D136" s="118" t="s">
        <v>95</v>
      </c>
      <c r="E136" s="120"/>
      <c r="F136" s="120"/>
      <c r="G136" s="120"/>
      <c r="H136" s="120"/>
      <c r="I136" s="139"/>
      <c r="J136" s="139"/>
      <c r="K136" s="139"/>
      <c r="L136" s="139"/>
      <c r="M136" s="139"/>
      <c r="N136" s="139"/>
      <c r="O136" s="47"/>
      <c r="P136" s="110"/>
      <c r="Q136" s="110"/>
      <c r="R136" s="110"/>
      <c r="S136" s="110"/>
      <c r="T136" s="110"/>
      <c r="U136" s="110"/>
      <c r="V136" s="110"/>
      <c r="W136" s="110"/>
      <c r="X136" s="110"/>
      <c r="Y136" s="110"/>
      <c r="Z136" s="110"/>
    </row>
    <row r="137" ht="28.5" customHeight="1">
      <c r="A137" s="112" t="s">
        <v>758</v>
      </c>
      <c r="B137" s="112">
        <v>66.0</v>
      </c>
      <c r="C137" s="113" t="s">
        <v>474</v>
      </c>
      <c r="D137" s="114" t="s">
        <v>96</v>
      </c>
      <c r="E137" s="124"/>
      <c r="F137" s="124"/>
      <c r="G137" s="124"/>
      <c r="H137" s="124"/>
      <c r="I137" s="140"/>
      <c r="J137" s="140"/>
      <c r="K137" s="140"/>
      <c r="L137" s="140"/>
      <c r="M137" s="140"/>
      <c r="N137" s="141"/>
      <c r="O137" s="117"/>
      <c r="P137" s="110"/>
      <c r="Q137" s="110"/>
      <c r="R137" s="110"/>
      <c r="S137" s="110"/>
      <c r="T137" s="110"/>
      <c r="U137" s="110"/>
      <c r="V137" s="110"/>
      <c r="W137" s="110"/>
      <c r="X137" s="110"/>
      <c r="Y137" s="110"/>
      <c r="Z137" s="110"/>
    </row>
    <row r="138" ht="28.5" customHeight="1">
      <c r="A138" s="47"/>
      <c r="B138" s="47"/>
      <c r="C138" s="47"/>
      <c r="D138" s="118" t="s">
        <v>95</v>
      </c>
      <c r="E138" s="120" t="s">
        <v>475</v>
      </c>
      <c r="F138" s="120" t="s">
        <v>476</v>
      </c>
      <c r="G138" s="120" t="s">
        <v>477</v>
      </c>
      <c r="H138" s="120" t="s">
        <v>478</v>
      </c>
      <c r="I138" s="120" t="s">
        <v>479</v>
      </c>
      <c r="J138" s="139"/>
      <c r="K138" s="139"/>
      <c r="L138" s="139"/>
      <c r="M138" s="139"/>
      <c r="N138" s="139"/>
      <c r="O138" s="47"/>
      <c r="P138" s="110"/>
      <c r="Q138" s="110"/>
      <c r="R138" s="110"/>
      <c r="S138" s="110"/>
      <c r="T138" s="110"/>
      <c r="U138" s="110"/>
      <c r="V138" s="110"/>
      <c r="W138" s="110"/>
      <c r="X138" s="110"/>
      <c r="Y138" s="110"/>
      <c r="Z138" s="110"/>
    </row>
    <row r="139" ht="28.5" customHeight="1">
      <c r="A139" s="112" t="s">
        <v>758</v>
      </c>
      <c r="B139" s="112">
        <v>67.0</v>
      </c>
      <c r="C139" s="113" t="s">
        <v>481</v>
      </c>
      <c r="D139" s="114" t="s">
        <v>96</v>
      </c>
      <c r="E139" s="124"/>
      <c r="F139" s="124"/>
      <c r="G139" s="124"/>
      <c r="H139" s="124"/>
      <c r="I139" s="140"/>
      <c r="J139" s="140"/>
      <c r="K139" s="140"/>
      <c r="L139" s="140"/>
      <c r="M139" s="140"/>
      <c r="N139" s="141"/>
      <c r="O139" s="117"/>
      <c r="P139" s="110"/>
      <c r="Q139" s="110"/>
      <c r="R139" s="110"/>
      <c r="S139" s="110"/>
      <c r="T139" s="110"/>
      <c r="U139" s="110"/>
      <c r="V139" s="110"/>
      <c r="W139" s="110"/>
      <c r="X139" s="110"/>
      <c r="Y139" s="110"/>
      <c r="Z139" s="110"/>
    </row>
    <row r="140" ht="28.5" customHeight="1">
      <c r="A140" s="47"/>
      <c r="B140" s="47"/>
      <c r="C140" s="47"/>
      <c r="D140" s="118" t="s">
        <v>95</v>
      </c>
      <c r="E140" s="120" t="s">
        <v>482</v>
      </c>
      <c r="F140" s="120" t="s">
        <v>483</v>
      </c>
      <c r="G140" s="120" t="s">
        <v>484</v>
      </c>
      <c r="H140" s="120" t="s">
        <v>485</v>
      </c>
      <c r="I140" s="120" t="s">
        <v>486</v>
      </c>
      <c r="J140" s="139"/>
      <c r="K140" s="139"/>
      <c r="L140" s="139"/>
      <c r="M140" s="139"/>
      <c r="N140" s="139"/>
      <c r="O140" s="47"/>
      <c r="P140" s="110"/>
      <c r="Q140" s="110"/>
      <c r="R140" s="110"/>
      <c r="S140" s="110"/>
      <c r="T140" s="110"/>
      <c r="U140" s="110"/>
      <c r="V140" s="110"/>
      <c r="W140" s="110"/>
      <c r="X140" s="110"/>
      <c r="Y140" s="110"/>
      <c r="Z140" s="110"/>
    </row>
    <row r="141" ht="28.5" customHeight="1">
      <c r="A141" s="112" t="s">
        <v>758</v>
      </c>
      <c r="B141" s="112">
        <v>68.0</v>
      </c>
      <c r="C141" s="113" t="s">
        <v>487</v>
      </c>
      <c r="D141" s="114" t="s">
        <v>96</v>
      </c>
      <c r="E141" s="124"/>
      <c r="F141" s="124"/>
      <c r="G141" s="124"/>
      <c r="H141" s="124"/>
      <c r="I141" s="140"/>
      <c r="J141" s="140"/>
      <c r="K141" s="140"/>
      <c r="L141" s="140"/>
      <c r="M141" s="140"/>
      <c r="N141" s="141"/>
      <c r="O141" s="117"/>
      <c r="P141" s="110"/>
      <c r="Q141" s="110"/>
      <c r="R141" s="110"/>
      <c r="S141" s="110"/>
      <c r="T141" s="110"/>
      <c r="U141" s="110"/>
      <c r="V141" s="110"/>
      <c r="W141" s="110"/>
      <c r="X141" s="110"/>
      <c r="Y141" s="110"/>
      <c r="Z141" s="110"/>
    </row>
    <row r="142" ht="28.5" customHeight="1">
      <c r="A142" s="47"/>
      <c r="B142" s="47"/>
      <c r="C142" s="47"/>
      <c r="D142" s="118" t="s">
        <v>95</v>
      </c>
      <c r="E142" s="120" t="s">
        <v>488</v>
      </c>
      <c r="F142" s="120">
        <v>100.0</v>
      </c>
      <c r="G142" s="120">
        <v>100.0</v>
      </c>
      <c r="H142" s="120">
        <v>100.0</v>
      </c>
      <c r="I142" s="120">
        <v>100.0</v>
      </c>
      <c r="J142" s="139"/>
      <c r="K142" s="139"/>
      <c r="L142" s="139"/>
      <c r="M142" s="139"/>
      <c r="N142" s="139"/>
      <c r="O142" s="47"/>
      <c r="P142" s="110"/>
      <c r="Q142" s="110"/>
      <c r="R142" s="110"/>
      <c r="S142" s="110"/>
      <c r="T142" s="110"/>
      <c r="U142" s="110"/>
      <c r="V142" s="110"/>
      <c r="W142" s="110"/>
      <c r="X142" s="110"/>
      <c r="Y142" s="110"/>
      <c r="Z142" s="110"/>
    </row>
    <row r="143" ht="28.5" customHeight="1">
      <c r="A143" s="112" t="s">
        <v>758</v>
      </c>
      <c r="B143" s="112">
        <v>69.0</v>
      </c>
      <c r="C143" s="130" t="s">
        <v>489</v>
      </c>
      <c r="D143" s="114" t="s">
        <v>96</v>
      </c>
      <c r="E143" s="124"/>
      <c r="F143" s="124"/>
      <c r="G143" s="124"/>
      <c r="H143" s="124"/>
      <c r="I143" s="140"/>
      <c r="J143" s="140"/>
      <c r="K143" s="140"/>
      <c r="L143" s="140"/>
      <c r="M143" s="140"/>
      <c r="N143" s="141"/>
      <c r="O143" s="117"/>
      <c r="P143" s="110"/>
      <c r="Q143" s="110"/>
      <c r="R143" s="110"/>
      <c r="S143" s="110"/>
      <c r="T143" s="110"/>
      <c r="U143" s="110"/>
      <c r="V143" s="110"/>
      <c r="W143" s="110"/>
      <c r="X143" s="110"/>
      <c r="Y143" s="110"/>
      <c r="Z143" s="110"/>
    </row>
    <row r="144" ht="28.5" customHeight="1">
      <c r="A144" s="47"/>
      <c r="B144" s="47"/>
      <c r="C144" s="47"/>
      <c r="D144" s="118" t="s">
        <v>95</v>
      </c>
      <c r="E144" s="120" t="s">
        <v>490</v>
      </c>
      <c r="F144" s="120" t="s">
        <v>491</v>
      </c>
      <c r="G144" s="120" t="s">
        <v>492</v>
      </c>
      <c r="H144" s="120" t="s">
        <v>493</v>
      </c>
      <c r="I144" s="120" t="s">
        <v>494</v>
      </c>
      <c r="J144" s="120"/>
      <c r="K144" s="120"/>
      <c r="L144" s="120"/>
      <c r="M144" s="120"/>
      <c r="N144" s="120"/>
      <c r="O144" s="47"/>
      <c r="P144" s="110"/>
      <c r="Q144" s="110"/>
      <c r="R144" s="110"/>
      <c r="S144" s="110"/>
      <c r="T144" s="110"/>
      <c r="U144" s="110"/>
      <c r="V144" s="110"/>
      <c r="W144" s="110"/>
      <c r="X144" s="110"/>
      <c r="Y144" s="110"/>
      <c r="Z144" s="110"/>
    </row>
    <row r="145" ht="28.5" customHeight="1">
      <c r="A145" s="112" t="s">
        <v>758</v>
      </c>
      <c r="B145" s="112">
        <v>70.0</v>
      </c>
      <c r="C145" s="130" t="s">
        <v>495</v>
      </c>
      <c r="D145" s="114" t="s">
        <v>96</v>
      </c>
      <c r="E145" s="124"/>
      <c r="F145" s="124"/>
      <c r="G145" s="124"/>
      <c r="H145" s="124"/>
      <c r="I145" s="116" t="s">
        <v>496</v>
      </c>
      <c r="J145" s="116" t="s">
        <v>319</v>
      </c>
      <c r="K145" s="116" t="s">
        <v>497</v>
      </c>
      <c r="L145" s="116" t="s">
        <v>498</v>
      </c>
      <c r="M145" s="116" t="s">
        <v>499</v>
      </c>
      <c r="N145" s="116" t="s">
        <v>199</v>
      </c>
      <c r="O145" s="129" t="s">
        <v>632</v>
      </c>
      <c r="P145" s="110"/>
      <c r="Q145" s="110"/>
      <c r="R145" s="110"/>
      <c r="S145" s="110"/>
      <c r="T145" s="110"/>
      <c r="U145" s="110"/>
      <c r="V145" s="110"/>
      <c r="W145" s="110"/>
      <c r="X145" s="110"/>
      <c r="Y145" s="110"/>
      <c r="Z145" s="110"/>
    </row>
    <row r="146" ht="28.5" customHeight="1">
      <c r="A146" s="47"/>
      <c r="B146" s="47"/>
      <c r="C146" s="47"/>
      <c r="D146" s="118" t="s">
        <v>95</v>
      </c>
      <c r="E146" s="120" t="s">
        <v>739</v>
      </c>
      <c r="F146" s="120" t="s">
        <v>740</v>
      </c>
      <c r="G146" s="120" t="s">
        <v>741</v>
      </c>
      <c r="H146" s="120" t="s">
        <v>742</v>
      </c>
      <c r="I146" s="120" t="s">
        <v>743</v>
      </c>
      <c r="J146" s="120"/>
      <c r="K146" s="120"/>
      <c r="L146" s="120"/>
      <c r="M146" s="120"/>
      <c r="N146" s="120"/>
      <c r="O146" s="47"/>
      <c r="P146" s="110"/>
      <c r="Q146" s="110"/>
      <c r="R146" s="110"/>
      <c r="S146" s="110"/>
      <c r="T146" s="110"/>
      <c r="U146" s="110"/>
      <c r="V146" s="110"/>
      <c r="W146" s="110"/>
      <c r="X146" s="110"/>
      <c r="Y146" s="110"/>
      <c r="Z146" s="110"/>
    </row>
    <row r="147" ht="28.5" customHeight="1">
      <c r="A147" s="112" t="s">
        <v>758</v>
      </c>
      <c r="B147" s="112">
        <v>71.0</v>
      </c>
      <c r="C147" s="130" t="s">
        <v>500</v>
      </c>
      <c r="D147" s="114" t="s">
        <v>96</v>
      </c>
      <c r="E147" s="116"/>
      <c r="F147" s="116"/>
      <c r="G147" s="116"/>
      <c r="H147" s="116"/>
      <c r="I147" s="116" t="s">
        <v>501</v>
      </c>
      <c r="J147" s="116" t="s">
        <v>502</v>
      </c>
      <c r="K147" s="116" t="s">
        <v>503</v>
      </c>
      <c r="L147" s="116" t="s">
        <v>504</v>
      </c>
      <c r="M147" s="116" t="s">
        <v>505</v>
      </c>
      <c r="N147" s="116" t="s">
        <v>187</v>
      </c>
      <c r="O147" s="129" t="s">
        <v>596</v>
      </c>
      <c r="P147" s="110"/>
      <c r="Q147" s="110"/>
      <c r="R147" s="110"/>
      <c r="S147" s="110"/>
      <c r="T147" s="110"/>
      <c r="U147" s="110"/>
      <c r="V147" s="110"/>
      <c r="W147" s="110"/>
      <c r="X147" s="110"/>
      <c r="Y147" s="110"/>
      <c r="Z147" s="110"/>
    </row>
    <row r="148" ht="30.0" customHeight="1">
      <c r="A148" s="47"/>
      <c r="B148" s="47"/>
      <c r="C148" s="47"/>
      <c r="D148" s="118" t="s">
        <v>95</v>
      </c>
      <c r="E148" s="142"/>
      <c r="F148" s="142"/>
      <c r="G148" s="142"/>
      <c r="H148" s="142"/>
      <c r="I148" s="120"/>
      <c r="J148" s="120"/>
      <c r="K148" s="120"/>
      <c r="L148" s="120"/>
      <c r="M148" s="120"/>
      <c r="N148" s="120"/>
      <c r="O148" s="47"/>
      <c r="P148" s="110"/>
      <c r="Q148" s="110"/>
      <c r="R148" s="110"/>
      <c r="S148" s="110"/>
      <c r="T148" s="110"/>
      <c r="U148" s="110"/>
      <c r="V148" s="110"/>
      <c r="W148" s="110"/>
      <c r="X148" s="110"/>
      <c r="Y148" s="110"/>
      <c r="Z148" s="110"/>
    </row>
    <row r="149" ht="50.25" customHeight="1">
      <c r="A149" s="112" t="s">
        <v>758</v>
      </c>
      <c r="B149" s="112" t="s">
        <v>507</v>
      </c>
      <c r="C149" s="130" t="s">
        <v>508</v>
      </c>
      <c r="D149" s="114" t="s">
        <v>96</v>
      </c>
      <c r="E149" s="143"/>
      <c r="F149" s="143"/>
      <c r="G149" s="143"/>
      <c r="H149" s="143"/>
      <c r="I149" s="116" t="s">
        <v>509</v>
      </c>
      <c r="J149" s="116" t="s">
        <v>510</v>
      </c>
      <c r="K149" s="116" t="s">
        <v>511</v>
      </c>
      <c r="L149" s="116" t="s">
        <v>512</v>
      </c>
      <c r="M149" s="116" t="s">
        <v>513</v>
      </c>
      <c r="N149" s="116" t="s">
        <v>811</v>
      </c>
      <c r="O149" s="117" t="s">
        <v>745</v>
      </c>
      <c r="P149" s="110"/>
      <c r="Q149" s="110"/>
      <c r="R149" s="110"/>
      <c r="S149" s="110"/>
      <c r="T149" s="110"/>
      <c r="U149" s="110"/>
      <c r="V149" s="110"/>
      <c r="W149" s="110"/>
      <c r="X149" s="110"/>
      <c r="Y149" s="110"/>
      <c r="Z149" s="110"/>
    </row>
    <row r="150" ht="39.0" customHeight="1">
      <c r="A150" s="47"/>
      <c r="B150" s="47"/>
      <c r="C150" s="47"/>
      <c r="D150" s="118" t="s">
        <v>95</v>
      </c>
      <c r="E150" s="142"/>
      <c r="F150" s="142"/>
      <c r="G150" s="142"/>
      <c r="H150" s="142"/>
      <c r="I150" s="120"/>
      <c r="J150" s="120"/>
      <c r="K150" s="120"/>
      <c r="L150" s="120"/>
      <c r="M150" s="120"/>
      <c r="N150" s="120"/>
      <c r="O150" s="47"/>
      <c r="P150" s="110"/>
      <c r="Q150" s="110"/>
      <c r="R150" s="110"/>
      <c r="S150" s="110"/>
      <c r="T150" s="110"/>
      <c r="U150" s="110"/>
      <c r="V150" s="110"/>
      <c r="W150" s="110"/>
      <c r="X150" s="110"/>
      <c r="Y150" s="110"/>
      <c r="Z150" s="110"/>
    </row>
    <row r="151" ht="34.5" customHeight="1">
      <c r="A151" s="112" t="s">
        <v>758</v>
      </c>
      <c r="B151" s="112" t="s">
        <v>514</v>
      </c>
      <c r="C151" s="130" t="s">
        <v>515</v>
      </c>
      <c r="D151" s="114" t="s">
        <v>96</v>
      </c>
      <c r="E151" s="143"/>
      <c r="F151" s="143"/>
      <c r="G151" s="143"/>
      <c r="H151" s="143"/>
      <c r="I151" s="116" t="s">
        <v>516</v>
      </c>
      <c r="J151" s="116" t="s">
        <v>517</v>
      </c>
      <c r="K151" s="116" t="s">
        <v>518</v>
      </c>
      <c r="L151" s="116" t="s">
        <v>519</v>
      </c>
      <c r="M151" s="116" t="s">
        <v>520</v>
      </c>
      <c r="N151" s="131" t="s">
        <v>200</v>
      </c>
      <c r="O151" s="117" t="s">
        <v>746</v>
      </c>
      <c r="P151" s="110"/>
      <c r="Q151" s="110"/>
      <c r="R151" s="110"/>
      <c r="S151" s="110"/>
      <c r="T151" s="110"/>
      <c r="U151" s="110"/>
      <c r="V151" s="110"/>
      <c r="W151" s="110"/>
      <c r="X151" s="110"/>
      <c r="Y151" s="110"/>
      <c r="Z151" s="110"/>
    </row>
    <row r="152" ht="28.5" customHeight="1">
      <c r="A152" s="47"/>
      <c r="B152" s="47"/>
      <c r="C152" s="47"/>
      <c r="D152" s="118" t="s">
        <v>95</v>
      </c>
      <c r="E152" s="119"/>
      <c r="F152" s="119"/>
      <c r="G152" s="119"/>
      <c r="H152" s="119"/>
      <c r="I152" s="120"/>
      <c r="J152" s="120"/>
      <c r="K152" s="120"/>
      <c r="L152" s="120"/>
      <c r="M152" s="120"/>
      <c r="N152" s="120"/>
      <c r="O152" s="47"/>
      <c r="P152" s="110"/>
      <c r="Q152" s="110"/>
      <c r="R152" s="110"/>
      <c r="S152" s="110"/>
      <c r="T152" s="110"/>
      <c r="U152" s="110"/>
      <c r="V152" s="110"/>
      <c r="W152" s="110"/>
      <c r="X152" s="110"/>
      <c r="Y152" s="110"/>
      <c r="Z152" s="110"/>
    </row>
    <row r="153" ht="28.5" customHeight="1">
      <c r="A153" s="112" t="s">
        <v>758</v>
      </c>
      <c r="B153" s="112">
        <v>73.0</v>
      </c>
      <c r="C153" s="113" t="s">
        <v>521</v>
      </c>
      <c r="D153" s="114" t="s">
        <v>96</v>
      </c>
      <c r="E153" s="124"/>
      <c r="F153" s="124"/>
      <c r="G153" s="124"/>
      <c r="H153" s="124"/>
      <c r="I153" s="116" t="s">
        <v>522</v>
      </c>
      <c r="J153" s="116" t="s">
        <v>523</v>
      </c>
      <c r="K153" s="116" t="s">
        <v>524</v>
      </c>
      <c r="L153" s="116" t="s">
        <v>525</v>
      </c>
      <c r="M153" s="116" t="s">
        <v>526</v>
      </c>
      <c r="N153" s="116" t="s">
        <v>268</v>
      </c>
      <c r="O153" s="129" t="s">
        <v>632</v>
      </c>
      <c r="P153" s="110"/>
      <c r="Q153" s="110"/>
      <c r="R153" s="110"/>
      <c r="S153" s="110"/>
      <c r="T153" s="110"/>
      <c r="U153" s="110"/>
      <c r="V153" s="110"/>
      <c r="W153" s="110"/>
      <c r="X153" s="110"/>
      <c r="Y153" s="110"/>
      <c r="Z153" s="110"/>
    </row>
    <row r="154" ht="30.0" customHeight="1">
      <c r="A154" s="47"/>
      <c r="B154" s="47"/>
      <c r="C154" s="47"/>
      <c r="D154" s="118" t="s">
        <v>95</v>
      </c>
      <c r="E154" s="119" t="s">
        <v>747</v>
      </c>
      <c r="F154" s="119" t="s">
        <v>748</v>
      </c>
      <c r="G154" s="119" t="s">
        <v>749</v>
      </c>
      <c r="H154" s="119" t="s">
        <v>750</v>
      </c>
      <c r="I154" s="119" t="s">
        <v>751</v>
      </c>
      <c r="J154" s="120"/>
      <c r="K154" s="120"/>
      <c r="L154" s="120"/>
      <c r="M154" s="120"/>
      <c r="N154" s="120"/>
      <c r="O154" s="47"/>
      <c r="P154" s="110"/>
      <c r="Q154" s="110"/>
      <c r="R154" s="110"/>
      <c r="S154" s="110"/>
      <c r="T154" s="110"/>
      <c r="U154" s="110"/>
      <c r="V154" s="110"/>
      <c r="W154" s="110"/>
      <c r="X154" s="110"/>
      <c r="Y154" s="110"/>
      <c r="Z154" s="110"/>
    </row>
    <row r="155" ht="39.0" customHeight="1">
      <c r="A155" s="112" t="s">
        <v>758</v>
      </c>
      <c r="B155" s="112">
        <v>74.0</v>
      </c>
      <c r="C155" s="113" t="s">
        <v>91</v>
      </c>
      <c r="D155" s="114" t="s">
        <v>96</v>
      </c>
      <c r="E155" s="143"/>
      <c r="F155" s="143"/>
      <c r="G155" s="143"/>
      <c r="H155" s="143"/>
      <c r="I155" s="116" t="s">
        <v>467</v>
      </c>
      <c r="J155" s="116" t="s">
        <v>527</v>
      </c>
      <c r="K155" s="116" t="s">
        <v>135</v>
      </c>
      <c r="L155" s="116" t="s">
        <v>528</v>
      </c>
      <c r="M155" s="116" t="s">
        <v>416</v>
      </c>
      <c r="N155" s="116" t="s">
        <v>416</v>
      </c>
      <c r="O155" s="117" t="s">
        <v>752</v>
      </c>
      <c r="P155" s="110"/>
      <c r="Q155" s="110"/>
      <c r="R155" s="110"/>
      <c r="S155" s="110"/>
      <c r="T155" s="110"/>
      <c r="U155" s="110"/>
      <c r="V155" s="110"/>
      <c r="W155" s="110"/>
      <c r="X155" s="110"/>
      <c r="Y155" s="110"/>
      <c r="Z155" s="110"/>
    </row>
    <row r="156" ht="32.25" customHeight="1">
      <c r="A156" s="47"/>
      <c r="B156" s="47"/>
      <c r="C156" s="47"/>
      <c r="D156" s="118" t="s">
        <v>95</v>
      </c>
      <c r="E156" s="137"/>
      <c r="F156" s="137"/>
      <c r="G156" s="137"/>
      <c r="H156" s="137"/>
      <c r="I156" s="144"/>
      <c r="J156" s="144"/>
      <c r="K156" s="144"/>
      <c r="L156" s="144"/>
      <c r="M156" s="144"/>
      <c r="N156" s="144"/>
      <c r="O156" s="47"/>
      <c r="P156" s="110"/>
      <c r="Q156" s="110"/>
      <c r="R156" s="110"/>
      <c r="S156" s="110"/>
      <c r="T156" s="110"/>
      <c r="U156" s="110"/>
      <c r="V156" s="110"/>
      <c r="W156" s="110"/>
      <c r="X156" s="110"/>
      <c r="Y156" s="110"/>
      <c r="Z156" s="110"/>
    </row>
    <row r="157" ht="32.25" customHeight="1">
      <c r="A157" s="112" t="s">
        <v>758</v>
      </c>
      <c r="B157" s="145">
        <v>75.0</v>
      </c>
      <c r="C157" s="117" t="s">
        <v>529</v>
      </c>
      <c r="D157" s="114" t="s">
        <v>96</v>
      </c>
      <c r="E157" s="124"/>
      <c r="F157" s="124"/>
      <c r="G157" s="124"/>
      <c r="H157" s="124"/>
      <c r="I157" s="146" t="s">
        <v>530</v>
      </c>
      <c r="J157" s="146" t="s">
        <v>531</v>
      </c>
      <c r="K157" s="146" t="s">
        <v>532</v>
      </c>
      <c r="L157" s="146" t="s">
        <v>533</v>
      </c>
      <c r="M157" s="146" t="s">
        <v>534</v>
      </c>
      <c r="N157" s="146" t="s">
        <v>795</v>
      </c>
      <c r="O157" s="129" t="s">
        <v>753</v>
      </c>
      <c r="P157" s="110"/>
      <c r="Q157" s="110"/>
      <c r="R157" s="110"/>
      <c r="S157" s="110"/>
      <c r="T157" s="110"/>
      <c r="U157" s="110"/>
      <c r="V157" s="110"/>
      <c r="W157" s="110"/>
      <c r="X157" s="110"/>
      <c r="Y157" s="110"/>
      <c r="Z157" s="110"/>
    </row>
    <row r="158" ht="32.25" customHeight="1">
      <c r="A158" s="47"/>
      <c r="B158" s="47"/>
      <c r="C158" s="47"/>
      <c r="D158" s="118" t="s">
        <v>95</v>
      </c>
      <c r="E158" s="120"/>
      <c r="F158" s="120"/>
      <c r="G158" s="120"/>
      <c r="H158" s="120"/>
      <c r="I158" s="144"/>
      <c r="J158" s="144"/>
      <c r="K158" s="144"/>
      <c r="L158" s="144"/>
      <c r="M158" s="144"/>
      <c r="N158" s="144"/>
      <c r="O158" s="47"/>
      <c r="P158" s="110"/>
      <c r="Q158" s="110"/>
      <c r="R158" s="110"/>
      <c r="S158" s="110"/>
      <c r="T158" s="110"/>
      <c r="U158" s="110"/>
      <c r="V158" s="110"/>
      <c r="W158" s="110"/>
      <c r="X158" s="110"/>
      <c r="Y158" s="110"/>
      <c r="Z158" s="110"/>
    </row>
    <row r="159" ht="32.25" customHeight="1">
      <c r="A159" s="112" t="s">
        <v>758</v>
      </c>
      <c r="B159" s="145">
        <v>76.0</v>
      </c>
      <c r="C159" s="117" t="s">
        <v>92</v>
      </c>
      <c r="D159" s="114" t="s">
        <v>96</v>
      </c>
      <c r="E159" s="124"/>
      <c r="F159" s="124"/>
      <c r="G159" s="124"/>
      <c r="H159" s="124"/>
      <c r="I159" s="146" t="s">
        <v>536</v>
      </c>
      <c r="J159" s="146" t="s">
        <v>537</v>
      </c>
      <c r="K159" s="146" t="s">
        <v>538</v>
      </c>
      <c r="L159" s="146" t="s">
        <v>539</v>
      </c>
      <c r="M159" s="146" t="s">
        <v>540</v>
      </c>
      <c r="N159" s="146" t="s">
        <v>812</v>
      </c>
      <c r="O159" s="128"/>
      <c r="P159" s="110"/>
      <c r="Q159" s="110"/>
      <c r="R159" s="110"/>
      <c r="S159" s="110"/>
      <c r="T159" s="110"/>
      <c r="U159" s="110"/>
      <c r="V159" s="110"/>
      <c r="W159" s="110"/>
      <c r="X159" s="110"/>
      <c r="Y159" s="110"/>
      <c r="Z159" s="110"/>
    </row>
    <row r="160" ht="32.25" customHeight="1">
      <c r="A160" s="47"/>
      <c r="B160" s="47"/>
      <c r="C160" s="47"/>
      <c r="D160" s="118" t="s">
        <v>95</v>
      </c>
      <c r="E160" s="120">
        <v>157.03</v>
      </c>
      <c r="F160" s="120">
        <v>157.47</v>
      </c>
      <c r="G160" s="120">
        <v>148.16</v>
      </c>
      <c r="H160" s="120">
        <v>131.84</v>
      </c>
      <c r="I160" s="120" t="s">
        <v>535</v>
      </c>
      <c r="J160" s="144"/>
      <c r="K160" s="144"/>
      <c r="L160" s="144"/>
      <c r="M160" s="144"/>
      <c r="N160" s="144"/>
      <c r="O160" s="47"/>
      <c r="P160" s="110"/>
      <c r="Q160" s="110"/>
      <c r="R160" s="110"/>
      <c r="S160" s="110"/>
      <c r="T160" s="110"/>
      <c r="U160" s="110"/>
      <c r="V160" s="110"/>
      <c r="W160" s="110"/>
      <c r="X160" s="110"/>
      <c r="Y160" s="110"/>
      <c r="Z160" s="110"/>
    </row>
    <row r="161" ht="32.25" customHeight="1">
      <c r="A161" s="112" t="s">
        <v>758</v>
      </c>
      <c r="B161" s="145">
        <v>77.0</v>
      </c>
      <c r="C161" s="117" t="s">
        <v>541</v>
      </c>
      <c r="D161" s="114" t="s">
        <v>96</v>
      </c>
      <c r="E161" s="124"/>
      <c r="F161" s="124"/>
      <c r="G161" s="124"/>
      <c r="H161" s="124"/>
      <c r="I161" s="146" t="s">
        <v>542</v>
      </c>
      <c r="J161" s="146" t="s">
        <v>543</v>
      </c>
      <c r="K161" s="146" t="s">
        <v>544</v>
      </c>
      <c r="L161" s="146" t="s">
        <v>545</v>
      </c>
      <c r="M161" s="146" t="s">
        <v>546</v>
      </c>
      <c r="N161" s="146" t="s">
        <v>813</v>
      </c>
      <c r="O161" s="129" t="s">
        <v>596</v>
      </c>
      <c r="P161" s="110"/>
      <c r="Q161" s="110"/>
      <c r="R161" s="110"/>
      <c r="S161" s="110"/>
      <c r="T161" s="110"/>
      <c r="U161" s="110"/>
      <c r="V161" s="110"/>
      <c r="W161" s="110"/>
      <c r="X161" s="110"/>
      <c r="Y161" s="110"/>
      <c r="Z161" s="110"/>
    </row>
    <row r="162" ht="32.25" customHeight="1">
      <c r="A162" s="47"/>
      <c r="B162" s="47"/>
      <c r="C162" s="47"/>
      <c r="D162" s="118" t="s">
        <v>95</v>
      </c>
      <c r="E162" s="137"/>
      <c r="F162" s="137"/>
      <c r="G162" s="137"/>
      <c r="H162" s="137"/>
      <c r="I162" s="144"/>
      <c r="J162" s="144"/>
      <c r="K162" s="144"/>
      <c r="L162" s="144"/>
      <c r="M162" s="144"/>
      <c r="N162" s="144"/>
      <c r="O162" s="47"/>
      <c r="P162" s="110"/>
      <c r="Q162" s="110"/>
      <c r="R162" s="110"/>
      <c r="S162" s="110"/>
      <c r="T162" s="110"/>
      <c r="U162" s="110"/>
      <c r="V162" s="110"/>
      <c r="W162" s="110"/>
      <c r="X162" s="110"/>
      <c r="Y162" s="110"/>
      <c r="Z162" s="110"/>
    </row>
    <row r="163" ht="32.25" customHeight="1">
      <c r="A163" s="112" t="s">
        <v>758</v>
      </c>
      <c r="B163" s="147">
        <v>78.0</v>
      </c>
      <c r="C163" s="148" t="s">
        <v>547</v>
      </c>
      <c r="D163" s="114" t="s">
        <v>96</v>
      </c>
      <c r="E163" s="124"/>
      <c r="F163" s="124"/>
      <c r="G163" s="124"/>
      <c r="H163" s="124"/>
      <c r="I163" s="146" t="s">
        <v>548</v>
      </c>
      <c r="J163" s="146" t="s">
        <v>549</v>
      </c>
      <c r="K163" s="146" t="s">
        <v>550</v>
      </c>
      <c r="L163" s="146" t="s">
        <v>551</v>
      </c>
      <c r="M163" s="146" t="s">
        <v>552</v>
      </c>
      <c r="N163" s="146" t="s">
        <v>795</v>
      </c>
      <c r="O163" s="149" t="s">
        <v>596</v>
      </c>
      <c r="P163" s="110"/>
      <c r="Q163" s="110"/>
      <c r="R163" s="110"/>
      <c r="S163" s="110"/>
      <c r="T163" s="110"/>
      <c r="U163" s="110"/>
      <c r="V163" s="110"/>
      <c r="W163" s="110"/>
      <c r="X163" s="110"/>
      <c r="Y163" s="110"/>
      <c r="Z163" s="110"/>
    </row>
    <row r="164" ht="33.0" customHeight="1">
      <c r="A164" s="47"/>
      <c r="B164" s="150"/>
      <c r="C164" s="151"/>
      <c r="D164" s="118" t="s">
        <v>95</v>
      </c>
      <c r="E164" s="152"/>
      <c r="F164" s="152"/>
      <c r="G164" s="152"/>
      <c r="H164" s="152"/>
      <c r="I164" s="152"/>
      <c r="J164" s="152"/>
      <c r="K164" s="152"/>
      <c r="L164" s="152"/>
      <c r="M164" s="152"/>
      <c r="N164" s="152"/>
      <c r="O164" s="153"/>
      <c r="P164" s="110"/>
      <c r="Q164" s="110"/>
      <c r="R164" s="110"/>
      <c r="S164" s="110"/>
      <c r="T164" s="110"/>
      <c r="U164" s="110"/>
      <c r="V164" s="110"/>
      <c r="W164" s="110"/>
      <c r="X164" s="110"/>
      <c r="Y164" s="110"/>
      <c r="Z164" s="110"/>
    </row>
    <row r="165">
      <c r="A165" s="70"/>
      <c r="B165" s="70"/>
      <c r="D165" s="154"/>
      <c r="O165" s="92"/>
      <c r="P165" s="110"/>
      <c r="Q165" s="110"/>
      <c r="R165" s="110"/>
      <c r="S165" s="110"/>
      <c r="T165" s="110"/>
      <c r="U165" s="110"/>
      <c r="V165" s="110"/>
      <c r="W165" s="110"/>
      <c r="X165" s="110"/>
      <c r="Y165" s="110"/>
      <c r="Z165" s="110"/>
    </row>
    <row r="166">
      <c r="A166" s="70"/>
      <c r="B166" s="70"/>
      <c r="D166" s="154"/>
      <c r="O166" s="92"/>
      <c r="P166" s="110"/>
      <c r="Q166" s="110"/>
      <c r="R166" s="110"/>
      <c r="S166" s="110"/>
      <c r="T166" s="110"/>
      <c r="U166" s="110"/>
      <c r="V166" s="110"/>
      <c r="W166" s="110"/>
      <c r="X166" s="110"/>
      <c r="Y166" s="110"/>
      <c r="Z166" s="110"/>
    </row>
    <row r="167">
      <c r="A167" s="70"/>
      <c r="B167" s="70"/>
      <c r="D167" s="154"/>
      <c r="O167" s="92"/>
      <c r="P167" s="110"/>
      <c r="Q167" s="110"/>
      <c r="R167" s="110"/>
      <c r="S167" s="110"/>
      <c r="T167" s="110"/>
      <c r="U167" s="110"/>
      <c r="V167" s="110"/>
      <c r="W167" s="110"/>
      <c r="X167" s="110"/>
      <c r="Y167" s="110"/>
      <c r="Z167" s="110"/>
    </row>
    <row r="168">
      <c r="A168" s="70"/>
      <c r="B168" s="70"/>
      <c r="D168" s="154"/>
      <c r="O168" s="92"/>
      <c r="P168" s="110"/>
      <c r="Q168" s="110"/>
      <c r="R168" s="110"/>
      <c r="S168" s="110"/>
      <c r="T168" s="110"/>
      <c r="U168" s="110"/>
      <c r="V168" s="110"/>
      <c r="W168" s="110"/>
      <c r="X168" s="110"/>
      <c r="Y168" s="110"/>
      <c r="Z168" s="110"/>
    </row>
    <row r="169">
      <c r="A169" s="70"/>
      <c r="B169" s="70"/>
      <c r="D169" s="154"/>
      <c r="O169" s="92"/>
      <c r="P169" s="110"/>
      <c r="Q169" s="110"/>
      <c r="R169" s="110"/>
      <c r="S169" s="110"/>
      <c r="T169" s="110"/>
      <c r="U169" s="110"/>
      <c r="V169" s="110"/>
      <c r="W169" s="110"/>
      <c r="X169" s="110"/>
      <c r="Y169" s="110"/>
      <c r="Z169" s="110"/>
    </row>
    <row r="170">
      <c r="A170" s="70"/>
      <c r="B170" s="70"/>
      <c r="D170" s="154"/>
      <c r="O170" s="92"/>
      <c r="P170" s="110"/>
      <c r="Q170" s="110"/>
      <c r="R170" s="110"/>
      <c r="S170" s="110"/>
      <c r="T170" s="110"/>
      <c r="U170" s="110"/>
      <c r="V170" s="110"/>
      <c r="W170" s="110"/>
      <c r="X170" s="110"/>
      <c r="Y170" s="110"/>
      <c r="Z170" s="110"/>
    </row>
    <row r="171">
      <c r="A171" s="70"/>
      <c r="B171" s="70"/>
      <c r="D171" s="154"/>
      <c r="O171" s="92"/>
      <c r="P171" s="110"/>
      <c r="Q171" s="110"/>
      <c r="R171" s="110"/>
      <c r="S171" s="110"/>
      <c r="T171" s="110"/>
      <c r="U171" s="110"/>
      <c r="V171" s="110"/>
      <c r="W171" s="110"/>
      <c r="X171" s="110"/>
      <c r="Y171" s="110"/>
      <c r="Z171" s="110"/>
    </row>
    <row r="172">
      <c r="A172" s="70"/>
      <c r="B172" s="70"/>
      <c r="D172" s="154"/>
      <c r="O172" s="92"/>
      <c r="P172" s="110"/>
      <c r="Q172" s="110"/>
      <c r="R172" s="110"/>
      <c r="S172" s="110"/>
      <c r="T172" s="110"/>
      <c r="U172" s="110"/>
      <c r="V172" s="110"/>
      <c r="W172" s="110"/>
      <c r="X172" s="110"/>
      <c r="Y172" s="110"/>
      <c r="Z172" s="110"/>
    </row>
    <row r="173">
      <c r="A173" s="70"/>
      <c r="B173" s="70"/>
      <c r="D173" s="154"/>
      <c r="O173" s="92"/>
      <c r="P173" s="110"/>
      <c r="Q173" s="110"/>
      <c r="R173" s="110"/>
      <c r="S173" s="110"/>
      <c r="T173" s="110"/>
      <c r="U173" s="110"/>
      <c r="V173" s="110"/>
      <c r="W173" s="110"/>
      <c r="X173" s="110"/>
      <c r="Y173" s="110"/>
      <c r="Z173" s="110"/>
    </row>
    <row r="174">
      <c r="A174" s="70"/>
      <c r="B174" s="70"/>
      <c r="D174" s="154"/>
      <c r="O174" s="92"/>
      <c r="P174" s="110"/>
      <c r="Q174" s="110"/>
      <c r="R174" s="110"/>
      <c r="S174" s="110"/>
      <c r="T174" s="110"/>
      <c r="U174" s="110"/>
      <c r="V174" s="110"/>
      <c r="W174" s="110"/>
      <c r="X174" s="110"/>
      <c r="Y174" s="110"/>
      <c r="Z174" s="110"/>
    </row>
    <row r="175">
      <c r="A175" s="70"/>
      <c r="B175" s="70"/>
      <c r="D175" s="154"/>
      <c r="O175" s="92"/>
      <c r="P175" s="110"/>
      <c r="Q175" s="110"/>
      <c r="R175" s="110"/>
      <c r="S175" s="110"/>
      <c r="T175" s="110"/>
      <c r="U175" s="110"/>
      <c r="V175" s="110"/>
      <c r="W175" s="110"/>
      <c r="X175" s="110"/>
      <c r="Y175" s="110"/>
      <c r="Z175" s="110"/>
    </row>
    <row r="176">
      <c r="A176" s="70"/>
      <c r="B176" s="70"/>
      <c r="D176" s="154"/>
      <c r="O176" s="92"/>
      <c r="P176" s="110"/>
      <c r="Q176" s="110"/>
      <c r="R176" s="110"/>
      <c r="S176" s="110"/>
      <c r="T176" s="110"/>
      <c r="U176" s="110"/>
      <c r="V176" s="110"/>
      <c r="W176" s="110"/>
      <c r="X176" s="110"/>
      <c r="Y176" s="110"/>
      <c r="Z176" s="110"/>
    </row>
    <row r="177">
      <c r="A177" s="70"/>
      <c r="B177" s="70"/>
      <c r="D177" s="154"/>
      <c r="O177" s="92"/>
      <c r="P177" s="110"/>
      <c r="Q177" s="110"/>
      <c r="R177" s="110"/>
      <c r="S177" s="110"/>
      <c r="T177" s="110"/>
      <c r="U177" s="110"/>
      <c r="V177" s="110"/>
      <c r="W177" s="110"/>
      <c r="X177" s="110"/>
      <c r="Y177" s="110"/>
      <c r="Z177" s="110"/>
    </row>
    <row r="178">
      <c r="A178" s="70"/>
      <c r="B178" s="70"/>
      <c r="D178" s="154"/>
      <c r="O178" s="92"/>
      <c r="P178" s="110"/>
      <c r="Q178" s="110"/>
      <c r="R178" s="110"/>
      <c r="S178" s="110"/>
      <c r="T178" s="110"/>
      <c r="U178" s="110"/>
      <c r="V178" s="110"/>
      <c r="W178" s="110"/>
      <c r="X178" s="110"/>
      <c r="Y178" s="110"/>
      <c r="Z178" s="110"/>
    </row>
    <row r="179">
      <c r="A179" s="70"/>
      <c r="B179" s="70"/>
      <c r="D179" s="154"/>
      <c r="O179" s="92"/>
      <c r="P179" s="110"/>
      <c r="Q179" s="110"/>
      <c r="R179" s="110"/>
      <c r="S179" s="110"/>
      <c r="T179" s="110"/>
      <c r="U179" s="110"/>
      <c r="V179" s="110"/>
      <c r="W179" s="110"/>
      <c r="X179" s="110"/>
      <c r="Y179" s="110"/>
      <c r="Z179" s="110"/>
    </row>
    <row r="180">
      <c r="A180" s="70"/>
      <c r="B180" s="70"/>
      <c r="D180" s="154"/>
      <c r="O180" s="92"/>
      <c r="P180" s="110"/>
      <c r="Q180" s="110"/>
      <c r="R180" s="110"/>
      <c r="S180" s="110"/>
      <c r="T180" s="110"/>
      <c r="U180" s="110"/>
      <c r="V180" s="110"/>
      <c r="W180" s="110"/>
      <c r="X180" s="110"/>
      <c r="Y180" s="110"/>
      <c r="Z180" s="110"/>
    </row>
    <row r="181">
      <c r="A181" s="70"/>
      <c r="B181" s="70"/>
      <c r="D181" s="154"/>
      <c r="O181" s="92"/>
      <c r="P181" s="110"/>
      <c r="Q181" s="110"/>
      <c r="R181" s="110"/>
      <c r="S181" s="110"/>
      <c r="T181" s="110"/>
      <c r="U181" s="110"/>
      <c r="V181" s="110"/>
      <c r="W181" s="110"/>
      <c r="X181" s="110"/>
      <c r="Y181" s="110"/>
      <c r="Z181" s="110"/>
    </row>
    <row r="182">
      <c r="A182" s="70"/>
      <c r="B182" s="70"/>
      <c r="D182" s="154"/>
      <c r="O182" s="92"/>
      <c r="P182" s="110"/>
      <c r="Q182" s="110"/>
      <c r="R182" s="110"/>
      <c r="S182" s="110"/>
      <c r="T182" s="110"/>
      <c r="U182" s="110"/>
      <c r="V182" s="110"/>
      <c r="W182" s="110"/>
      <c r="X182" s="110"/>
      <c r="Y182" s="110"/>
      <c r="Z182" s="110"/>
    </row>
    <row r="183">
      <c r="A183" s="70"/>
      <c r="B183" s="70"/>
      <c r="D183" s="154"/>
      <c r="O183" s="92"/>
      <c r="P183" s="110"/>
      <c r="Q183" s="110"/>
      <c r="R183" s="110"/>
      <c r="S183" s="110"/>
      <c r="T183" s="110"/>
      <c r="U183" s="110"/>
      <c r="V183" s="110"/>
      <c r="W183" s="110"/>
      <c r="X183" s="110"/>
      <c r="Y183" s="110"/>
      <c r="Z183" s="110"/>
    </row>
    <row r="184">
      <c r="A184" s="70"/>
      <c r="B184" s="70"/>
      <c r="D184" s="154"/>
      <c r="O184" s="92"/>
      <c r="P184" s="110"/>
      <c r="Q184" s="110"/>
      <c r="R184" s="110"/>
      <c r="S184" s="110"/>
      <c r="T184" s="110"/>
      <c r="U184" s="110"/>
      <c r="V184" s="110"/>
      <c r="W184" s="110"/>
      <c r="X184" s="110"/>
      <c r="Y184" s="110"/>
      <c r="Z184" s="110"/>
    </row>
    <row r="185">
      <c r="A185" s="70"/>
      <c r="B185" s="70"/>
      <c r="D185" s="154"/>
      <c r="O185" s="92"/>
      <c r="P185" s="110"/>
      <c r="Q185" s="110"/>
      <c r="R185" s="110"/>
      <c r="S185" s="110"/>
      <c r="T185" s="110"/>
      <c r="U185" s="110"/>
      <c r="V185" s="110"/>
      <c r="W185" s="110"/>
      <c r="X185" s="110"/>
      <c r="Y185" s="110"/>
      <c r="Z185" s="110"/>
    </row>
    <row r="186">
      <c r="A186" s="70"/>
      <c r="B186" s="70"/>
      <c r="D186" s="154"/>
      <c r="O186" s="92"/>
      <c r="P186" s="110"/>
      <c r="Q186" s="110"/>
      <c r="R186" s="110"/>
      <c r="S186" s="110"/>
      <c r="T186" s="110"/>
      <c r="U186" s="110"/>
      <c r="V186" s="110"/>
      <c r="W186" s="110"/>
      <c r="X186" s="110"/>
      <c r="Y186" s="110"/>
      <c r="Z186" s="110"/>
    </row>
    <row r="187">
      <c r="A187" s="70"/>
      <c r="B187" s="70"/>
      <c r="D187" s="154"/>
      <c r="O187" s="92"/>
      <c r="P187" s="110"/>
      <c r="Q187" s="110"/>
      <c r="R187" s="110"/>
      <c r="S187" s="110"/>
      <c r="T187" s="110"/>
      <c r="U187" s="110"/>
      <c r="V187" s="110"/>
      <c r="W187" s="110"/>
      <c r="X187" s="110"/>
      <c r="Y187" s="110"/>
      <c r="Z187" s="110"/>
    </row>
    <row r="188">
      <c r="A188" s="70"/>
      <c r="B188" s="70"/>
      <c r="D188" s="154"/>
      <c r="O188" s="92"/>
      <c r="P188" s="110"/>
      <c r="Q188" s="110"/>
      <c r="R188" s="110"/>
      <c r="S188" s="110"/>
      <c r="T188" s="110"/>
      <c r="U188" s="110"/>
      <c r="V188" s="110"/>
      <c r="W188" s="110"/>
      <c r="X188" s="110"/>
      <c r="Y188" s="110"/>
      <c r="Z188" s="110"/>
    </row>
    <row r="189">
      <c r="A189" s="70"/>
      <c r="B189" s="70"/>
      <c r="D189" s="154"/>
      <c r="O189" s="92"/>
      <c r="P189" s="110"/>
      <c r="Q189" s="110"/>
      <c r="R189" s="110"/>
      <c r="S189" s="110"/>
      <c r="T189" s="110"/>
      <c r="U189" s="110"/>
      <c r="V189" s="110"/>
      <c r="W189" s="110"/>
      <c r="X189" s="110"/>
      <c r="Y189" s="110"/>
      <c r="Z189" s="110"/>
    </row>
    <row r="190">
      <c r="A190" s="70"/>
      <c r="B190" s="70"/>
      <c r="D190" s="154"/>
      <c r="O190" s="92"/>
      <c r="P190" s="110"/>
      <c r="Q190" s="110"/>
      <c r="R190" s="110"/>
      <c r="S190" s="110"/>
      <c r="T190" s="110"/>
      <c r="U190" s="110"/>
      <c r="V190" s="110"/>
      <c r="W190" s="110"/>
      <c r="X190" s="110"/>
      <c r="Y190" s="110"/>
      <c r="Z190" s="110"/>
    </row>
    <row r="191">
      <c r="A191" s="70"/>
      <c r="B191" s="70"/>
      <c r="D191" s="154"/>
      <c r="O191" s="92"/>
      <c r="P191" s="110"/>
      <c r="Q191" s="110"/>
      <c r="R191" s="110"/>
      <c r="S191" s="110"/>
      <c r="T191" s="110"/>
      <c r="U191" s="110"/>
      <c r="V191" s="110"/>
      <c r="W191" s="110"/>
      <c r="X191" s="110"/>
      <c r="Y191" s="110"/>
      <c r="Z191" s="110"/>
    </row>
    <row r="192">
      <c r="A192" s="70"/>
      <c r="B192" s="70"/>
      <c r="D192" s="154"/>
      <c r="O192" s="92"/>
      <c r="P192" s="110"/>
      <c r="Q192" s="110"/>
      <c r="R192" s="110"/>
      <c r="S192" s="110"/>
      <c r="T192" s="110"/>
      <c r="U192" s="110"/>
      <c r="V192" s="110"/>
      <c r="W192" s="110"/>
      <c r="X192" s="110"/>
      <c r="Y192" s="110"/>
      <c r="Z192" s="110"/>
    </row>
    <row r="193">
      <c r="A193" s="70"/>
      <c r="B193" s="70"/>
      <c r="D193" s="154"/>
      <c r="O193" s="92"/>
      <c r="P193" s="110"/>
      <c r="Q193" s="110"/>
      <c r="R193" s="110"/>
      <c r="S193" s="110"/>
      <c r="T193" s="110"/>
      <c r="U193" s="110"/>
      <c r="V193" s="110"/>
      <c r="W193" s="110"/>
      <c r="X193" s="110"/>
      <c r="Y193" s="110"/>
      <c r="Z193" s="110"/>
    </row>
    <row r="194">
      <c r="A194" s="70"/>
      <c r="B194" s="70"/>
      <c r="D194" s="154"/>
      <c r="O194" s="92"/>
      <c r="P194" s="110"/>
      <c r="Q194" s="110"/>
      <c r="R194" s="110"/>
      <c r="S194" s="110"/>
      <c r="T194" s="110"/>
      <c r="U194" s="110"/>
      <c r="V194" s="110"/>
      <c r="W194" s="110"/>
      <c r="X194" s="110"/>
      <c r="Y194" s="110"/>
      <c r="Z194" s="110"/>
    </row>
    <row r="195">
      <c r="A195" s="70"/>
      <c r="B195" s="70"/>
      <c r="D195" s="154"/>
      <c r="O195" s="92"/>
      <c r="P195" s="110"/>
      <c r="Q195" s="110"/>
      <c r="R195" s="110"/>
      <c r="S195" s="110"/>
      <c r="T195" s="110"/>
      <c r="U195" s="110"/>
      <c r="V195" s="110"/>
      <c r="W195" s="110"/>
      <c r="X195" s="110"/>
      <c r="Y195" s="110"/>
      <c r="Z195" s="110"/>
    </row>
    <row r="196">
      <c r="A196" s="70"/>
      <c r="B196" s="70"/>
      <c r="D196" s="154"/>
      <c r="O196" s="92"/>
      <c r="P196" s="110"/>
      <c r="Q196" s="110"/>
      <c r="R196" s="110"/>
      <c r="S196" s="110"/>
      <c r="T196" s="110"/>
      <c r="U196" s="110"/>
      <c r="V196" s="110"/>
      <c r="W196" s="110"/>
      <c r="X196" s="110"/>
      <c r="Y196" s="110"/>
      <c r="Z196" s="110"/>
    </row>
    <row r="197">
      <c r="A197" s="70"/>
      <c r="B197" s="70"/>
      <c r="D197" s="154"/>
      <c r="O197" s="92"/>
      <c r="P197" s="110"/>
      <c r="Q197" s="110"/>
      <c r="R197" s="110"/>
      <c r="S197" s="110"/>
      <c r="T197" s="110"/>
      <c r="U197" s="110"/>
      <c r="V197" s="110"/>
      <c r="W197" s="110"/>
      <c r="X197" s="110"/>
      <c r="Y197" s="110"/>
      <c r="Z197" s="110"/>
    </row>
    <row r="198">
      <c r="A198" s="70"/>
      <c r="B198" s="70"/>
      <c r="D198" s="154"/>
      <c r="O198" s="92"/>
      <c r="P198" s="110"/>
      <c r="Q198" s="110"/>
      <c r="R198" s="110"/>
      <c r="S198" s="110"/>
      <c r="T198" s="110"/>
      <c r="U198" s="110"/>
      <c r="V198" s="110"/>
      <c r="W198" s="110"/>
      <c r="X198" s="110"/>
      <c r="Y198" s="110"/>
      <c r="Z198" s="110"/>
    </row>
    <row r="199">
      <c r="A199" s="70"/>
      <c r="B199" s="70"/>
      <c r="D199" s="154"/>
      <c r="O199" s="92"/>
      <c r="P199" s="110"/>
      <c r="Q199" s="110"/>
      <c r="R199" s="110"/>
      <c r="S199" s="110"/>
      <c r="T199" s="110"/>
      <c r="U199" s="110"/>
      <c r="V199" s="110"/>
      <c r="W199" s="110"/>
      <c r="X199" s="110"/>
      <c r="Y199" s="110"/>
      <c r="Z199" s="110"/>
    </row>
    <row r="200">
      <c r="A200" s="70"/>
      <c r="B200" s="70"/>
      <c r="D200" s="154"/>
      <c r="O200" s="92"/>
      <c r="P200" s="110"/>
      <c r="Q200" s="110"/>
      <c r="R200" s="110"/>
      <c r="S200" s="110"/>
      <c r="T200" s="110"/>
      <c r="U200" s="110"/>
      <c r="V200" s="110"/>
      <c r="W200" s="110"/>
      <c r="X200" s="110"/>
      <c r="Y200" s="110"/>
      <c r="Z200" s="110"/>
    </row>
    <row r="201">
      <c r="A201" s="70"/>
      <c r="B201" s="70"/>
      <c r="D201" s="154"/>
      <c r="O201" s="92"/>
      <c r="P201" s="110"/>
      <c r="Q201" s="110"/>
      <c r="R201" s="110"/>
      <c r="S201" s="110"/>
      <c r="T201" s="110"/>
      <c r="U201" s="110"/>
      <c r="V201" s="110"/>
      <c r="W201" s="110"/>
      <c r="X201" s="110"/>
      <c r="Y201" s="110"/>
      <c r="Z201" s="110"/>
    </row>
    <row r="202">
      <c r="A202" s="70"/>
      <c r="B202" s="70"/>
      <c r="D202" s="154"/>
      <c r="O202" s="92"/>
      <c r="P202" s="110"/>
      <c r="Q202" s="110"/>
      <c r="R202" s="110"/>
      <c r="S202" s="110"/>
      <c r="T202" s="110"/>
      <c r="U202" s="110"/>
      <c r="V202" s="110"/>
      <c r="W202" s="110"/>
      <c r="X202" s="110"/>
      <c r="Y202" s="110"/>
      <c r="Z202" s="110"/>
    </row>
    <row r="203">
      <c r="A203" s="70"/>
      <c r="B203" s="70"/>
      <c r="D203" s="154"/>
      <c r="O203" s="92"/>
      <c r="P203" s="110"/>
      <c r="Q203" s="110"/>
      <c r="R203" s="110"/>
      <c r="S203" s="110"/>
      <c r="T203" s="110"/>
      <c r="U203" s="110"/>
      <c r="V203" s="110"/>
      <c r="W203" s="110"/>
      <c r="X203" s="110"/>
      <c r="Y203" s="110"/>
      <c r="Z203" s="110"/>
    </row>
    <row r="204">
      <c r="A204" s="70"/>
      <c r="B204" s="70"/>
      <c r="D204" s="154"/>
      <c r="O204" s="92"/>
      <c r="P204" s="110"/>
      <c r="Q204" s="110"/>
      <c r="R204" s="110"/>
      <c r="S204" s="110"/>
      <c r="T204" s="110"/>
      <c r="U204" s="110"/>
      <c r="V204" s="110"/>
      <c r="W204" s="110"/>
      <c r="X204" s="110"/>
      <c r="Y204" s="110"/>
      <c r="Z204" s="110"/>
    </row>
    <row r="205">
      <c r="A205" s="70"/>
      <c r="B205" s="70"/>
      <c r="D205" s="154"/>
      <c r="O205" s="92"/>
      <c r="P205" s="110"/>
      <c r="Q205" s="110"/>
      <c r="R205" s="110"/>
      <c r="S205" s="110"/>
      <c r="T205" s="110"/>
      <c r="U205" s="110"/>
      <c r="V205" s="110"/>
      <c r="W205" s="110"/>
      <c r="X205" s="110"/>
      <c r="Y205" s="110"/>
      <c r="Z205" s="110"/>
    </row>
    <row r="206">
      <c r="A206" s="70"/>
      <c r="B206" s="70"/>
      <c r="D206" s="154"/>
      <c r="O206" s="92"/>
      <c r="P206" s="110"/>
      <c r="Q206" s="110"/>
      <c r="R206" s="110"/>
      <c r="S206" s="110"/>
      <c r="T206" s="110"/>
      <c r="U206" s="110"/>
      <c r="V206" s="110"/>
      <c r="W206" s="110"/>
      <c r="X206" s="110"/>
      <c r="Y206" s="110"/>
      <c r="Z206" s="110"/>
    </row>
    <row r="207">
      <c r="A207" s="70"/>
      <c r="B207" s="70"/>
      <c r="D207" s="154"/>
      <c r="O207" s="92"/>
      <c r="P207" s="110"/>
      <c r="Q207" s="110"/>
      <c r="R207" s="110"/>
      <c r="S207" s="110"/>
      <c r="T207" s="110"/>
      <c r="U207" s="110"/>
      <c r="V207" s="110"/>
      <c r="W207" s="110"/>
      <c r="X207" s="110"/>
      <c r="Y207" s="110"/>
      <c r="Z207" s="110"/>
    </row>
    <row r="208">
      <c r="A208" s="70"/>
      <c r="B208" s="70"/>
      <c r="D208" s="154"/>
      <c r="O208" s="92"/>
      <c r="P208" s="110"/>
      <c r="Q208" s="110"/>
      <c r="R208" s="110"/>
      <c r="S208" s="110"/>
      <c r="T208" s="110"/>
      <c r="U208" s="110"/>
      <c r="V208" s="110"/>
      <c r="W208" s="110"/>
      <c r="X208" s="110"/>
      <c r="Y208" s="110"/>
      <c r="Z208" s="110"/>
    </row>
    <row r="209">
      <c r="A209" s="70"/>
      <c r="B209" s="70"/>
      <c r="D209" s="154"/>
      <c r="O209" s="92"/>
      <c r="P209" s="110"/>
      <c r="Q209" s="110"/>
      <c r="R209" s="110"/>
      <c r="S209" s="110"/>
      <c r="T209" s="110"/>
      <c r="U209" s="110"/>
      <c r="V209" s="110"/>
      <c r="W209" s="110"/>
      <c r="X209" s="110"/>
      <c r="Y209" s="110"/>
      <c r="Z209" s="110"/>
    </row>
    <row r="210">
      <c r="A210" s="70"/>
      <c r="B210" s="70"/>
      <c r="D210" s="154"/>
      <c r="O210" s="92"/>
      <c r="P210" s="110"/>
      <c r="Q210" s="110"/>
      <c r="R210" s="110"/>
      <c r="S210" s="110"/>
      <c r="T210" s="110"/>
      <c r="U210" s="110"/>
      <c r="V210" s="110"/>
      <c r="W210" s="110"/>
      <c r="X210" s="110"/>
      <c r="Y210" s="110"/>
      <c r="Z210" s="110"/>
    </row>
    <row r="211">
      <c r="A211" s="70"/>
      <c r="B211" s="70"/>
      <c r="D211" s="154"/>
      <c r="O211" s="92"/>
      <c r="P211" s="110"/>
      <c r="Q211" s="110"/>
      <c r="R211" s="110"/>
      <c r="S211" s="110"/>
      <c r="T211" s="110"/>
      <c r="U211" s="110"/>
      <c r="V211" s="110"/>
      <c r="W211" s="110"/>
      <c r="X211" s="110"/>
      <c r="Y211" s="110"/>
      <c r="Z211" s="110"/>
    </row>
    <row r="212">
      <c r="A212" s="70"/>
      <c r="B212" s="70"/>
      <c r="D212" s="154"/>
      <c r="O212" s="92"/>
      <c r="P212" s="110"/>
      <c r="Q212" s="110"/>
      <c r="R212" s="110"/>
      <c r="S212" s="110"/>
      <c r="T212" s="110"/>
      <c r="U212" s="110"/>
      <c r="V212" s="110"/>
      <c r="W212" s="110"/>
      <c r="X212" s="110"/>
      <c r="Y212" s="110"/>
      <c r="Z212" s="110"/>
    </row>
    <row r="213">
      <c r="A213" s="70"/>
      <c r="B213" s="70"/>
      <c r="D213" s="154"/>
      <c r="O213" s="92"/>
      <c r="P213" s="110"/>
      <c r="Q213" s="110"/>
      <c r="R213" s="110"/>
      <c r="S213" s="110"/>
      <c r="T213" s="110"/>
      <c r="U213" s="110"/>
      <c r="V213" s="110"/>
      <c r="W213" s="110"/>
      <c r="X213" s="110"/>
      <c r="Y213" s="110"/>
      <c r="Z213" s="110"/>
    </row>
    <row r="214">
      <c r="A214" s="70"/>
      <c r="B214" s="70"/>
      <c r="D214" s="154"/>
      <c r="O214" s="92"/>
      <c r="P214" s="110"/>
      <c r="Q214" s="110"/>
      <c r="R214" s="110"/>
      <c r="S214" s="110"/>
      <c r="T214" s="110"/>
      <c r="U214" s="110"/>
      <c r="V214" s="110"/>
      <c r="W214" s="110"/>
      <c r="X214" s="110"/>
      <c r="Y214" s="110"/>
      <c r="Z214" s="110"/>
    </row>
    <row r="215">
      <c r="A215" s="70"/>
      <c r="B215" s="70"/>
      <c r="D215" s="154"/>
      <c r="O215" s="92"/>
      <c r="P215" s="110"/>
      <c r="Q215" s="110"/>
      <c r="R215" s="110"/>
      <c r="S215" s="110"/>
      <c r="T215" s="110"/>
      <c r="U215" s="110"/>
      <c r="V215" s="110"/>
      <c r="W215" s="110"/>
      <c r="X215" s="110"/>
      <c r="Y215" s="110"/>
      <c r="Z215" s="110"/>
    </row>
    <row r="216">
      <c r="A216" s="70"/>
      <c r="B216" s="70"/>
      <c r="D216" s="154"/>
      <c r="O216" s="92"/>
      <c r="P216" s="110"/>
      <c r="Q216" s="110"/>
      <c r="R216" s="110"/>
      <c r="S216" s="110"/>
      <c r="T216" s="110"/>
      <c r="U216" s="110"/>
      <c r="V216" s="110"/>
      <c r="W216" s="110"/>
      <c r="X216" s="110"/>
      <c r="Y216" s="110"/>
      <c r="Z216" s="110"/>
    </row>
    <row r="217">
      <c r="A217" s="70"/>
      <c r="B217" s="70"/>
      <c r="D217" s="154"/>
      <c r="O217" s="92"/>
      <c r="P217" s="110"/>
      <c r="Q217" s="110"/>
      <c r="R217" s="110"/>
      <c r="S217" s="110"/>
      <c r="T217" s="110"/>
      <c r="U217" s="110"/>
      <c r="V217" s="110"/>
      <c r="W217" s="110"/>
      <c r="X217" s="110"/>
      <c r="Y217" s="110"/>
      <c r="Z217" s="110"/>
    </row>
    <row r="218">
      <c r="A218" s="70"/>
      <c r="B218" s="70"/>
      <c r="D218" s="154"/>
      <c r="O218" s="92"/>
      <c r="P218" s="110"/>
      <c r="Q218" s="110"/>
      <c r="R218" s="110"/>
      <c r="S218" s="110"/>
      <c r="T218" s="110"/>
      <c r="U218" s="110"/>
      <c r="V218" s="110"/>
      <c r="W218" s="110"/>
      <c r="X218" s="110"/>
      <c r="Y218" s="110"/>
      <c r="Z218" s="110"/>
    </row>
    <row r="219">
      <c r="A219" s="70"/>
      <c r="B219" s="70"/>
      <c r="D219" s="154"/>
      <c r="O219" s="92"/>
      <c r="P219" s="110"/>
      <c r="Q219" s="110"/>
      <c r="R219" s="110"/>
      <c r="S219" s="110"/>
      <c r="T219" s="110"/>
      <c r="U219" s="110"/>
      <c r="V219" s="110"/>
      <c r="W219" s="110"/>
      <c r="X219" s="110"/>
      <c r="Y219" s="110"/>
      <c r="Z219" s="110"/>
    </row>
    <row r="220">
      <c r="A220" s="70"/>
      <c r="B220" s="70"/>
      <c r="D220" s="154"/>
      <c r="O220" s="92"/>
      <c r="P220" s="110"/>
      <c r="Q220" s="110"/>
      <c r="R220" s="110"/>
      <c r="S220" s="110"/>
      <c r="T220" s="110"/>
      <c r="U220" s="110"/>
      <c r="V220" s="110"/>
      <c r="W220" s="110"/>
      <c r="X220" s="110"/>
      <c r="Y220" s="110"/>
      <c r="Z220" s="110"/>
    </row>
    <row r="221">
      <c r="A221" s="70"/>
      <c r="B221" s="70"/>
      <c r="D221" s="154"/>
      <c r="O221" s="92"/>
      <c r="P221" s="110"/>
      <c r="Q221" s="110"/>
      <c r="R221" s="110"/>
      <c r="S221" s="110"/>
      <c r="T221" s="110"/>
      <c r="U221" s="110"/>
      <c r="V221" s="110"/>
      <c r="W221" s="110"/>
      <c r="X221" s="110"/>
      <c r="Y221" s="110"/>
      <c r="Z221" s="110"/>
    </row>
    <row r="222">
      <c r="A222" s="70"/>
      <c r="B222" s="70"/>
      <c r="D222" s="154"/>
      <c r="O222" s="92"/>
      <c r="P222" s="110"/>
      <c r="Q222" s="110"/>
      <c r="R222" s="110"/>
      <c r="S222" s="110"/>
      <c r="T222" s="110"/>
      <c r="U222" s="110"/>
      <c r="V222" s="110"/>
      <c r="W222" s="110"/>
      <c r="X222" s="110"/>
      <c r="Y222" s="110"/>
      <c r="Z222" s="110"/>
    </row>
    <row r="223">
      <c r="A223" s="70"/>
      <c r="B223" s="70"/>
      <c r="D223" s="154"/>
      <c r="O223" s="92"/>
      <c r="P223" s="110"/>
      <c r="Q223" s="110"/>
      <c r="R223" s="110"/>
      <c r="S223" s="110"/>
      <c r="T223" s="110"/>
      <c r="U223" s="110"/>
      <c r="V223" s="110"/>
      <c r="W223" s="110"/>
      <c r="X223" s="110"/>
      <c r="Y223" s="110"/>
      <c r="Z223" s="110"/>
    </row>
    <row r="224">
      <c r="A224" s="70"/>
      <c r="B224" s="70"/>
      <c r="D224" s="154"/>
      <c r="O224" s="92"/>
      <c r="P224" s="110"/>
      <c r="Q224" s="110"/>
      <c r="R224" s="110"/>
      <c r="S224" s="110"/>
      <c r="T224" s="110"/>
      <c r="U224" s="110"/>
      <c r="V224" s="110"/>
      <c r="W224" s="110"/>
      <c r="X224" s="110"/>
      <c r="Y224" s="110"/>
      <c r="Z224" s="110"/>
    </row>
    <row r="225">
      <c r="A225" s="70"/>
      <c r="B225" s="70"/>
      <c r="D225" s="154"/>
      <c r="O225" s="92"/>
      <c r="P225" s="110"/>
      <c r="Q225" s="110"/>
      <c r="R225" s="110"/>
      <c r="S225" s="110"/>
      <c r="T225" s="110"/>
      <c r="U225" s="110"/>
      <c r="V225" s="110"/>
      <c r="W225" s="110"/>
      <c r="X225" s="110"/>
      <c r="Y225" s="110"/>
      <c r="Z225" s="110"/>
    </row>
    <row r="226">
      <c r="A226" s="70"/>
      <c r="B226" s="70"/>
      <c r="D226" s="154"/>
      <c r="O226" s="92"/>
      <c r="P226" s="110"/>
      <c r="Q226" s="110"/>
      <c r="R226" s="110"/>
      <c r="S226" s="110"/>
      <c r="T226" s="110"/>
      <c r="U226" s="110"/>
      <c r="V226" s="110"/>
      <c r="W226" s="110"/>
      <c r="X226" s="110"/>
      <c r="Y226" s="110"/>
      <c r="Z226" s="110"/>
    </row>
    <row r="227">
      <c r="A227" s="70"/>
      <c r="B227" s="70"/>
      <c r="D227" s="154"/>
      <c r="O227" s="92"/>
      <c r="P227" s="110"/>
      <c r="Q227" s="110"/>
      <c r="R227" s="110"/>
      <c r="S227" s="110"/>
      <c r="T227" s="110"/>
      <c r="U227" s="110"/>
      <c r="V227" s="110"/>
      <c r="W227" s="110"/>
      <c r="X227" s="110"/>
      <c r="Y227" s="110"/>
      <c r="Z227" s="110"/>
    </row>
    <row r="228">
      <c r="A228" s="70"/>
      <c r="B228" s="70"/>
      <c r="D228" s="154"/>
      <c r="O228" s="92"/>
      <c r="P228" s="110"/>
      <c r="Q228" s="110"/>
      <c r="R228" s="110"/>
      <c r="S228" s="110"/>
      <c r="T228" s="110"/>
      <c r="U228" s="110"/>
      <c r="V228" s="110"/>
      <c r="W228" s="110"/>
      <c r="X228" s="110"/>
      <c r="Y228" s="110"/>
      <c r="Z228" s="110"/>
    </row>
    <row r="229">
      <c r="A229" s="70"/>
      <c r="B229" s="70"/>
      <c r="D229" s="154"/>
      <c r="O229" s="92"/>
      <c r="P229" s="110"/>
      <c r="Q229" s="110"/>
      <c r="R229" s="110"/>
      <c r="S229" s="110"/>
      <c r="T229" s="110"/>
      <c r="U229" s="110"/>
      <c r="V229" s="110"/>
      <c r="W229" s="110"/>
      <c r="X229" s="110"/>
      <c r="Y229" s="110"/>
      <c r="Z229" s="110"/>
    </row>
    <row r="230">
      <c r="A230" s="70"/>
      <c r="B230" s="70"/>
      <c r="D230" s="154"/>
      <c r="O230" s="92"/>
      <c r="P230" s="110"/>
      <c r="Q230" s="110"/>
      <c r="R230" s="110"/>
      <c r="S230" s="110"/>
      <c r="T230" s="110"/>
      <c r="U230" s="110"/>
      <c r="V230" s="110"/>
      <c r="W230" s="110"/>
      <c r="X230" s="110"/>
      <c r="Y230" s="110"/>
      <c r="Z230" s="110"/>
    </row>
    <row r="231">
      <c r="A231" s="70"/>
      <c r="B231" s="70"/>
      <c r="D231" s="154"/>
      <c r="O231" s="92"/>
      <c r="P231" s="110"/>
      <c r="Q231" s="110"/>
      <c r="R231" s="110"/>
      <c r="S231" s="110"/>
      <c r="T231" s="110"/>
      <c r="U231" s="110"/>
      <c r="V231" s="110"/>
      <c r="W231" s="110"/>
      <c r="X231" s="110"/>
      <c r="Y231" s="110"/>
      <c r="Z231" s="110"/>
    </row>
    <row r="232">
      <c r="A232" s="70"/>
      <c r="B232" s="70"/>
      <c r="D232" s="154"/>
      <c r="O232" s="92"/>
      <c r="P232" s="110"/>
      <c r="Q232" s="110"/>
      <c r="R232" s="110"/>
      <c r="S232" s="110"/>
      <c r="T232" s="110"/>
      <c r="U232" s="110"/>
      <c r="V232" s="110"/>
      <c r="W232" s="110"/>
      <c r="X232" s="110"/>
      <c r="Y232" s="110"/>
      <c r="Z232" s="110"/>
    </row>
    <row r="233">
      <c r="A233" s="70"/>
      <c r="B233" s="70"/>
      <c r="D233" s="154"/>
      <c r="O233" s="92"/>
      <c r="P233" s="110"/>
      <c r="Q233" s="110"/>
      <c r="R233" s="110"/>
      <c r="S233" s="110"/>
      <c r="T233" s="110"/>
      <c r="U233" s="110"/>
      <c r="V233" s="110"/>
      <c r="W233" s="110"/>
      <c r="X233" s="110"/>
      <c r="Y233" s="110"/>
      <c r="Z233" s="110"/>
    </row>
    <row r="234">
      <c r="A234" s="70"/>
      <c r="B234" s="70"/>
      <c r="D234" s="154"/>
      <c r="O234" s="92"/>
      <c r="P234" s="110"/>
      <c r="Q234" s="110"/>
      <c r="R234" s="110"/>
      <c r="S234" s="110"/>
      <c r="T234" s="110"/>
      <c r="U234" s="110"/>
      <c r="V234" s="110"/>
      <c r="W234" s="110"/>
      <c r="X234" s="110"/>
      <c r="Y234" s="110"/>
      <c r="Z234" s="110"/>
    </row>
    <row r="235">
      <c r="A235" s="70"/>
      <c r="B235" s="70"/>
      <c r="D235" s="154"/>
      <c r="O235" s="92"/>
      <c r="P235" s="110"/>
      <c r="Q235" s="110"/>
      <c r="R235" s="110"/>
      <c r="S235" s="110"/>
      <c r="T235" s="110"/>
      <c r="U235" s="110"/>
      <c r="V235" s="110"/>
      <c r="W235" s="110"/>
      <c r="X235" s="110"/>
      <c r="Y235" s="110"/>
      <c r="Z235" s="110"/>
    </row>
    <row r="236">
      <c r="A236" s="70"/>
      <c r="B236" s="70"/>
      <c r="D236" s="154"/>
      <c r="O236" s="92"/>
      <c r="P236" s="110"/>
      <c r="Q236" s="110"/>
      <c r="R236" s="110"/>
      <c r="S236" s="110"/>
      <c r="T236" s="110"/>
      <c r="U236" s="110"/>
      <c r="V236" s="110"/>
      <c r="W236" s="110"/>
      <c r="X236" s="110"/>
      <c r="Y236" s="110"/>
      <c r="Z236" s="110"/>
    </row>
    <row r="237">
      <c r="A237" s="70"/>
      <c r="B237" s="70"/>
      <c r="D237" s="154"/>
      <c r="O237" s="92"/>
      <c r="P237" s="110"/>
      <c r="Q237" s="110"/>
      <c r="R237" s="110"/>
      <c r="S237" s="110"/>
      <c r="T237" s="110"/>
      <c r="U237" s="110"/>
      <c r="V237" s="110"/>
      <c r="W237" s="110"/>
      <c r="X237" s="110"/>
      <c r="Y237" s="110"/>
      <c r="Z237" s="110"/>
    </row>
    <row r="238">
      <c r="A238" s="70"/>
      <c r="B238" s="70"/>
      <c r="D238" s="154"/>
      <c r="O238" s="92"/>
      <c r="P238" s="110"/>
      <c r="Q238" s="110"/>
      <c r="R238" s="110"/>
      <c r="S238" s="110"/>
      <c r="T238" s="110"/>
      <c r="U238" s="110"/>
      <c r="V238" s="110"/>
      <c r="W238" s="110"/>
      <c r="X238" s="110"/>
      <c r="Y238" s="110"/>
      <c r="Z238" s="110"/>
    </row>
    <row r="239">
      <c r="A239" s="70"/>
      <c r="B239" s="70"/>
      <c r="D239" s="154"/>
      <c r="O239" s="92"/>
      <c r="P239" s="110"/>
      <c r="Q239" s="110"/>
      <c r="R239" s="110"/>
      <c r="S239" s="110"/>
      <c r="T239" s="110"/>
      <c r="U239" s="110"/>
      <c r="V239" s="110"/>
      <c r="W239" s="110"/>
      <c r="X239" s="110"/>
      <c r="Y239" s="110"/>
      <c r="Z239" s="110"/>
    </row>
    <row r="240">
      <c r="A240" s="70"/>
      <c r="B240" s="70"/>
      <c r="D240" s="154"/>
      <c r="O240" s="92"/>
      <c r="P240" s="110"/>
      <c r="Q240" s="110"/>
      <c r="R240" s="110"/>
      <c r="S240" s="110"/>
      <c r="T240" s="110"/>
      <c r="U240" s="110"/>
      <c r="V240" s="110"/>
      <c r="W240" s="110"/>
      <c r="X240" s="110"/>
      <c r="Y240" s="110"/>
      <c r="Z240" s="110"/>
    </row>
    <row r="241">
      <c r="A241" s="70"/>
      <c r="B241" s="70"/>
      <c r="D241" s="154"/>
      <c r="O241" s="92"/>
      <c r="P241" s="110"/>
      <c r="Q241" s="110"/>
      <c r="R241" s="110"/>
      <c r="S241" s="110"/>
      <c r="T241" s="110"/>
      <c r="U241" s="110"/>
      <c r="V241" s="110"/>
      <c r="W241" s="110"/>
      <c r="X241" s="110"/>
      <c r="Y241" s="110"/>
      <c r="Z241" s="110"/>
    </row>
    <row r="242">
      <c r="A242" s="70"/>
      <c r="B242" s="70"/>
      <c r="D242" s="154"/>
      <c r="O242" s="92"/>
      <c r="P242" s="110"/>
      <c r="Q242" s="110"/>
      <c r="R242" s="110"/>
      <c r="S242" s="110"/>
      <c r="T242" s="110"/>
      <c r="U242" s="110"/>
      <c r="V242" s="110"/>
      <c r="W242" s="110"/>
      <c r="X242" s="110"/>
      <c r="Y242" s="110"/>
      <c r="Z242" s="110"/>
    </row>
    <row r="243">
      <c r="A243" s="70"/>
      <c r="B243" s="70"/>
      <c r="D243" s="154"/>
      <c r="O243" s="92"/>
      <c r="P243" s="110"/>
      <c r="Q243" s="110"/>
      <c r="R243" s="110"/>
      <c r="S243" s="110"/>
      <c r="T243" s="110"/>
      <c r="U243" s="110"/>
      <c r="V243" s="110"/>
      <c r="W243" s="110"/>
      <c r="X243" s="110"/>
      <c r="Y243" s="110"/>
      <c r="Z243" s="110"/>
    </row>
    <row r="244">
      <c r="A244" s="70"/>
      <c r="B244" s="70"/>
      <c r="D244" s="154"/>
      <c r="O244" s="92"/>
      <c r="P244" s="110"/>
      <c r="Q244" s="110"/>
      <c r="R244" s="110"/>
      <c r="S244" s="110"/>
      <c r="T244" s="110"/>
      <c r="U244" s="110"/>
      <c r="V244" s="110"/>
      <c r="W244" s="110"/>
      <c r="X244" s="110"/>
      <c r="Y244" s="110"/>
      <c r="Z244" s="110"/>
    </row>
    <row r="245">
      <c r="A245" s="70"/>
      <c r="B245" s="70"/>
      <c r="D245" s="154"/>
      <c r="O245" s="92"/>
      <c r="P245" s="110"/>
      <c r="Q245" s="110"/>
      <c r="R245" s="110"/>
      <c r="S245" s="110"/>
      <c r="T245" s="110"/>
      <c r="U245" s="110"/>
      <c r="V245" s="110"/>
      <c r="W245" s="110"/>
      <c r="X245" s="110"/>
      <c r="Y245" s="110"/>
      <c r="Z245" s="110"/>
    </row>
    <row r="246">
      <c r="A246" s="70"/>
      <c r="B246" s="70"/>
      <c r="D246" s="154"/>
      <c r="O246" s="92"/>
      <c r="P246" s="110"/>
      <c r="Q246" s="110"/>
      <c r="R246" s="110"/>
      <c r="S246" s="110"/>
      <c r="T246" s="110"/>
      <c r="U246" s="110"/>
      <c r="V246" s="110"/>
      <c r="W246" s="110"/>
      <c r="X246" s="110"/>
      <c r="Y246" s="110"/>
      <c r="Z246" s="110"/>
    </row>
    <row r="247">
      <c r="A247" s="70"/>
      <c r="B247" s="70"/>
      <c r="D247" s="154"/>
      <c r="O247" s="92"/>
      <c r="P247" s="110"/>
      <c r="Q247" s="110"/>
      <c r="R247" s="110"/>
      <c r="S247" s="110"/>
      <c r="T247" s="110"/>
      <c r="U247" s="110"/>
      <c r="V247" s="110"/>
      <c r="W247" s="110"/>
      <c r="X247" s="110"/>
      <c r="Y247" s="110"/>
      <c r="Z247" s="110"/>
    </row>
    <row r="248">
      <c r="A248" s="70"/>
      <c r="B248" s="70"/>
      <c r="D248" s="154"/>
      <c r="O248" s="92"/>
      <c r="P248" s="110"/>
      <c r="Q248" s="110"/>
      <c r="R248" s="110"/>
      <c r="S248" s="110"/>
      <c r="T248" s="110"/>
      <c r="U248" s="110"/>
      <c r="V248" s="110"/>
      <c r="W248" s="110"/>
      <c r="X248" s="110"/>
      <c r="Y248" s="110"/>
      <c r="Z248" s="110"/>
    </row>
    <row r="249">
      <c r="A249" s="70"/>
      <c r="B249" s="70"/>
      <c r="D249" s="154"/>
      <c r="O249" s="92"/>
      <c r="P249" s="110"/>
      <c r="Q249" s="110"/>
      <c r="R249" s="110"/>
      <c r="S249" s="110"/>
      <c r="T249" s="110"/>
      <c r="U249" s="110"/>
      <c r="V249" s="110"/>
      <c r="W249" s="110"/>
      <c r="X249" s="110"/>
      <c r="Y249" s="110"/>
      <c r="Z249" s="110"/>
    </row>
    <row r="250">
      <c r="A250" s="70"/>
      <c r="B250" s="70"/>
      <c r="D250" s="154"/>
      <c r="O250" s="92"/>
      <c r="P250" s="110"/>
      <c r="Q250" s="110"/>
      <c r="R250" s="110"/>
      <c r="S250" s="110"/>
      <c r="T250" s="110"/>
      <c r="U250" s="110"/>
      <c r="V250" s="110"/>
      <c r="W250" s="110"/>
      <c r="X250" s="110"/>
      <c r="Y250" s="110"/>
      <c r="Z250" s="110"/>
    </row>
    <row r="251">
      <c r="A251" s="70"/>
      <c r="B251" s="70"/>
      <c r="D251" s="154"/>
      <c r="O251" s="92"/>
      <c r="P251" s="110"/>
      <c r="Q251" s="110"/>
      <c r="R251" s="110"/>
      <c r="S251" s="110"/>
      <c r="T251" s="110"/>
      <c r="U251" s="110"/>
      <c r="V251" s="110"/>
      <c r="W251" s="110"/>
      <c r="X251" s="110"/>
      <c r="Y251" s="110"/>
      <c r="Z251" s="110"/>
    </row>
    <row r="252">
      <c r="A252" s="70"/>
      <c r="B252" s="70"/>
      <c r="D252" s="154"/>
      <c r="O252" s="92"/>
      <c r="P252" s="110"/>
      <c r="Q252" s="110"/>
      <c r="R252" s="110"/>
      <c r="S252" s="110"/>
      <c r="T252" s="110"/>
      <c r="U252" s="110"/>
      <c r="V252" s="110"/>
      <c r="W252" s="110"/>
      <c r="X252" s="110"/>
      <c r="Y252" s="110"/>
      <c r="Z252" s="110"/>
    </row>
    <row r="253">
      <c r="A253" s="70"/>
      <c r="B253" s="70"/>
      <c r="D253" s="154"/>
      <c r="O253" s="92"/>
      <c r="P253" s="110"/>
      <c r="Q253" s="110"/>
      <c r="R253" s="110"/>
      <c r="S253" s="110"/>
      <c r="T253" s="110"/>
      <c r="U253" s="110"/>
      <c r="V253" s="110"/>
      <c r="W253" s="110"/>
      <c r="X253" s="110"/>
      <c r="Y253" s="110"/>
      <c r="Z253" s="110"/>
    </row>
    <row r="254">
      <c r="A254" s="70"/>
      <c r="B254" s="70"/>
      <c r="D254" s="154"/>
      <c r="O254" s="92"/>
      <c r="P254" s="110"/>
      <c r="Q254" s="110"/>
      <c r="R254" s="110"/>
      <c r="S254" s="110"/>
      <c r="T254" s="110"/>
      <c r="U254" s="110"/>
      <c r="V254" s="110"/>
      <c r="W254" s="110"/>
      <c r="X254" s="110"/>
      <c r="Y254" s="110"/>
      <c r="Z254" s="110"/>
    </row>
    <row r="255">
      <c r="A255" s="70"/>
      <c r="B255" s="70"/>
      <c r="D255" s="154"/>
      <c r="O255" s="92"/>
      <c r="P255" s="110"/>
      <c r="Q255" s="110"/>
      <c r="R255" s="110"/>
      <c r="S255" s="110"/>
      <c r="T255" s="110"/>
      <c r="U255" s="110"/>
      <c r="V255" s="110"/>
      <c r="W255" s="110"/>
      <c r="X255" s="110"/>
      <c r="Y255" s="110"/>
      <c r="Z255" s="110"/>
    </row>
    <row r="256">
      <c r="A256" s="70"/>
      <c r="B256" s="70"/>
      <c r="D256" s="154"/>
      <c r="O256" s="92"/>
      <c r="P256" s="110"/>
      <c r="Q256" s="110"/>
      <c r="R256" s="110"/>
      <c r="S256" s="110"/>
      <c r="T256" s="110"/>
      <c r="U256" s="110"/>
      <c r="V256" s="110"/>
      <c r="W256" s="110"/>
      <c r="X256" s="110"/>
      <c r="Y256" s="110"/>
      <c r="Z256" s="110"/>
    </row>
    <row r="257">
      <c r="A257" s="70"/>
      <c r="B257" s="70"/>
      <c r="D257" s="154"/>
      <c r="O257" s="92"/>
      <c r="P257" s="110"/>
      <c r="Q257" s="110"/>
      <c r="R257" s="110"/>
      <c r="S257" s="110"/>
      <c r="T257" s="110"/>
      <c r="U257" s="110"/>
      <c r="V257" s="110"/>
      <c r="W257" s="110"/>
      <c r="X257" s="110"/>
      <c r="Y257" s="110"/>
      <c r="Z257" s="110"/>
    </row>
    <row r="258">
      <c r="A258" s="70"/>
      <c r="B258" s="70"/>
      <c r="D258" s="154"/>
      <c r="O258" s="92"/>
      <c r="P258" s="110"/>
      <c r="Q258" s="110"/>
      <c r="R258" s="110"/>
      <c r="S258" s="110"/>
      <c r="T258" s="110"/>
      <c r="U258" s="110"/>
      <c r="V258" s="110"/>
      <c r="W258" s="110"/>
      <c r="X258" s="110"/>
      <c r="Y258" s="110"/>
      <c r="Z258" s="110"/>
    </row>
    <row r="259">
      <c r="A259" s="70"/>
      <c r="B259" s="70"/>
      <c r="D259" s="154"/>
      <c r="O259" s="92"/>
      <c r="P259" s="110"/>
      <c r="Q259" s="110"/>
      <c r="R259" s="110"/>
      <c r="S259" s="110"/>
      <c r="T259" s="110"/>
      <c r="U259" s="110"/>
      <c r="V259" s="110"/>
      <c r="W259" s="110"/>
      <c r="X259" s="110"/>
      <c r="Y259" s="110"/>
      <c r="Z259" s="110"/>
    </row>
    <row r="260">
      <c r="A260" s="70"/>
      <c r="B260" s="70"/>
      <c r="D260" s="154"/>
      <c r="O260" s="92"/>
      <c r="P260" s="110"/>
      <c r="Q260" s="110"/>
      <c r="R260" s="110"/>
      <c r="S260" s="110"/>
      <c r="T260" s="110"/>
      <c r="U260" s="110"/>
      <c r="V260" s="110"/>
      <c r="W260" s="110"/>
      <c r="X260" s="110"/>
      <c r="Y260" s="110"/>
      <c r="Z260" s="110"/>
    </row>
    <row r="261">
      <c r="A261" s="70"/>
      <c r="B261" s="70"/>
      <c r="D261" s="154"/>
      <c r="O261" s="92"/>
      <c r="P261" s="110"/>
      <c r="Q261" s="110"/>
      <c r="R261" s="110"/>
      <c r="S261" s="110"/>
      <c r="T261" s="110"/>
      <c r="U261" s="110"/>
      <c r="V261" s="110"/>
      <c r="W261" s="110"/>
      <c r="X261" s="110"/>
      <c r="Y261" s="110"/>
      <c r="Z261" s="110"/>
    </row>
    <row r="262">
      <c r="A262" s="70"/>
      <c r="B262" s="70"/>
      <c r="D262" s="154"/>
      <c r="O262" s="92"/>
      <c r="P262" s="110"/>
      <c r="Q262" s="110"/>
      <c r="R262" s="110"/>
      <c r="S262" s="110"/>
      <c r="T262" s="110"/>
      <c r="U262" s="110"/>
      <c r="V262" s="110"/>
      <c r="W262" s="110"/>
      <c r="X262" s="110"/>
      <c r="Y262" s="110"/>
      <c r="Z262" s="110"/>
    </row>
    <row r="263">
      <c r="A263" s="70"/>
      <c r="B263" s="70"/>
      <c r="D263" s="154"/>
      <c r="O263" s="92"/>
      <c r="P263" s="110"/>
      <c r="Q263" s="110"/>
      <c r="R263" s="110"/>
      <c r="S263" s="110"/>
      <c r="T263" s="110"/>
      <c r="U263" s="110"/>
      <c r="V263" s="110"/>
      <c r="W263" s="110"/>
      <c r="X263" s="110"/>
      <c r="Y263" s="110"/>
      <c r="Z263" s="110"/>
    </row>
    <row r="264">
      <c r="A264" s="70"/>
      <c r="B264" s="70"/>
      <c r="D264" s="154"/>
      <c r="O264" s="92"/>
      <c r="P264" s="110"/>
      <c r="Q264" s="110"/>
      <c r="R264" s="110"/>
      <c r="S264" s="110"/>
      <c r="T264" s="110"/>
      <c r="U264" s="110"/>
      <c r="V264" s="110"/>
      <c r="W264" s="110"/>
      <c r="X264" s="110"/>
      <c r="Y264" s="110"/>
      <c r="Z264" s="110"/>
    </row>
    <row r="265">
      <c r="A265" s="70"/>
      <c r="B265" s="70"/>
      <c r="D265" s="154"/>
      <c r="O265" s="92"/>
      <c r="P265" s="110"/>
      <c r="Q265" s="110"/>
      <c r="R265" s="110"/>
      <c r="S265" s="110"/>
      <c r="T265" s="110"/>
      <c r="U265" s="110"/>
      <c r="V265" s="110"/>
      <c r="W265" s="110"/>
      <c r="X265" s="110"/>
      <c r="Y265" s="110"/>
      <c r="Z265" s="110"/>
    </row>
    <row r="266">
      <c r="A266" s="70"/>
      <c r="B266" s="70"/>
      <c r="D266" s="154"/>
      <c r="O266" s="92"/>
      <c r="P266" s="110"/>
      <c r="Q266" s="110"/>
      <c r="R266" s="110"/>
      <c r="S266" s="110"/>
      <c r="T266" s="110"/>
      <c r="U266" s="110"/>
      <c r="V266" s="110"/>
      <c r="W266" s="110"/>
      <c r="X266" s="110"/>
      <c r="Y266" s="110"/>
      <c r="Z266" s="110"/>
    </row>
    <row r="267">
      <c r="A267" s="70"/>
      <c r="B267" s="70"/>
      <c r="D267" s="154"/>
      <c r="O267" s="92"/>
      <c r="P267" s="110"/>
      <c r="Q267" s="110"/>
      <c r="R267" s="110"/>
      <c r="S267" s="110"/>
      <c r="T267" s="110"/>
      <c r="U267" s="110"/>
      <c r="V267" s="110"/>
      <c r="W267" s="110"/>
      <c r="X267" s="110"/>
      <c r="Y267" s="110"/>
      <c r="Z267" s="110"/>
    </row>
    <row r="268">
      <c r="A268" s="70"/>
      <c r="B268" s="70"/>
      <c r="D268" s="154"/>
      <c r="O268" s="92"/>
      <c r="P268" s="110"/>
      <c r="Q268" s="110"/>
      <c r="R268" s="110"/>
      <c r="S268" s="110"/>
      <c r="T268" s="110"/>
      <c r="U268" s="110"/>
      <c r="V268" s="110"/>
      <c r="W268" s="110"/>
      <c r="X268" s="110"/>
      <c r="Y268" s="110"/>
      <c r="Z268" s="110"/>
    </row>
    <row r="269">
      <c r="A269" s="70"/>
      <c r="B269" s="70"/>
      <c r="D269" s="154"/>
      <c r="O269" s="92"/>
      <c r="P269" s="110"/>
      <c r="Q269" s="110"/>
      <c r="R269" s="110"/>
      <c r="S269" s="110"/>
      <c r="T269" s="110"/>
      <c r="U269" s="110"/>
      <c r="V269" s="110"/>
      <c r="W269" s="110"/>
      <c r="X269" s="110"/>
      <c r="Y269" s="110"/>
      <c r="Z269" s="110"/>
    </row>
    <row r="270">
      <c r="A270" s="70"/>
      <c r="B270" s="70"/>
      <c r="D270" s="154"/>
      <c r="O270" s="92"/>
      <c r="P270" s="110"/>
      <c r="Q270" s="110"/>
      <c r="R270" s="110"/>
      <c r="S270" s="110"/>
      <c r="T270" s="110"/>
      <c r="U270" s="110"/>
      <c r="V270" s="110"/>
      <c r="W270" s="110"/>
      <c r="X270" s="110"/>
      <c r="Y270" s="110"/>
      <c r="Z270" s="110"/>
    </row>
    <row r="271">
      <c r="A271" s="70"/>
      <c r="B271" s="70"/>
      <c r="D271" s="154"/>
      <c r="O271" s="92"/>
      <c r="P271" s="110"/>
      <c r="Q271" s="110"/>
      <c r="R271" s="110"/>
      <c r="S271" s="110"/>
      <c r="T271" s="110"/>
      <c r="U271" s="110"/>
      <c r="V271" s="110"/>
      <c r="W271" s="110"/>
      <c r="X271" s="110"/>
      <c r="Y271" s="110"/>
      <c r="Z271" s="110"/>
    </row>
    <row r="272">
      <c r="A272" s="70"/>
      <c r="B272" s="70"/>
      <c r="D272" s="154"/>
      <c r="O272" s="92"/>
      <c r="P272" s="110"/>
      <c r="Q272" s="110"/>
      <c r="R272" s="110"/>
      <c r="S272" s="110"/>
      <c r="T272" s="110"/>
      <c r="U272" s="110"/>
      <c r="V272" s="110"/>
      <c r="W272" s="110"/>
      <c r="X272" s="110"/>
      <c r="Y272" s="110"/>
      <c r="Z272" s="110"/>
    </row>
    <row r="273">
      <c r="A273" s="70"/>
      <c r="B273" s="70"/>
      <c r="D273" s="154"/>
      <c r="O273" s="92"/>
      <c r="P273" s="110"/>
      <c r="Q273" s="110"/>
      <c r="R273" s="110"/>
      <c r="S273" s="110"/>
      <c r="T273" s="110"/>
      <c r="U273" s="110"/>
      <c r="V273" s="110"/>
      <c r="W273" s="110"/>
      <c r="X273" s="110"/>
      <c r="Y273" s="110"/>
      <c r="Z273" s="110"/>
    </row>
    <row r="274">
      <c r="A274" s="70"/>
      <c r="B274" s="70"/>
      <c r="D274" s="154"/>
      <c r="O274" s="92"/>
      <c r="P274" s="110"/>
      <c r="Q274" s="110"/>
      <c r="R274" s="110"/>
      <c r="S274" s="110"/>
      <c r="T274" s="110"/>
      <c r="U274" s="110"/>
      <c r="V274" s="110"/>
      <c r="W274" s="110"/>
      <c r="X274" s="110"/>
      <c r="Y274" s="110"/>
      <c r="Z274" s="110"/>
    </row>
    <row r="275">
      <c r="A275" s="70"/>
      <c r="B275" s="70"/>
      <c r="D275" s="154"/>
      <c r="O275" s="92"/>
      <c r="P275" s="110"/>
      <c r="Q275" s="110"/>
      <c r="R275" s="110"/>
      <c r="S275" s="110"/>
      <c r="T275" s="110"/>
      <c r="U275" s="110"/>
      <c r="V275" s="110"/>
      <c r="W275" s="110"/>
      <c r="X275" s="110"/>
      <c r="Y275" s="110"/>
      <c r="Z275" s="110"/>
    </row>
    <row r="276">
      <c r="A276" s="70"/>
      <c r="B276" s="70"/>
      <c r="D276" s="154"/>
      <c r="O276" s="92"/>
      <c r="P276" s="110"/>
      <c r="Q276" s="110"/>
      <c r="R276" s="110"/>
      <c r="S276" s="110"/>
      <c r="T276" s="110"/>
      <c r="U276" s="110"/>
      <c r="V276" s="110"/>
      <c r="W276" s="110"/>
      <c r="X276" s="110"/>
      <c r="Y276" s="110"/>
      <c r="Z276" s="110"/>
    </row>
    <row r="277">
      <c r="A277" s="70"/>
      <c r="B277" s="70"/>
      <c r="D277" s="154"/>
      <c r="O277" s="92"/>
      <c r="P277" s="110"/>
      <c r="Q277" s="110"/>
      <c r="R277" s="110"/>
      <c r="S277" s="110"/>
      <c r="T277" s="110"/>
      <c r="U277" s="110"/>
      <c r="V277" s="110"/>
      <c r="W277" s="110"/>
      <c r="X277" s="110"/>
      <c r="Y277" s="110"/>
      <c r="Z277" s="110"/>
    </row>
    <row r="278">
      <c r="A278" s="70"/>
      <c r="B278" s="70"/>
      <c r="D278" s="154"/>
      <c r="O278" s="92"/>
      <c r="P278" s="110"/>
      <c r="Q278" s="110"/>
      <c r="R278" s="110"/>
      <c r="S278" s="110"/>
      <c r="T278" s="110"/>
      <c r="U278" s="110"/>
      <c r="V278" s="110"/>
      <c r="W278" s="110"/>
      <c r="X278" s="110"/>
      <c r="Y278" s="110"/>
      <c r="Z278" s="110"/>
    </row>
    <row r="279">
      <c r="A279" s="70"/>
      <c r="B279" s="70"/>
      <c r="D279" s="154"/>
      <c r="O279" s="92"/>
      <c r="P279" s="110"/>
      <c r="Q279" s="110"/>
      <c r="R279" s="110"/>
      <c r="S279" s="110"/>
      <c r="T279" s="110"/>
      <c r="U279" s="110"/>
      <c r="V279" s="110"/>
      <c r="W279" s="110"/>
      <c r="X279" s="110"/>
      <c r="Y279" s="110"/>
      <c r="Z279" s="110"/>
    </row>
    <row r="280">
      <c r="A280" s="70"/>
      <c r="B280" s="70"/>
      <c r="D280" s="154"/>
      <c r="O280" s="92"/>
      <c r="P280" s="110"/>
      <c r="Q280" s="110"/>
      <c r="R280" s="110"/>
      <c r="S280" s="110"/>
      <c r="T280" s="110"/>
      <c r="U280" s="110"/>
      <c r="V280" s="110"/>
      <c r="W280" s="110"/>
      <c r="X280" s="110"/>
      <c r="Y280" s="110"/>
      <c r="Z280" s="110"/>
    </row>
    <row r="281">
      <c r="A281" s="70"/>
      <c r="B281" s="70"/>
      <c r="D281" s="154"/>
      <c r="O281" s="92"/>
      <c r="P281" s="110"/>
      <c r="Q281" s="110"/>
      <c r="R281" s="110"/>
      <c r="S281" s="110"/>
      <c r="T281" s="110"/>
      <c r="U281" s="110"/>
      <c r="V281" s="110"/>
      <c r="W281" s="110"/>
      <c r="X281" s="110"/>
      <c r="Y281" s="110"/>
      <c r="Z281" s="110"/>
    </row>
    <row r="282">
      <c r="A282" s="70"/>
      <c r="B282" s="70"/>
      <c r="D282" s="154"/>
      <c r="O282" s="92"/>
      <c r="P282" s="110"/>
      <c r="Q282" s="110"/>
      <c r="R282" s="110"/>
      <c r="S282" s="110"/>
      <c r="T282" s="110"/>
      <c r="U282" s="110"/>
      <c r="V282" s="110"/>
      <c r="W282" s="110"/>
      <c r="X282" s="110"/>
      <c r="Y282" s="110"/>
      <c r="Z282" s="110"/>
    </row>
    <row r="283">
      <c r="A283" s="70"/>
      <c r="B283" s="70"/>
      <c r="D283" s="154"/>
      <c r="O283" s="92"/>
      <c r="P283" s="110"/>
      <c r="Q283" s="110"/>
      <c r="R283" s="110"/>
      <c r="S283" s="110"/>
      <c r="T283" s="110"/>
      <c r="U283" s="110"/>
      <c r="V283" s="110"/>
      <c r="W283" s="110"/>
      <c r="X283" s="110"/>
      <c r="Y283" s="110"/>
      <c r="Z283" s="110"/>
    </row>
    <row r="284">
      <c r="A284" s="70"/>
      <c r="B284" s="70"/>
      <c r="D284" s="154"/>
      <c r="O284" s="92"/>
      <c r="P284" s="110"/>
      <c r="Q284" s="110"/>
      <c r="R284" s="110"/>
      <c r="S284" s="110"/>
      <c r="T284" s="110"/>
      <c r="U284" s="110"/>
      <c r="V284" s="110"/>
      <c r="W284" s="110"/>
      <c r="X284" s="110"/>
      <c r="Y284" s="110"/>
      <c r="Z284" s="110"/>
    </row>
    <row r="285">
      <c r="A285" s="70"/>
      <c r="B285" s="70"/>
      <c r="D285" s="154"/>
      <c r="O285" s="92"/>
      <c r="P285" s="110"/>
      <c r="Q285" s="110"/>
      <c r="R285" s="110"/>
      <c r="S285" s="110"/>
      <c r="T285" s="110"/>
      <c r="U285" s="110"/>
      <c r="V285" s="110"/>
      <c r="W285" s="110"/>
      <c r="X285" s="110"/>
      <c r="Y285" s="110"/>
      <c r="Z285" s="110"/>
    </row>
    <row r="286">
      <c r="A286" s="70"/>
      <c r="B286" s="70"/>
      <c r="D286" s="154"/>
      <c r="O286" s="92"/>
      <c r="P286" s="110"/>
      <c r="Q286" s="110"/>
      <c r="R286" s="110"/>
      <c r="S286" s="110"/>
      <c r="T286" s="110"/>
      <c r="U286" s="110"/>
      <c r="V286" s="110"/>
      <c r="W286" s="110"/>
      <c r="X286" s="110"/>
      <c r="Y286" s="110"/>
      <c r="Z286" s="110"/>
    </row>
    <row r="287">
      <c r="A287" s="70"/>
      <c r="B287" s="70"/>
      <c r="D287" s="154"/>
      <c r="O287" s="92"/>
      <c r="P287" s="110"/>
      <c r="Q287" s="110"/>
      <c r="R287" s="110"/>
      <c r="S287" s="110"/>
      <c r="T287" s="110"/>
      <c r="U287" s="110"/>
      <c r="V287" s="110"/>
      <c r="W287" s="110"/>
      <c r="X287" s="110"/>
      <c r="Y287" s="110"/>
      <c r="Z287" s="110"/>
    </row>
    <row r="288">
      <c r="A288" s="70"/>
      <c r="B288" s="70"/>
      <c r="D288" s="154"/>
      <c r="O288" s="92"/>
      <c r="P288" s="110"/>
      <c r="Q288" s="110"/>
      <c r="R288" s="110"/>
      <c r="S288" s="110"/>
      <c r="T288" s="110"/>
      <c r="U288" s="110"/>
      <c r="V288" s="110"/>
      <c r="W288" s="110"/>
      <c r="X288" s="110"/>
      <c r="Y288" s="110"/>
      <c r="Z288" s="110"/>
    </row>
    <row r="289">
      <c r="A289" s="70"/>
      <c r="B289" s="70"/>
      <c r="D289" s="154"/>
      <c r="O289" s="92"/>
      <c r="P289" s="110"/>
      <c r="Q289" s="110"/>
      <c r="R289" s="110"/>
      <c r="S289" s="110"/>
      <c r="T289" s="110"/>
      <c r="U289" s="110"/>
      <c r="V289" s="110"/>
      <c r="W289" s="110"/>
      <c r="X289" s="110"/>
      <c r="Y289" s="110"/>
      <c r="Z289" s="110"/>
    </row>
    <row r="290">
      <c r="A290" s="70"/>
      <c r="B290" s="70"/>
      <c r="D290" s="154"/>
      <c r="O290" s="92"/>
      <c r="P290" s="110"/>
      <c r="Q290" s="110"/>
      <c r="R290" s="110"/>
      <c r="S290" s="110"/>
      <c r="T290" s="110"/>
      <c r="U290" s="110"/>
      <c r="V290" s="110"/>
      <c r="W290" s="110"/>
      <c r="X290" s="110"/>
      <c r="Y290" s="110"/>
      <c r="Z290" s="110"/>
    </row>
    <row r="291">
      <c r="A291" s="70"/>
      <c r="B291" s="70"/>
      <c r="D291" s="154"/>
      <c r="O291" s="92"/>
      <c r="P291" s="110"/>
      <c r="Q291" s="110"/>
      <c r="R291" s="110"/>
      <c r="S291" s="110"/>
      <c r="T291" s="110"/>
      <c r="U291" s="110"/>
      <c r="V291" s="110"/>
      <c r="W291" s="110"/>
      <c r="X291" s="110"/>
      <c r="Y291" s="110"/>
      <c r="Z291" s="110"/>
    </row>
    <row r="292">
      <c r="A292" s="70"/>
      <c r="B292" s="70"/>
      <c r="D292" s="154"/>
      <c r="O292" s="92"/>
      <c r="P292" s="110"/>
      <c r="Q292" s="110"/>
      <c r="R292" s="110"/>
      <c r="S292" s="110"/>
      <c r="T292" s="110"/>
      <c r="U292" s="110"/>
      <c r="V292" s="110"/>
      <c r="W292" s="110"/>
      <c r="X292" s="110"/>
      <c r="Y292" s="110"/>
      <c r="Z292" s="110"/>
    </row>
    <row r="293">
      <c r="A293" s="70"/>
      <c r="B293" s="70"/>
      <c r="D293" s="154"/>
      <c r="O293" s="92"/>
      <c r="P293" s="110"/>
      <c r="Q293" s="110"/>
      <c r="R293" s="110"/>
      <c r="S293" s="110"/>
      <c r="T293" s="110"/>
      <c r="U293" s="110"/>
      <c r="V293" s="110"/>
      <c r="W293" s="110"/>
      <c r="X293" s="110"/>
      <c r="Y293" s="110"/>
      <c r="Z293" s="110"/>
    </row>
    <row r="294">
      <c r="A294" s="70"/>
      <c r="B294" s="70"/>
      <c r="D294" s="154"/>
      <c r="O294" s="92"/>
      <c r="P294" s="110"/>
      <c r="Q294" s="110"/>
      <c r="R294" s="110"/>
      <c r="S294" s="110"/>
      <c r="T294" s="110"/>
      <c r="U294" s="110"/>
      <c r="V294" s="110"/>
      <c r="W294" s="110"/>
      <c r="X294" s="110"/>
      <c r="Y294" s="110"/>
      <c r="Z294" s="110"/>
    </row>
    <row r="295">
      <c r="A295" s="70"/>
      <c r="B295" s="70"/>
      <c r="D295" s="154"/>
      <c r="O295" s="92"/>
      <c r="P295" s="110"/>
      <c r="Q295" s="110"/>
      <c r="R295" s="110"/>
      <c r="S295" s="110"/>
      <c r="T295" s="110"/>
      <c r="U295" s="110"/>
      <c r="V295" s="110"/>
      <c r="W295" s="110"/>
      <c r="X295" s="110"/>
      <c r="Y295" s="110"/>
      <c r="Z295" s="110"/>
    </row>
    <row r="296">
      <c r="A296" s="70"/>
      <c r="B296" s="70"/>
      <c r="D296" s="154"/>
      <c r="O296" s="92"/>
      <c r="P296" s="110"/>
      <c r="Q296" s="110"/>
      <c r="R296" s="110"/>
      <c r="S296" s="110"/>
      <c r="T296" s="110"/>
      <c r="U296" s="110"/>
      <c r="V296" s="110"/>
      <c r="W296" s="110"/>
      <c r="X296" s="110"/>
      <c r="Y296" s="110"/>
      <c r="Z296" s="110"/>
    </row>
    <row r="297">
      <c r="A297" s="70"/>
      <c r="B297" s="70"/>
      <c r="D297" s="154"/>
      <c r="O297" s="92"/>
      <c r="P297" s="110"/>
      <c r="Q297" s="110"/>
      <c r="R297" s="110"/>
      <c r="S297" s="110"/>
      <c r="T297" s="110"/>
      <c r="U297" s="110"/>
      <c r="V297" s="110"/>
      <c r="W297" s="110"/>
      <c r="X297" s="110"/>
      <c r="Y297" s="110"/>
      <c r="Z297" s="110"/>
    </row>
    <row r="298">
      <c r="A298" s="70"/>
      <c r="B298" s="70"/>
      <c r="D298" s="154"/>
      <c r="O298" s="92"/>
      <c r="P298" s="110"/>
      <c r="Q298" s="110"/>
      <c r="R298" s="110"/>
      <c r="S298" s="110"/>
      <c r="T298" s="110"/>
      <c r="U298" s="110"/>
      <c r="V298" s="110"/>
      <c r="W298" s="110"/>
      <c r="X298" s="110"/>
      <c r="Y298" s="110"/>
      <c r="Z298" s="110"/>
    </row>
    <row r="299">
      <c r="A299" s="70"/>
      <c r="B299" s="70"/>
      <c r="D299" s="154"/>
      <c r="O299" s="92"/>
      <c r="P299" s="110"/>
      <c r="Q299" s="110"/>
      <c r="R299" s="110"/>
      <c r="S299" s="110"/>
      <c r="T299" s="110"/>
      <c r="U299" s="110"/>
      <c r="V299" s="110"/>
      <c r="W299" s="110"/>
      <c r="X299" s="110"/>
      <c r="Y299" s="110"/>
      <c r="Z299" s="110"/>
    </row>
    <row r="300">
      <c r="A300" s="70"/>
      <c r="B300" s="70"/>
      <c r="D300" s="154"/>
      <c r="O300" s="92"/>
      <c r="P300" s="110"/>
      <c r="Q300" s="110"/>
      <c r="R300" s="110"/>
      <c r="S300" s="110"/>
      <c r="T300" s="110"/>
      <c r="U300" s="110"/>
      <c r="V300" s="110"/>
      <c r="W300" s="110"/>
      <c r="X300" s="110"/>
      <c r="Y300" s="110"/>
      <c r="Z300" s="110"/>
    </row>
    <row r="301">
      <c r="A301" s="70"/>
      <c r="B301" s="70"/>
      <c r="D301" s="154"/>
      <c r="O301" s="92"/>
      <c r="P301" s="110"/>
      <c r="Q301" s="110"/>
      <c r="R301" s="110"/>
      <c r="S301" s="110"/>
      <c r="T301" s="110"/>
      <c r="U301" s="110"/>
      <c r="V301" s="110"/>
      <c r="W301" s="110"/>
      <c r="X301" s="110"/>
      <c r="Y301" s="110"/>
      <c r="Z301" s="110"/>
    </row>
    <row r="302">
      <c r="A302" s="70"/>
      <c r="B302" s="70"/>
      <c r="D302" s="154"/>
      <c r="O302" s="92"/>
      <c r="P302" s="110"/>
      <c r="Q302" s="110"/>
      <c r="R302" s="110"/>
      <c r="S302" s="110"/>
      <c r="T302" s="110"/>
      <c r="U302" s="110"/>
      <c r="V302" s="110"/>
      <c r="W302" s="110"/>
      <c r="X302" s="110"/>
      <c r="Y302" s="110"/>
      <c r="Z302" s="110"/>
    </row>
    <row r="303">
      <c r="A303" s="70"/>
      <c r="B303" s="70"/>
      <c r="D303" s="154"/>
      <c r="O303" s="92"/>
      <c r="P303" s="110"/>
      <c r="Q303" s="110"/>
      <c r="R303" s="110"/>
      <c r="S303" s="110"/>
      <c r="T303" s="110"/>
      <c r="U303" s="110"/>
      <c r="V303" s="110"/>
      <c r="W303" s="110"/>
      <c r="X303" s="110"/>
      <c r="Y303" s="110"/>
      <c r="Z303" s="110"/>
    </row>
    <row r="304">
      <c r="A304" s="70"/>
      <c r="B304" s="70"/>
      <c r="D304" s="154"/>
      <c r="O304" s="92"/>
      <c r="P304" s="110"/>
      <c r="Q304" s="110"/>
      <c r="R304" s="110"/>
      <c r="S304" s="110"/>
      <c r="T304" s="110"/>
      <c r="U304" s="110"/>
      <c r="V304" s="110"/>
      <c r="W304" s="110"/>
      <c r="X304" s="110"/>
      <c r="Y304" s="110"/>
      <c r="Z304" s="110"/>
    </row>
    <row r="305">
      <c r="A305" s="70"/>
      <c r="B305" s="70"/>
      <c r="D305" s="154"/>
      <c r="O305" s="92"/>
      <c r="P305" s="110"/>
      <c r="Q305" s="110"/>
      <c r="R305" s="110"/>
      <c r="S305" s="110"/>
      <c r="T305" s="110"/>
      <c r="U305" s="110"/>
      <c r="V305" s="110"/>
      <c r="W305" s="110"/>
      <c r="X305" s="110"/>
      <c r="Y305" s="110"/>
      <c r="Z305" s="110"/>
    </row>
    <row r="306">
      <c r="A306" s="70"/>
      <c r="B306" s="70"/>
      <c r="D306" s="154"/>
      <c r="O306" s="92"/>
      <c r="P306" s="110"/>
      <c r="Q306" s="110"/>
      <c r="R306" s="110"/>
      <c r="S306" s="110"/>
      <c r="T306" s="110"/>
      <c r="U306" s="110"/>
      <c r="V306" s="110"/>
      <c r="W306" s="110"/>
      <c r="X306" s="110"/>
      <c r="Y306" s="110"/>
      <c r="Z306" s="110"/>
    </row>
    <row r="307">
      <c r="A307" s="70"/>
      <c r="B307" s="70"/>
      <c r="D307" s="154"/>
      <c r="O307" s="92"/>
      <c r="P307" s="110"/>
      <c r="Q307" s="110"/>
      <c r="R307" s="110"/>
      <c r="S307" s="110"/>
      <c r="T307" s="110"/>
      <c r="U307" s="110"/>
      <c r="V307" s="110"/>
      <c r="W307" s="110"/>
      <c r="X307" s="110"/>
      <c r="Y307" s="110"/>
      <c r="Z307" s="110"/>
    </row>
    <row r="308">
      <c r="A308" s="70"/>
      <c r="B308" s="70"/>
      <c r="D308" s="154"/>
      <c r="O308" s="92"/>
      <c r="P308" s="110"/>
      <c r="Q308" s="110"/>
      <c r="R308" s="110"/>
      <c r="S308" s="110"/>
      <c r="T308" s="110"/>
      <c r="U308" s="110"/>
      <c r="V308" s="110"/>
      <c r="W308" s="110"/>
      <c r="X308" s="110"/>
      <c r="Y308" s="110"/>
      <c r="Z308" s="110"/>
    </row>
    <row r="309">
      <c r="A309" s="70"/>
      <c r="B309" s="70"/>
      <c r="D309" s="154"/>
      <c r="O309" s="92"/>
      <c r="P309" s="110"/>
      <c r="Q309" s="110"/>
      <c r="R309" s="110"/>
      <c r="S309" s="110"/>
      <c r="T309" s="110"/>
      <c r="U309" s="110"/>
      <c r="V309" s="110"/>
      <c r="W309" s="110"/>
      <c r="X309" s="110"/>
      <c r="Y309" s="110"/>
      <c r="Z309" s="110"/>
    </row>
    <row r="310">
      <c r="A310" s="70"/>
      <c r="B310" s="70"/>
      <c r="D310" s="154"/>
      <c r="O310" s="92"/>
      <c r="P310" s="110"/>
      <c r="Q310" s="110"/>
      <c r="R310" s="110"/>
      <c r="S310" s="110"/>
      <c r="T310" s="110"/>
      <c r="U310" s="110"/>
      <c r="V310" s="110"/>
      <c r="W310" s="110"/>
      <c r="X310" s="110"/>
      <c r="Y310" s="110"/>
      <c r="Z310" s="110"/>
    </row>
    <row r="311">
      <c r="A311" s="70"/>
      <c r="B311" s="70"/>
      <c r="D311" s="154"/>
      <c r="O311" s="92"/>
      <c r="P311" s="110"/>
      <c r="Q311" s="110"/>
      <c r="R311" s="110"/>
      <c r="S311" s="110"/>
      <c r="T311" s="110"/>
      <c r="U311" s="110"/>
      <c r="V311" s="110"/>
      <c r="W311" s="110"/>
      <c r="X311" s="110"/>
      <c r="Y311" s="110"/>
      <c r="Z311" s="110"/>
    </row>
    <row r="312">
      <c r="A312" s="70"/>
      <c r="B312" s="70"/>
      <c r="D312" s="154"/>
      <c r="O312" s="92"/>
      <c r="P312" s="110"/>
      <c r="Q312" s="110"/>
      <c r="R312" s="110"/>
      <c r="S312" s="110"/>
      <c r="T312" s="110"/>
      <c r="U312" s="110"/>
      <c r="V312" s="110"/>
      <c r="W312" s="110"/>
      <c r="X312" s="110"/>
      <c r="Y312" s="110"/>
      <c r="Z312" s="110"/>
    </row>
    <row r="313">
      <c r="A313" s="70"/>
      <c r="B313" s="70"/>
      <c r="D313" s="154"/>
      <c r="O313" s="92"/>
      <c r="P313" s="110"/>
      <c r="Q313" s="110"/>
      <c r="R313" s="110"/>
      <c r="S313" s="110"/>
      <c r="T313" s="110"/>
      <c r="U313" s="110"/>
      <c r="V313" s="110"/>
      <c r="W313" s="110"/>
      <c r="X313" s="110"/>
      <c r="Y313" s="110"/>
      <c r="Z313" s="110"/>
    </row>
    <row r="314">
      <c r="A314" s="70"/>
      <c r="B314" s="70"/>
      <c r="D314" s="154"/>
      <c r="O314" s="92"/>
      <c r="P314" s="110"/>
      <c r="Q314" s="110"/>
      <c r="R314" s="110"/>
      <c r="S314" s="110"/>
      <c r="T314" s="110"/>
      <c r="U314" s="110"/>
      <c r="V314" s="110"/>
      <c r="W314" s="110"/>
      <c r="X314" s="110"/>
      <c r="Y314" s="110"/>
      <c r="Z314" s="110"/>
    </row>
    <row r="315">
      <c r="A315" s="70"/>
      <c r="B315" s="70"/>
      <c r="D315" s="154"/>
      <c r="O315" s="92"/>
      <c r="P315" s="110"/>
      <c r="Q315" s="110"/>
      <c r="R315" s="110"/>
      <c r="S315" s="110"/>
      <c r="T315" s="110"/>
      <c r="U315" s="110"/>
      <c r="V315" s="110"/>
      <c r="W315" s="110"/>
      <c r="X315" s="110"/>
      <c r="Y315" s="110"/>
      <c r="Z315" s="110"/>
    </row>
    <row r="316">
      <c r="A316" s="70"/>
      <c r="B316" s="70"/>
      <c r="D316" s="154"/>
      <c r="O316" s="92"/>
      <c r="P316" s="110"/>
      <c r="Q316" s="110"/>
      <c r="R316" s="110"/>
      <c r="S316" s="110"/>
      <c r="T316" s="110"/>
      <c r="U316" s="110"/>
      <c r="V316" s="110"/>
      <c r="W316" s="110"/>
      <c r="X316" s="110"/>
      <c r="Y316" s="110"/>
      <c r="Z316" s="110"/>
    </row>
    <row r="317">
      <c r="A317" s="70"/>
      <c r="B317" s="70"/>
      <c r="D317" s="154"/>
      <c r="O317" s="92"/>
      <c r="P317" s="110"/>
      <c r="Q317" s="110"/>
      <c r="R317" s="110"/>
      <c r="S317" s="110"/>
      <c r="T317" s="110"/>
      <c r="U317" s="110"/>
      <c r="V317" s="110"/>
      <c r="W317" s="110"/>
      <c r="X317" s="110"/>
      <c r="Y317" s="110"/>
      <c r="Z317" s="110"/>
    </row>
    <row r="318">
      <c r="A318" s="70"/>
      <c r="B318" s="70"/>
      <c r="D318" s="154"/>
      <c r="O318" s="92"/>
      <c r="P318" s="110"/>
      <c r="Q318" s="110"/>
      <c r="R318" s="110"/>
      <c r="S318" s="110"/>
      <c r="T318" s="110"/>
      <c r="U318" s="110"/>
      <c r="V318" s="110"/>
      <c r="W318" s="110"/>
      <c r="X318" s="110"/>
      <c r="Y318" s="110"/>
      <c r="Z318" s="110"/>
    </row>
    <row r="319">
      <c r="A319" s="70"/>
      <c r="B319" s="70"/>
      <c r="D319" s="154"/>
      <c r="O319" s="92"/>
      <c r="P319" s="110"/>
      <c r="Q319" s="110"/>
      <c r="R319" s="110"/>
      <c r="S319" s="110"/>
      <c r="T319" s="110"/>
      <c r="U319" s="110"/>
      <c r="V319" s="110"/>
      <c r="W319" s="110"/>
      <c r="X319" s="110"/>
      <c r="Y319" s="110"/>
      <c r="Z319" s="110"/>
    </row>
    <row r="320">
      <c r="A320" s="70"/>
      <c r="B320" s="70"/>
      <c r="D320" s="154"/>
      <c r="O320" s="92"/>
      <c r="P320" s="110"/>
      <c r="Q320" s="110"/>
      <c r="R320" s="110"/>
      <c r="S320" s="110"/>
      <c r="T320" s="110"/>
      <c r="U320" s="110"/>
      <c r="V320" s="110"/>
      <c r="W320" s="110"/>
      <c r="X320" s="110"/>
      <c r="Y320" s="110"/>
      <c r="Z320" s="110"/>
    </row>
    <row r="321">
      <c r="A321" s="70"/>
      <c r="B321" s="70"/>
      <c r="D321" s="154"/>
      <c r="O321" s="92"/>
      <c r="P321" s="110"/>
      <c r="Q321" s="110"/>
      <c r="R321" s="110"/>
      <c r="S321" s="110"/>
      <c r="T321" s="110"/>
      <c r="U321" s="110"/>
      <c r="V321" s="110"/>
      <c r="W321" s="110"/>
      <c r="X321" s="110"/>
      <c r="Y321" s="110"/>
      <c r="Z321" s="110"/>
    </row>
    <row r="322">
      <c r="A322" s="70"/>
      <c r="B322" s="70"/>
      <c r="D322" s="154"/>
      <c r="O322" s="92"/>
      <c r="P322" s="110"/>
      <c r="Q322" s="110"/>
      <c r="R322" s="110"/>
      <c r="S322" s="110"/>
      <c r="T322" s="110"/>
      <c r="U322" s="110"/>
      <c r="V322" s="110"/>
      <c r="W322" s="110"/>
      <c r="X322" s="110"/>
      <c r="Y322" s="110"/>
      <c r="Z322" s="110"/>
    </row>
    <row r="323">
      <c r="A323" s="70"/>
      <c r="B323" s="70"/>
      <c r="D323" s="154"/>
      <c r="O323" s="92"/>
      <c r="P323" s="110"/>
      <c r="Q323" s="110"/>
      <c r="R323" s="110"/>
      <c r="S323" s="110"/>
      <c r="T323" s="110"/>
      <c r="U323" s="110"/>
      <c r="V323" s="110"/>
      <c r="W323" s="110"/>
      <c r="X323" s="110"/>
      <c r="Y323" s="110"/>
      <c r="Z323" s="110"/>
    </row>
    <row r="324">
      <c r="A324" s="70"/>
      <c r="B324" s="70"/>
      <c r="D324" s="154"/>
      <c r="O324" s="92"/>
      <c r="P324" s="110"/>
      <c r="Q324" s="110"/>
      <c r="R324" s="110"/>
      <c r="S324" s="110"/>
      <c r="T324" s="110"/>
      <c r="U324" s="110"/>
      <c r="V324" s="110"/>
      <c r="W324" s="110"/>
      <c r="X324" s="110"/>
      <c r="Y324" s="110"/>
      <c r="Z324" s="110"/>
    </row>
    <row r="325">
      <c r="A325" s="70"/>
      <c r="B325" s="70"/>
      <c r="D325" s="154"/>
      <c r="O325" s="92"/>
      <c r="P325" s="110"/>
      <c r="Q325" s="110"/>
      <c r="R325" s="110"/>
      <c r="S325" s="110"/>
      <c r="T325" s="110"/>
      <c r="U325" s="110"/>
      <c r="V325" s="110"/>
      <c r="W325" s="110"/>
      <c r="X325" s="110"/>
      <c r="Y325" s="110"/>
      <c r="Z325" s="110"/>
    </row>
    <row r="326">
      <c r="A326" s="70"/>
      <c r="B326" s="70"/>
      <c r="D326" s="154"/>
      <c r="O326" s="92"/>
      <c r="P326" s="110"/>
      <c r="Q326" s="110"/>
      <c r="R326" s="110"/>
      <c r="S326" s="110"/>
      <c r="T326" s="110"/>
      <c r="U326" s="110"/>
      <c r="V326" s="110"/>
      <c r="W326" s="110"/>
      <c r="X326" s="110"/>
      <c r="Y326" s="110"/>
      <c r="Z326" s="110"/>
    </row>
    <row r="327">
      <c r="A327" s="70"/>
      <c r="B327" s="70"/>
      <c r="D327" s="154"/>
      <c r="O327" s="92"/>
      <c r="P327" s="110"/>
      <c r="Q327" s="110"/>
      <c r="R327" s="110"/>
      <c r="S327" s="110"/>
      <c r="T327" s="110"/>
      <c r="U327" s="110"/>
      <c r="V327" s="110"/>
      <c r="W327" s="110"/>
      <c r="X327" s="110"/>
      <c r="Y327" s="110"/>
      <c r="Z327" s="110"/>
    </row>
    <row r="328">
      <c r="A328" s="70"/>
      <c r="B328" s="70"/>
      <c r="D328" s="154"/>
      <c r="O328" s="92"/>
      <c r="P328" s="110"/>
      <c r="Q328" s="110"/>
      <c r="R328" s="110"/>
      <c r="S328" s="110"/>
      <c r="T328" s="110"/>
      <c r="U328" s="110"/>
      <c r="V328" s="110"/>
      <c r="W328" s="110"/>
      <c r="X328" s="110"/>
      <c r="Y328" s="110"/>
      <c r="Z328" s="110"/>
    </row>
    <row r="329">
      <c r="A329" s="70"/>
      <c r="B329" s="70"/>
      <c r="D329" s="154"/>
      <c r="O329" s="92"/>
      <c r="P329" s="110"/>
      <c r="Q329" s="110"/>
      <c r="R329" s="110"/>
      <c r="S329" s="110"/>
      <c r="T329" s="110"/>
      <c r="U329" s="110"/>
      <c r="V329" s="110"/>
      <c r="W329" s="110"/>
      <c r="X329" s="110"/>
      <c r="Y329" s="110"/>
      <c r="Z329" s="110"/>
    </row>
    <row r="330">
      <c r="A330" s="70"/>
      <c r="B330" s="70"/>
      <c r="D330" s="154"/>
      <c r="O330" s="92"/>
      <c r="P330" s="110"/>
      <c r="Q330" s="110"/>
      <c r="R330" s="110"/>
      <c r="S330" s="110"/>
      <c r="T330" s="110"/>
      <c r="U330" s="110"/>
      <c r="V330" s="110"/>
      <c r="W330" s="110"/>
      <c r="X330" s="110"/>
      <c r="Y330" s="110"/>
      <c r="Z330" s="110"/>
    </row>
    <row r="331">
      <c r="A331" s="70"/>
      <c r="B331" s="70"/>
      <c r="D331" s="154"/>
      <c r="O331" s="92"/>
      <c r="P331" s="110"/>
      <c r="Q331" s="110"/>
      <c r="R331" s="110"/>
      <c r="S331" s="110"/>
      <c r="T331" s="110"/>
      <c r="U331" s="110"/>
      <c r="V331" s="110"/>
      <c r="W331" s="110"/>
      <c r="X331" s="110"/>
      <c r="Y331" s="110"/>
      <c r="Z331" s="110"/>
    </row>
    <row r="332">
      <c r="A332" s="70"/>
      <c r="B332" s="70"/>
      <c r="D332" s="154"/>
      <c r="O332" s="92"/>
      <c r="P332" s="110"/>
      <c r="Q332" s="110"/>
      <c r="R332" s="110"/>
      <c r="S332" s="110"/>
      <c r="T332" s="110"/>
      <c r="U332" s="110"/>
      <c r="V332" s="110"/>
      <c r="W332" s="110"/>
      <c r="X332" s="110"/>
      <c r="Y332" s="110"/>
      <c r="Z332" s="110"/>
    </row>
    <row r="333">
      <c r="A333" s="70"/>
      <c r="B333" s="70"/>
      <c r="D333" s="154"/>
      <c r="O333" s="92"/>
      <c r="P333" s="110"/>
      <c r="Q333" s="110"/>
      <c r="R333" s="110"/>
      <c r="S333" s="110"/>
      <c r="T333" s="110"/>
      <c r="U333" s="110"/>
      <c r="V333" s="110"/>
      <c r="W333" s="110"/>
      <c r="X333" s="110"/>
      <c r="Y333" s="110"/>
      <c r="Z333" s="110"/>
    </row>
    <row r="334">
      <c r="A334" s="70"/>
      <c r="B334" s="70"/>
      <c r="D334" s="154"/>
      <c r="O334" s="92"/>
      <c r="P334" s="110"/>
      <c r="Q334" s="110"/>
      <c r="R334" s="110"/>
      <c r="S334" s="110"/>
      <c r="T334" s="110"/>
      <c r="U334" s="110"/>
      <c r="V334" s="110"/>
      <c r="W334" s="110"/>
      <c r="X334" s="110"/>
      <c r="Y334" s="110"/>
      <c r="Z334" s="110"/>
    </row>
    <row r="335">
      <c r="A335" s="70"/>
      <c r="B335" s="70"/>
      <c r="D335" s="154"/>
      <c r="O335" s="92"/>
      <c r="P335" s="110"/>
      <c r="Q335" s="110"/>
      <c r="R335" s="110"/>
      <c r="S335" s="110"/>
      <c r="T335" s="110"/>
      <c r="U335" s="110"/>
      <c r="V335" s="110"/>
      <c r="W335" s="110"/>
      <c r="X335" s="110"/>
      <c r="Y335" s="110"/>
      <c r="Z335" s="110"/>
    </row>
    <row r="336">
      <c r="A336" s="70"/>
      <c r="B336" s="70"/>
      <c r="D336" s="154"/>
      <c r="O336" s="92"/>
      <c r="P336" s="110"/>
      <c r="Q336" s="110"/>
      <c r="R336" s="110"/>
      <c r="S336" s="110"/>
      <c r="T336" s="110"/>
      <c r="U336" s="110"/>
      <c r="V336" s="110"/>
      <c r="W336" s="110"/>
      <c r="X336" s="110"/>
      <c r="Y336" s="110"/>
      <c r="Z336" s="110"/>
    </row>
    <row r="337">
      <c r="A337" s="70"/>
      <c r="B337" s="70"/>
      <c r="D337" s="154"/>
      <c r="O337" s="92"/>
      <c r="P337" s="110"/>
      <c r="Q337" s="110"/>
      <c r="R337" s="110"/>
      <c r="S337" s="110"/>
      <c r="T337" s="110"/>
      <c r="U337" s="110"/>
      <c r="V337" s="110"/>
      <c r="W337" s="110"/>
      <c r="X337" s="110"/>
      <c r="Y337" s="110"/>
      <c r="Z337" s="110"/>
    </row>
    <row r="338">
      <c r="A338" s="70"/>
      <c r="B338" s="70"/>
      <c r="D338" s="154"/>
      <c r="O338" s="92"/>
      <c r="P338" s="110"/>
      <c r="Q338" s="110"/>
      <c r="R338" s="110"/>
      <c r="S338" s="110"/>
      <c r="T338" s="110"/>
      <c r="U338" s="110"/>
      <c r="V338" s="110"/>
      <c r="W338" s="110"/>
      <c r="X338" s="110"/>
      <c r="Y338" s="110"/>
      <c r="Z338" s="110"/>
    </row>
    <row r="339">
      <c r="A339" s="70"/>
      <c r="B339" s="70"/>
      <c r="D339" s="154"/>
      <c r="O339" s="92"/>
      <c r="P339" s="110"/>
      <c r="Q339" s="110"/>
      <c r="R339" s="110"/>
      <c r="S339" s="110"/>
      <c r="T339" s="110"/>
      <c r="U339" s="110"/>
      <c r="V339" s="110"/>
      <c r="W339" s="110"/>
      <c r="X339" s="110"/>
      <c r="Y339" s="110"/>
      <c r="Z339" s="110"/>
    </row>
    <row r="340">
      <c r="A340" s="70"/>
      <c r="B340" s="70"/>
      <c r="D340" s="154"/>
      <c r="O340" s="92"/>
      <c r="P340" s="110"/>
      <c r="Q340" s="110"/>
      <c r="R340" s="110"/>
      <c r="S340" s="110"/>
      <c r="T340" s="110"/>
      <c r="U340" s="110"/>
      <c r="V340" s="110"/>
      <c r="W340" s="110"/>
      <c r="X340" s="110"/>
      <c r="Y340" s="110"/>
      <c r="Z340" s="110"/>
    </row>
    <row r="341">
      <c r="A341" s="70"/>
      <c r="B341" s="70"/>
      <c r="D341" s="154"/>
      <c r="O341" s="92"/>
      <c r="P341" s="110"/>
      <c r="Q341" s="110"/>
      <c r="R341" s="110"/>
      <c r="S341" s="110"/>
      <c r="T341" s="110"/>
      <c r="U341" s="110"/>
      <c r="V341" s="110"/>
      <c r="W341" s="110"/>
      <c r="X341" s="110"/>
      <c r="Y341" s="110"/>
      <c r="Z341" s="110"/>
    </row>
    <row r="342">
      <c r="A342" s="70"/>
      <c r="B342" s="70"/>
      <c r="D342" s="154"/>
      <c r="O342" s="92"/>
      <c r="P342" s="110"/>
      <c r="Q342" s="110"/>
      <c r="R342" s="110"/>
      <c r="S342" s="110"/>
      <c r="T342" s="110"/>
      <c r="U342" s="110"/>
      <c r="V342" s="110"/>
      <c r="W342" s="110"/>
      <c r="X342" s="110"/>
      <c r="Y342" s="110"/>
      <c r="Z342" s="110"/>
    </row>
    <row r="343">
      <c r="A343" s="70"/>
      <c r="B343" s="70"/>
      <c r="D343" s="154"/>
      <c r="O343" s="92"/>
      <c r="P343" s="110"/>
      <c r="Q343" s="110"/>
      <c r="R343" s="110"/>
      <c r="S343" s="110"/>
      <c r="T343" s="110"/>
      <c r="U343" s="110"/>
      <c r="V343" s="110"/>
      <c r="W343" s="110"/>
      <c r="X343" s="110"/>
      <c r="Y343" s="110"/>
      <c r="Z343" s="110"/>
    </row>
    <row r="344">
      <c r="A344" s="70"/>
      <c r="B344" s="70"/>
      <c r="D344" s="154"/>
      <c r="O344" s="92"/>
      <c r="P344" s="110"/>
      <c r="Q344" s="110"/>
      <c r="R344" s="110"/>
      <c r="S344" s="110"/>
      <c r="T344" s="110"/>
      <c r="U344" s="110"/>
      <c r="V344" s="110"/>
      <c r="W344" s="110"/>
      <c r="X344" s="110"/>
      <c r="Y344" s="110"/>
      <c r="Z344" s="110"/>
    </row>
    <row r="345">
      <c r="A345" s="70"/>
      <c r="B345" s="70"/>
      <c r="D345" s="154"/>
      <c r="O345" s="92"/>
      <c r="P345" s="110"/>
      <c r="Q345" s="110"/>
      <c r="R345" s="110"/>
      <c r="S345" s="110"/>
      <c r="T345" s="110"/>
      <c r="U345" s="110"/>
      <c r="V345" s="110"/>
      <c r="W345" s="110"/>
      <c r="X345" s="110"/>
      <c r="Y345" s="110"/>
      <c r="Z345" s="110"/>
    </row>
    <row r="346">
      <c r="A346" s="70"/>
      <c r="B346" s="70"/>
      <c r="D346" s="154"/>
      <c r="O346" s="92"/>
      <c r="P346" s="110"/>
      <c r="Q346" s="110"/>
      <c r="R346" s="110"/>
      <c r="S346" s="110"/>
      <c r="T346" s="110"/>
      <c r="U346" s="110"/>
      <c r="V346" s="110"/>
      <c r="W346" s="110"/>
      <c r="X346" s="110"/>
      <c r="Y346" s="110"/>
      <c r="Z346" s="110"/>
    </row>
    <row r="347">
      <c r="A347" s="70"/>
      <c r="B347" s="70"/>
      <c r="D347" s="154"/>
      <c r="O347" s="92"/>
      <c r="P347" s="110"/>
      <c r="Q347" s="110"/>
      <c r="R347" s="110"/>
      <c r="S347" s="110"/>
      <c r="T347" s="110"/>
      <c r="U347" s="110"/>
      <c r="V347" s="110"/>
      <c r="W347" s="110"/>
      <c r="X347" s="110"/>
      <c r="Y347" s="110"/>
      <c r="Z347" s="110"/>
    </row>
    <row r="348">
      <c r="A348" s="70"/>
      <c r="B348" s="70"/>
      <c r="D348" s="154"/>
      <c r="O348" s="92"/>
      <c r="P348" s="110"/>
      <c r="Q348" s="110"/>
      <c r="R348" s="110"/>
      <c r="S348" s="110"/>
      <c r="T348" s="110"/>
      <c r="U348" s="110"/>
      <c r="V348" s="110"/>
      <c r="W348" s="110"/>
      <c r="X348" s="110"/>
      <c r="Y348" s="110"/>
      <c r="Z348" s="110"/>
    </row>
    <row r="349">
      <c r="A349" s="70"/>
      <c r="B349" s="70"/>
      <c r="D349" s="154"/>
      <c r="O349" s="92"/>
      <c r="P349" s="110"/>
      <c r="Q349" s="110"/>
      <c r="R349" s="110"/>
      <c r="S349" s="110"/>
      <c r="T349" s="110"/>
      <c r="U349" s="110"/>
      <c r="V349" s="110"/>
      <c r="W349" s="110"/>
      <c r="X349" s="110"/>
      <c r="Y349" s="110"/>
      <c r="Z349" s="110"/>
    </row>
    <row r="350">
      <c r="A350" s="70"/>
      <c r="B350" s="70"/>
      <c r="D350" s="154"/>
      <c r="O350" s="92"/>
      <c r="P350" s="110"/>
      <c r="Q350" s="110"/>
      <c r="R350" s="110"/>
      <c r="S350" s="110"/>
      <c r="T350" s="110"/>
      <c r="U350" s="110"/>
      <c r="V350" s="110"/>
      <c r="W350" s="110"/>
      <c r="X350" s="110"/>
      <c r="Y350" s="110"/>
      <c r="Z350" s="110"/>
    </row>
    <row r="351">
      <c r="A351" s="70"/>
      <c r="B351" s="70"/>
      <c r="D351" s="154"/>
      <c r="O351" s="92"/>
      <c r="P351" s="110"/>
      <c r="Q351" s="110"/>
      <c r="R351" s="110"/>
      <c r="S351" s="110"/>
      <c r="T351" s="110"/>
      <c r="U351" s="110"/>
      <c r="V351" s="110"/>
      <c r="W351" s="110"/>
      <c r="X351" s="110"/>
      <c r="Y351" s="110"/>
      <c r="Z351" s="110"/>
    </row>
    <row r="352">
      <c r="A352" s="70"/>
      <c r="B352" s="70"/>
      <c r="D352" s="154"/>
      <c r="O352" s="92"/>
      <c r="P352" s="110"/>
      <c r="Q352" s="110"/>
      <c r="R352" s="110"/>
      <c r="S352" s="110"/>
      <c r="T352" s="110"/>
      <c r="U352" s="110"/>
      <c r="V352" s="110"/>
      <c r="W352" s="110"/>
      <c r="X352" s="110"/>
      <c r="Y352" s="110"/>
      <c r="Z352" s="110"/>
    </row>
    <row r="353">
      <c r="A353" s="70"/>
      <c r="B353" s="70"/>
      <c r="D353" s="154"/>
      <c r="O353" s="92"/>
      <c r="P353" s="110"/>
      <c r="Q353" s="110"/>
      <c r="R353" s="110"/>
      <c r="S353" s="110"/>
      <c r="T353" s="110"/>
      <c r="U353" s="110"/>
      <c r="V353" s="110"/>
      <c r="W353" s="110"/>
      <c r="X353" s="110"/>
      <c r="Y353" s="110"/>
      <c r="Z353" s="110"/>
    </row>
    <row r="354">
      <c r="A354" s="70"/>
      <c r="B354" s="70"/>
      <c r="D354" s="154"/>
      <c r="O354" s="92"/>
      <c r="P354" s="110"/>
      <c r="Q354" s="110"/>
      <c r="R354" s="110"/>
      <c r="S354" s="110"/>
      <c r="T354" s="110"/>
      <c r="U354" s="110"/>
      <c r="V354" s="110"/>
      <c r="W354" s="110"/>
      <c r="X354" s="110"/>
      <c r="Y354" s="110"/>
      <c r="Z354" s="110"/>
    </row>
    <row r="355">
      <c r="A355" s="70"/>
      <c r="B355" s="70"/>
      <c r="D355" s="154"/>
      <c r="O355" s="92"/>
      <c r="P355" s="110"/>
      <c r="Q355" s="110"/>
      <c r="R355" s="110"/>
      <c r="S355" s="110"/>
      <c r="T355" s="110"/>
      <c r="U355" s="110"/>
      <c r="V355" s="110"/>
      <c r="W355" s="110"/>
      <c r="X355" s="110"/>
      <c r="Y355" s="110"/>
      <c r="Z355" s="110"/>
    </row>
    <row r="356">
      <c r="A356" s="70"/>
      <c r="B356" s="70"/>
      <c r="D356" s="154"/>
      <c r="O356" s="92"/>
      <c r="P356" s="110"/>
      <c r="Q356" s="110"/>
      <c r="R356" s="110"/>
      <c r="S356" s="110"/>
      <c r="T356" s="110"/>
      <c r="U356" s="110"/>
      <c r="V356" s="110"/>
      <c r="W356" s="110"/>
      <c r="X356" s="110"/>
      <c r="Y356" s="110"/>
      <c r="Z356" s="110"/>
    </row>
    <row r="357">
      <c r="A357" s="70"/>
      <c r="B357" s="70"/>
      <c r="D357" s="154"/>
      <c r="O357" s="92"/>
      <c r="P357" s="110"/>
      <c r="Q357" s="110"/>
      <c r="R357" s="110"/>
      <c r="S357" s="110"/>
      <c r="T357" s="110"/>
      <c r="U357" s="110"/>
      <c r="V357" s="110"/>
      <c r="W357" s="110"/>
      <c r="X357" s="110"/>
      <c r="Y357" s="110"/>
      <c r="Z357" s="110"/>
    </row>
    <row r="358">
      <c r="A358" s="70"/>
      <c r="B358" s="70"/>
      <c r="D358" s="154"/>
      <c r="O358" s="92"/>
      <c r="P358" s="110"/>
      <c r="Q358" s="110"/>
      <c r="R358" s="110"/>
      <c r="S358" s="110"/>
      <c r="T358" s="110"/>
      <c r="U358" s="110"/>
      <c r="V358" s="110"/>
      <c r="W358" s="110"/>
      <c r="X358" s="110"/>
      <c r="Y358" s="110"/>
      <c r="Z358" s="110"/>
    </row>
    <row r="359">
      <c r="A359" s="70"/>
      <c r="B359" s="70"/>
      <c r="D359" s="154"/>
      <c r="O359" s="92"/>
      <c r="P359" s="110"/>
      <c r="Q359" s="110"/>
      <c r="R359" s="110"/>
      <c r="S359" s="110"/>
      <c r="T359" s="110"/>
      <c r="U359" s="110"/>
      <c r="V359" s="110"/>
      <c r="W359" s="110"/>
      <c r="X359" s="110"/>
      <c r="Y359" s="110"/>
      <c r="Z359" s="110"/>
    </row>
    <row r="360">
      <c r="A360" s="70"/>
      <c r="B360" s="70"/>
      <c r="D360" s="154"/>
      <c r="O360" s="92"/>
      <c r="P360" s="110"/>
      <c r="Q360" s="110"/>
      <c r="R360" s="110"/>
      <c r="S360" s="110"/>
      <c r="T360" s="110"/>
      <c r="U360" s="110"/>
      <c r="V360" s="110"/>
      <c r="W360" s="110"/>
      <c r="X360" s="110"/>
      <c r="Y360" s="110"/>
      <c r="Z360" s="110"/>
    </row>
    <row r="361">
      <c r="A361" s="70"/>
      <c r="B361" s="70"/>
      <c r="D361" s="154"/>
      <c r="O361" s="92"/>
      <c r="P361" s="110"/>
      <c r="Q361" s="110"/>
      <c r="R361" s="110"/>
      <c r="S361" s="110"/>
      <c r="T361" s="110"/>
      <c r="U361" s="110"/>
      <c r="V361" s="110"/>
      <c r="W361" s="110"/>
      <c r="X361" s="110"/>
      <c r="Y361" s="110"/>
      <c r="Z361" s="110"/>
    </row>
    <row r="362">
      <c r="A362" s="70"/>
      <c r="B362" s="70"/>
      <c r="D362" s="154"/>
      <c r="O362" s="92"/>
      <c r="P362" s="110"/>
      <c r="Q362" s="110"/>
      <c r="R362" s="110"/>
      <c r="S362" s="110"/>
      <c r="T362" s="110"/>
      <c r="U362" s="110"/>
      <c r="V362" s="110"/>
      <c r="W362" s="110"/>
      <c r="X362" s="110"/>
      <c r="Y362" s="110"/>
      <c r="Z362" s="110"/>
    </row>
    <row r="363">
      <c r="A363" s="70"/>
      <c r="B363" s="70"/>
      <c r="D363" s="154"/>
      <c r="O363" s="92"/>
      <c r="P363" s="110"/>
      <c r="Q363" s="110"/>
      <c r="R363" s="110"/>
      <c r="S363" s="110"/>
      <c r="T363" s="110"/>
      <c r="U363" s="110"/>
      <c r="V363" s="110"/>
      <c r="W363" s="110"/>
      <c r="X363" s="110"/>
      <c r="Y363" s="110"/>
      <c r="Z363" s="110"/>
    </row>
    <row r="364">
      <c r="A364" s="70"/>
      <c r="B364" s="70"/>
      <c r="D364" s="154"/>
      <c r="O364" s="92"/>
      <c r="P364" s="110"/>
      <c r="Q364" s="110"/>
      <c r="R364" s="110"/>
      <c r="S364" s="110"/>
      <c r="T364" s="110"/>
      <c r="U364" s="110"/>
      <c r="V364" s="110"/>
      <c r="W364" s="110"/>
      <c r="X364" s="110"/>
      <c r="Y364" s="110"/>
      <c r="Z364" s="110"/>
    </row>
    <row r="365">
      <c r="A365" s="70"/>
      <c r="B365" s="70"/>
      <c r="D365" s="154"/>
      <c r="O365" s="92"/>
      <c r="P365" s="110"/>
      <c r="Q365" s="110"/>
      <c r="R365" s="110"/>
      <c r="S365" s="110"/>
      <c r="T365" s="110"/>
      <c r="U365" s="110"/>
      <c r="V365" s="110"/>
      <c r="W365" s="110"/>
      <c r="X365" s="110"/>
      <c r="Y365" s="110"/>
      <c r="Z365" s="110"/>
    </row>
    <row r="366">
      <c r="A366" s="70"/>
      <c r="B366" s="70"/>
      <c r="D366" s="154"/>
      <c r="O366" s="92"/>
      <c r="P366" s="110"/>
      <c r="Q366" s="110"/>
      <c r="R366" s="110"/>
      <c r="S366" s="110"/>
      <c r="T366" s="110"/>
      <c r="U366" s="110"/>
      <c r="V366" s="110"/>
      <c r="W366" s="110"/>
      <c r="X366" s="110"/>
      <c r="Y366" s="110"/>
      <c r="Z366" s="110"/>
    </row>
    <row r="367">
      <c r="A367" s="70"/>
      <c r="B367" s="70"/>
      <c r="D367" s="154"/>
      <c r="O367" s="92"/>
      <c r="P367" s="110"/>
      <c r="Q367" s="110"/>
      <c r="R367" s="110"/>
      <c r="S367" s="110"/>
      <c r="T367" s="110"/>
      <c r="U367" s="110"/>
      <c r="V367" s="110"/>
      <c r="W367" s="110"/>
      <c r="X367" s="110"/>
      <c r="Y367" s="110"/>
      <c r="Z367" s="110"/>
    </row>
    <row r="368">
      <c r="A368" s="70"/>
      <c r="B368" s="70"/>
      <c r="D368" s="154"/>
      <c r="O368" s="92"/>
      <c r="P368" s="110"/>
      <c r="Q368" s="110"/>
      <c r="R368" s="110"/>
      <c r="S368" s="110"/>
      <c r="T368" s="110"/>
      <c r="U368" s="110"/>
      <c r="V368" s="110"/>
      <c r="W368" s="110"/>
      <c r="X368" s="110"/>
      <c r="Y368" s="110"/>
      <c r="Z368" s="110"/>
    </row>
    <row r="369">
      <c r="A369" s="70"/>
      <c r="B369" s="70"/>
      <c r="D369" s="154"/>
      <c r="O369" s="92"/>
      <c r="P369" s="110"/>
      <c r="Q369" s="110"/>
      <c r="R369" s="110"/>
      <c r="S369" s="110"/>
      <c r="T369" s="110"/>
      <c r="U369" s="110"/>
      <c r="V369" s="110"/>
      <c r="W369" s="110"/>
      <c r="X369" s="110"/>
      <c r="Y369" s="110"/>
      <c r="Z369" s="110"/>
    </row>
    <row r="370">
      <c r="A370" s="70"/>
      <c r="B370" s="70"/>
      <c r="D370" s="154"/>
      <c r="O370" s="92"/>
      <c r="P370" s="110"/>
      <c r="Q370" s="110"/>
      <c r="R370" s="110"/>
      <c r="S370" s="110"/>
      <c r="T370" s="110"/>
      <c r="U370" s="110"/>
      <c r="V370" s="110"/>
      <c r="W370" s="110"/>
      <c r="X370" s="110"/>
      <c r="Y370" s="110"/>
      <c r="Z370" s="110"/>
    </row>
    <row r="371">
      <c r="A371" s="70"/>
      <c r="B371" s="70"/>
      <c r="D371" s="154"/>
      <c r="O371" s="92"/>
      <c r="P371" s="110"/>
      <c r="Q371" s="110"/>
      <c r="R371" s="110"/>
      <c r="S371" s="110"/>
      <c r="T371" s="110"/>
      <c r="U371" s="110"/>
      <c r="V371" s="110"/>
      <c r="W371" s="110"/>
      <c r="X371" s="110"/>
      <c r="Y371" s="110"/>
      <c r="Z371" s="110"/>
    </row>
    <row r="372">
      <c r="A372" s="70"/>
      <c r="B372" s="70"/>
      <c r="D372" s="154"/>
      <c r="O372" s="92"/>
      <c r="P372" s="110"/>
      <c r="Q372" s="110"/>
      <c r="R372" s="110"/>
      <c r="S372" s="110"/>
      <c r="T372" s="110"/>
      <c r="U372" s="110"/>
      <c r="V372" s="110"/>
      <c r="W372" s="110"/>
      <c r="X372" s="110"/>
      <c r="Y372" s="110"/>
      <c r="Z372" s="110"/>
    </row>
    <row r="373">
      <c r="A373" s="70"/>
      <c r="B373" s="70"/>
      <c r="D373" s="154"/>
      <c r="O373" s="92"/>
      <c r="P373" s="110"/>
      <c r="Q373" s="110"/>
      <c r="R373" s="110"/>
      <c r="S373" s="110"/>
      <c r="T373" s="110"/>
      <c r="U373" s="110"/>
      <c r="V373" s="110"/>
      <c r="W373" s="110"/>
      <c r="X373" s="110"/>
      <c r="Y373" s="110"/>
      <c r="Z373" s="110"/>
    </row>
    <row r="374">
      <c r="A374" s="70"/>
      <c r="B374" s="70"/>
      <c r="D374" s="154"/>
      <c r="O374" s="92"/>
      <c r="P374" s="110"/>
      <c r="Q374" s="110"/>
      <c r="R374" s="110"/>
      <c r="S374" s="110"/>
      <c r="T374" s="110"/>
      <c r="U374" s="110"/>
      <c r="V374" s="110"/>
      <c r="W374" s="110"/>
      <c r="X374" s="110"/>
      <c r="Y374" s="110"/>
      <c r="Z374" s="110"/>
    </row>
    <row r="375">
      <c r="A375" s="70"/>
      <c r="B375" s="70"/>
      <c r="D375" s="154"/>
      <c r="O375" s="92"/>
      <c r="P375" s="110"/>
      <c r="Q375" s="110"/>
      <c r="R375" s="110"/>
      <c r="S375" s="110"/>
      <c r="T375" s="110"/>
      <c r="U375" s="110"/>
      <c r="V375" s="110"/>
      <c r="W375" s="110"/>
      <c r="X375" s="110"/>
      <c r="Y375" s="110"/>
      <c r="Z375" s="110"/>
    </row>
    <row r="376">
      <c r="A376" s="70"/>
      <c r="B376" s="70"/>
      <c r="D376" s="154"/>
      <c r="O376" s="92"/>
      <c r="P376" s="110"/>
      <c r="Q376" s="110"/>
      <c r="R376" s="110"/>
      <c r="S376" s="110"/>
      <c r="T376" s="110"/>
      <c r="U376" s="110"/>
      <c r="V376" s="110"/>
      <c r="W376" s="110"/>
      <c r="X376" s="110"/>
      <c r="Y376" s="110"/>
      <c r="Z376" s="110"/>
    </row>
    <row r="377">
      <c r="A377" s="70"/>
      <c r="B377" s="70"/>
      <c r="D377" s="154"/>
      <c r="O377" s="92"/>
      <c r="P377" s="110"/>
      <c r="Q377" s="110"/>
      <c r="R377" s="110"/>
      <c r="S377" s="110"/>
      <c r="T377" s="110"/>
      <c r="U377" s="110"/>
      <c r="V377" s="110"/>
      <c r="W377" s="110"/>
      <c r="X377" s="110"/>
      <c r="Y377" s="110"/>
      <c r="Z377" s="110"/>
    </row>
    <row r="378">
      <c r="A378" s="70"/>
      <c r="B378" s="70"/>
      <c r="D378" s="154"/>
      <c r="O378" s="92"/>
      <c r="P378" s="110"/>
      <c r="Q378" s="110"/>
      <c r="R378" s="110"/>
      <c r="S378" s="110"/>
      <c r="T378" s="110"/>
      <c r="U378" s="110"/>
      <c r="V378" s="110"/>
      <c r="W378" s="110"/>
      <c r="X378" s="110"/>
      <c r="Y378" s="110"/>
      <c r="Z378" s="110"/>
    </row>
    <row r="379">
      <c r="A379" s="70"/>
      <c r="B379" s="70"/>
      <c r="D379" s="154"/>
      <c r="O379" s="92"/>
      <c r="P379" s="110"/>
      <c r="Q379" s="110"/>
      <c r="R379" s="110"/>
      <c r="S379" s="110"/>
      <c r="T379" s="110"/>
      <c r="U379" s="110"/>
      <c r="V379" s="110"/>
      <c r="W379" s="110"/>
      <c r="X379" s="110"/>
      <c r="Y379" s="110"/>
      <c r="Z379" s="110"/>
    </row>
    <row r="380">
      <c r="A380" s="70"/>
      <c r="B380" s="70"/>
      <c r="D380" s="154"/>
      <c r="O380" s="92"/>
      <c r="P380" s="110"/>
      <c r="Q380" s="110"/>
      <c r="R380" s="110"/>
      <c r="S380" s="110"/>
      <c r="T380" s="110"/>
      <c r="U380" s="110"/>
      <c r="V380" s="110"/>
      <c r="W380" s="110"/>
      <c r="X380" s="110"/>
      <c r="Y380" s="110"/>
      <c r="Z380" s="110"/>
    </row>
    <row r="381">
      <c r="A381" s="70"/>
      <c r="B381" s="70"/>
      <c r="D381" s="154"/>
      <c r="O381" s="92"/>
      <c r="P381" s="110"/>
      <c r="Q381" s="110"/>
      <c r="R381" s="110"/>
      <c r="S381" s="110"/>
      <c r="T381" s="110"/>
      <c r="U381" s="110"/>
      <c r="V381" s="110"/>
      <c r="W381" s="110"/>
      <c r="X381" s="110"/>
      <c r="Y381" s="110"/>
      <c r="Z381" s="110"/>
    </row>
    <row r="382">
      <c r="A382" s="70"/>
      <c r="B382" s="70"/>
      <c r="D382" s="154"/>
      <c r="O382" s="92"/>
      <c r="P382" s="110"/>
      <c r="Q382" s="110"/>
      <c r="R382" s="110"/>
      <c r="S382" s="110"/>
      <c r="T382" s="110"/>
      <c r="U382" s="110"/>
      <c r="V382" s="110"/>
      <c r="W382" s="110"/>
      <c r="X382" s="110"/>
      <c r="Y382" s="110"/>
      <c r="Z382" s="110"/>
    </row>
    <row r="383">
      <c r="A383" s="70"/>
      <c r="B383" s="70"/>
      <c r="D383" s="154"/>
      <c r="O383" s="92"/>
      <c r="P383" s="110"/>
      <c r="Q383" s="110"/>
      <c r="R383" s="110"/>
      <c r="S383" s="110"/>
      <c r="T383" s="110"/>
      <c r="U383" s="110"/>
      <c r="V383" s="110"/>
      <c r="W383" s="110"/>
      <c r="X383" s="110"/>
      <c r="Y383" s="110"/>
      <c r="Z383" s="110"/>
    </row>
    <row r="384">
      <c r="A384" s="70"/>
      <c r="B384" s="70"/>
      <c r="D384" s="154"/>
      <c r="O384" s="92"/>
      <c r="P384" s="110"/>
      <c r="Q384" s="110"/>
      <c r="R384" s="110"/>
      <c r="S384" s="110"/>
      <c r="T384" s="110"/>
      <c r="U384" s="110"/>
      <c r="V384" s="110"/>
      <c r="W384" s="110"/>
      <c r="X384" s="110"/>
      <c r="Y384" s="110"/>
      <c r="Z384" s="110"/>
    </row>
    <row r="385">
      <c r="A385" s="70"/>
      <c r="B385" s="70"/>
      <c r="D385" s="154"/>
      <c r="O385" s="92"/>
      <c r="P385" s="110"/>
      <c r="Q385" s="110"/>
      <c r="R385" s="110"/>
      <c r="S385" s="110"/>
      <c r="T385" s="110"/>
      <c r="U385" s="110"/>
      <c r="V385" s="110"/>
      <c r="W385" s="110"/>
      <c r="X385" s="110"/>
      <c r="Y385" s="110"/>
      <c r="Z385" s="110"/>
    </row>
    <row r="386">
      <c r="A386" s="70"/>
      <c r="B386" s="70"/>
      <c r="D386" s="154"/>
      <c r="O386" s="92"/>
      <c r="P386" s="110"/>
      <c r="Q386" s="110"/>
      <c r="R386" s="110"/>
      <c r="S386" s="110"/>
      <c r="T386" s="110"/>
      <c r="U386" s="110"/>
      <c r="V386" s="110"/>
      <c r="W386" s="110"/>
      <c r="X386" s="110"/>
      <c r="Y386" s="110"/>
      <c r="Z386" s="110"/>
    </row>
    <row r="387">
      <c r="A387" s="70"/>
      <c r="B387" s="70"/>
      <c r="D387" s="154"/>
      <c r="O387" s="92"/>
      <c r="P387" s="110"/>
      <c r="Q387" s="110"/>
      <c r="R387" s="110"/>
      <c r="S387" s="110"/>
      <c r="T387" s="110"/>
      <c r="U387" s="110"/>
      <c r="V387" s="110"/>
      <c r="W387" s="110"/>
      <c r="X387" s="110"/>
      <c r="Y387" s="110"/>
      <c r="Z387" s="110"/>
    </row>
    <row r="388">
      <c r="A388" s="70"/>
      <c r="B388" s="70"/>
      <c r="D388" s="154"/>
      <c r="O388" s="92"/>
      <c r="P388" s="110"/>
      <c r="Q388" s="110"/>
      <c r="R388" s="110"/>
      <c r="S388" s="110"/>
      <c r="T388" s="110"/>
      <c r="U388" s="110"/>
      <c r="V388" s="110"/>
      <c r="W388" s="110"/>
      <c r="X388" s="110"/>
      <c r="Y388" s="110"/>
      <c r="Z388" s="110"/>
    </row>
    <row r="389">
      <c r="A389" s="70"/>
      <c r="B389" s="70"/>
      <c r="D389" s="154"/>
      <c r="O389" s="92"/>
      <c r="P389" s="110"/>
      <c r="Q389" s="110"/>
      <c r="R389" s="110"/>
      <c r="S389" s="110"/>
      <c r="T389" s="110"/>
      <c r="U389" s="110"/>
      <c r="V389" s="110"/>
      <c r="W389" s="110"/>
      <c r="X389" s="110"/>
      <c r="Y389" s="110"/>
      <c r="Z389" s="110"/>
    </row>
    <row r="390">
      <c r="A390" s="70"/>
      <c r="B390" s="70"/>
      <c r="D390" s="154"/>
      <c r="O390" s="92"/>
      <c r="P390" s="110"/>
      <c r="Q390" s="110"/>
      <c r="R390" s="110"/>
      <c r="S390" s="110"/>
      <c r="T390" s="110"/>
      <c r="U390" s="110"/>
      <c r="V390" s="110"/>
      <c r="W390" s="110"/>
      <c r="X390" s="110"/>
      <c r="Y390" s="110"/>
      <c r="Z390" s="110"/>
    </row>
    <row r="391">
      <c r="A391" s="70"/>
      <c r="B391" s="70"/>
      <c r="D391" s="154"/>
      <c r="O391" s="92"/>
      <c r="P391" s="110"/>
      <c r="Q391" s="110"/>
      <c r="R391" s="110"/>
      <c r="S391" s="110"/>
      <c r="T391" s="110"/>
      <c r="U391" s="110"/>
      <c r="V391" s="110"/>
      <c r="W391" s="110"/>
      <c r="X391" s="110"/>
      <c r="Y391" s="110"/>
      <c r="Z391" s="110"/>
    </row>
    <row r="392">
      <c r="A392" s="70"/>
      <c r="B392" s="70"/>
      <c r="D392" s="154"/>
      <c r="O392" s="92"/>
      <c r="P392" s="110"/>
      <c r="Q392" s="110"/>
      <c r="R392" s="110"/>
      <c r="S392" s="110"/>
      <c r="T392" s="110"/>
      <c r="U392" s="110"/>
      <c r="V392" s="110"/>
      <c r="W392" s="110"/>
      <c r="X392" s="110"/>
      <c r="Y392" s="110"/>
      <c r="Z392" s="110"/>
    </row>
    <row r="393">
      <c r="A393" s="70"/>
      <c r="B393" s="70"/>
      <c r="D393" s="154"/>
      <c r="O393" s="92"/>
      <c r="P393" s="110"/>
      <c r="Q393" s="110"/>
      <c r="R393" s="110"/>
      <c r="S393" s="110"/>
      <c r="T393" s="110"/>
      <c r="U393" s="110"/>
      <c r="V393" s="110"/>
      <c r="W393" s="110"/>
      <c r="X393" s="110"/>
      <c r="Y393" s="110"/>
      <c r="Z393" s="110"/>
    </row>
    <row r="394">
      <c r="A394" s="70"/>
      <c r="B394" s="70"/>
      <c r="D394" s="154"/>
      <c r="O394" s="92"/>
      <c r="P394" s="110"/>
      <c r="Q394" s="110"/>
      <c r="R394" s="110"/>
      <c r="S394" s="110"/>
      <c r="T394" s="110"/>
      <c r="U394" s="110"/>
      <c r="V394" s="110"/>
      <c r="W394" s="110"/>
      <c r="X394" s="110"/>
      <c r="Y394" s="110"/>
      <c r="Z394" s="110"/>
    </row>
    <row r="395">
      <c r="A395" s="70"/>
      <c r="B395" s="70"/>
      <c r="D395" s="154"/>
      <c r="O395" s="92"/>
      <c r="P395" s="110"/>
      <c r="Q395" s="110"/>
      <c r="R395" s="110"/>
      <c r="S395" s="110"/>
      <c r="T395" s="110"/>
      <c r="U395" s="110"/>
      <c r="V395" s="110"/>
      <c r="W395" s="110"/>
      <c r="X395" s="110"/>
      <c r="Y395" s="110"/>
      <c r="Z395" s="110"/>
    </row>
    <row r="396">
      <c r="A396" s="70"/>
      <c r="B396" s="70"/>
      <c r="D396" s="154"/>
      <c r="O396" s="92"/>
      <c r="P396" s="110"/>
      <c r="Q396" s="110"/>
      <c r="R396" s="110"/>
      <c r="S396" s="110"/>
      <c r="T396" s="110"/>
      <c r="U396" s="110"/>
      <c r="V396" s="110"/>
      <c r="W396" s="110"/>
      <c r="X396" s="110"/>
      <c r="Y396" s="110"/>
      <c r="Z396" s="110"/>
    </row>
    <row r="397">
      <c r="A397" s="70"/>
      <c r="B397" s="70"/>
      <c r="D397" s="154"/>
      <c r="O397" s="92"/>
      <c r="P397" s="110"/>
      <c r="Q397" s="110"/>
      <c r="R397" s="110"/>
      <c r="S397" s="110"/>
      <c r="T397" s="110"/>
      <c r="U397" s="110"/>
      <c r="V397" s="110"/>
      <c r="W397" s="110"/>
      <c r="X397" s="110"/>
      <c r="Y397" s="110"/>
      <c r="Z397" s="110"/>
    </row>
    <row r="398">
      <c r="A398" s="70"/>
      <c r="B398" s="70"/>
      <c r="D398" s="154"/>
      <c r="O398" s="92"/>
      <c r="P398" s="110"/>
      <c r="Q398" s="110"/>
      <c r="R398" s="110"/>
      <c r="S398" s="110"/>
      <c r="T398" s="110"/>
      <c r="U398" s="110"/>
      <c r="V398" s="110"/>
      <c r="W398" s="110"/>
      <c r="X398" s="110"/>
      <c r="Y398" s="110"/>
      <c r="Z398" s="110"/>
    </row>
    <row r="399">
      <c r="A399" s="70"/>
      <c r="B399" s="70"/>
      <c r="D399" s="154"/>
      <c r="O399" s="92"/>
      <c r="P399" s="110"/>
      <c r="Q399" s="110"/>
      <c r="R399" s="110"/>
      <c r="S399" s="110"/>
      <c r="T399" s="110"/>
      <c r="U399" s="110"/>
      <c r="V399" s="110"/>
      <c r="W399" s="110"/>
      <c r="X399" s="110"/>
      <c r="Y399" s="110"/>
      <c r="Z399" s="110"/>
    </row>
    <row r="400">
      <c r="A400" s="70"/>
      <c r="B400" s="70"/>
      <c r="D400" s="154"/>
      <c r="O400" s="92"/>
      <c r="P400" s="110"/>
      <c r="Q400" s="110"/>
      <c r="R400" s="110"/>
      <c r="S400" s="110"/>
      <c r="T400" s="110"/>
      <c r="U400" s="110"/>
      <c r="V400" s="110"/>
      <c r="W400" s="110"/>
      <c r="X400" s="110"/>
      <c r="Y400" s="110"/>
      <c r="Z400" s="110"/>
    </row>
    <row r="401">
      <c r="A401" s="70"/>
      <c r="B401" s="70"/>
      <c r="D401" s="154"/>
      <c r="O401" s="92"/>
      <c r="P401" s="110"/>
      <c r="Q401" s="110"/>
      <c r="R401" s="110"/>
      <c r="S401" s="110"/>
      <c r="T401" s="110"/>
      <c r="U401" s="110"/>
      <c r="V401" s="110"/>
      <c r="W401" s="110"/>
      <c r="X401" s="110"/>
      <c r="Y401" s="110"/>
      <c r="Z401" s="110"/>
    </row>
    <row r="402">
      <c r="A402" s="70"/>
      <c r="B402" s="70"/>
      <c r="D402" s="154"/>
      <c r="O402" s="92"/>
      <c r="P402" s="110"/>
      <c r="Q402" s="110"/>
      <c r="R402" s="110"/>
      <c r="S402" s="110"/>
      <c r="T402" s="110"/>
      <c r="U402" s="110"/>
      <c r="V402" s="110"/>
      <c r="W402" s="110"/>
      <c r="X402" s="110"/>
      <c r="Y402" s="110"/>
      <c r="Z402" s="110"/>
    </row>
    <row r="403">
      <c r="A403" s="70"/>
      <c r="B403" s="70"/>
      <c r="D403" s="154"/>
      <c r="O403" s="92"/>
      <c r="P403" s="110"/>
      <c r="Q403" s="110"/>
      <c r="R403" s="110"/>
      <c r="S403" s="110"/>
      <c r="T403" s="110"/>
      <c r="U403" s="110"/>
      <c r="V403" s="110"/>
      <c r="W403" s="110"/>
      <c r="X403" s="110"/>
      <c r="Y403" s="110"/>
      <c r="Z403" s="110"/>
    </row>
    <row r="404">
      <c r="A404" s="70"/>
      <c r="B404" s="70"/>
      <c r="D404" s="154"/>
      <c r="O404" s="92"/>
      <c r="P404" s="110"/>
      <c r="Q404" s="110"/>
      <c r="R404" s="110"/>
      <c r="S404" s="110"/>
      <c r="T404" s="110"/>
      <c r="U404" s="110"/>
      <c r="V404" s="110"/>
      <c r="W404" s="110"/>
      <c r="X404" s="110"/>
      <c r="Y404" s="110"/>
      <c r="Z404" s="110"/>
    </row>
    <row r="405">
      <c r="A405" s="70"/>
      <c r="B405" s="70"/>
      <c r="D405" s="154"/>
      <c r="O405" s="92"/>
      <c r="P405" s="110"/>
      <c r="Q405" s="110"/>
      <c r="R405" s="110"/>
      <c r="S405" s="110"/>
      <c r="T405" s="110"/>
      <c r="U405" s="110"/>
      <c r="V405" s="110"/>
      <c r="W405" s="110"/>
      <c r="X405" s="110"/>
      <c r="Y405" s="110"/>
      <c r="Z405" s="110"/>
    </row>
    <row r="406">
      <c r="A406" s="70"/>
      <c r="B406" s="70"/>
      <c r="D406" s="154"/>
      <c r="O406" s="92"/>
      <c r="P406" s="110"/>
      <c r="Q406" s="110"/>
      <c r="R406" s="110"/>
      <c r="S406" s="110"/>
      <c r="T406" s="110"/>
      <c r="U406" s="110"/>
      <c r="V406" s="110"/>
      <c r="W406" s="110"/>
      <c r="X406" s="110"/>
      <c r="Y406" s="110"/>
      <c r="Z406" s="110"/>
    </row>
    <row r="407">
      <c r="A407" s="70"/>
      <c r="B407" s="70"/>
      <c r="D407" s="154"/>
      <c r="O407" s="92"/>
      <c r="P407" s="110"/>
      <c r="Q407" s="110"/>
      <c r="R407" s="110"/>
      <c r="S407" s="110"/>
      <c r="T407" s="110"/>
      <c r="U407" s="110"/>
      <c r="V407" s="110"/>
      <c r="W407" s="110"/>
      <c r="X407" s="110"/>
      <c r="Y407" s="110"/>
      <c r="Z407" s="110"/>
    </row>
    <row r="408">
      <c r="A408" s="70"/>
      <c r="B408" s="70"/>
      <c r="D408" s="154"/>
      <c r="O408" s="92"/>
      <c r="P408" s="110"/>
      <c r="Q408" s="110"/>
      <c r="R408" s="110"/>
      <c r="S408" s="110"/>
      <c r="T408" s="110"/>
      <c r="U408" s="110"/>
      <c r="V408" s="110"/>
      <c r="W408" s="110"/>
      <c r="X408" s="110"/>
      <c r="Y408" s="110"/>
      <c r="Z408" s="110"/>
    </row>
    <row r="409">
      <c r="A409" s="70"/>
      <c r="B409" s="70"/>
      <c r="D409" s="154"/>
      <c r="O409" s="92"/>
      <c r="P409" s="110"/>
      <c r="Q409" s="110"/>
      <c r="R409" s="110"/>
      <c r="S409" s="110"/>
      <c r="T409" s="110"/>
      <c r="U409" s="110"/>
      <c r="V409" s="110"/>
      <c r="W409" s="110"/>
      <c r="X409" s="110"/>
      <c r="Y409" s="110"/>
      <c r="Z409" s="110"/>
    </row>
    <row r="410">
      <c r="A410" s="70"/>
      <c r="B410" s="70"/>
      <c r="D410" s="154"/>
      <c r="O410" s="92"/>
      <c r="P410" s="110"/>
      <c r="Q410" s="110"/>
      <c r="R410" s="110"/>
      <c r="S410" s="110"/>
      <c r="T410" s="110"/>
      <c r="U410" s="110"/>
      <c r="V410" s="110"/>
      <c r="W410" s="110"/>
      <c r="X410" s="110"/>
      <c r="Y410" s="110"/>
      <c r="Z410" s="110"/>
    </row>
    <row r="411">
      <c r="A411" s="70"/>
      <c r="B411" s="70"/>
      <c r="D411" s="154"/>
      <c r="O411" s="92"/>
      <c r="P411" s="110"/>
      <c r="Q411" s="110"/>
      <c r="R411" s="110"/>
      <c r="S411" s="110"/>
      <c r="T411" s="110"/>
      <c r="U411" s="110"/>
      <c r="V411" s="110"/>
      <c r="W411" s="110"/>
      <c r="X411" s="110"/>
      <c r="Y411" s="110"/>
      <c r="Z411" s="110"/>
    </row>
    <row r="412">
      <c r="A412" s="70"/>
      <c r="B412" s="70"/>
      <c r="D412" s="154"/>
      <c r="O412" s="92"/>
      <c r="P412" s="110"/>
      <c r="Q412" s="110"/>
      <c r="R412" s="110"/>
      <c r="S412" s="110"/>
      <c r="T412" s="110"/>
      <c r="U412" s="110"/>
      <c r="V412" s="110"/>
      <c r="W412" s="110"/>
      <c r="X412" s="110"/>
      <c r="Y412" s="110"/>
      <c r="Z412" s="110"/>
    </row>
    <row r="413">
      <c r="A413" s="70"/>
      <c r="B413" s="70"/>
      <c r="D413" s="154"/>
      <c r="O413" s="92"/>
      <c r="P413" s="110"/>
      <c r="Q413" s="110"/>
      <c r="R413" s="110"/>
      <c r="S413" s="110"/>
      <c r="T413" s="110"/>
      <c r="U413" s="110"/>
      <c r="V413" s="110"/>
      <c r="W413" s="110"/>
      <c r="X413" s="110"/>
      <c r="Y413" s="110"/>
      <c r="Z413" s="110"/>
    </row>
    <row r="414">
      <c r="A414" s="70"/>
      <c r="B414" s="70"/>
      <c r="D414" s="154"/>
      <c r="O414" s="92"/>
      <c r="P414" s="110"/>
      <c r="Q414" s="110"/>
      <c r="R414" s="110"/>
      <c r="S414" s="110"/>
      <c r="T414" s="110"/>
      <c r="U414" s="110"/>
      <c r="V414" s="110"/>
      <c r="W414" s="110"/>
      <c r="X414" s="110"/>
      <c r="Y414" s="110"/>
      <c r="Z414" s="110"/>
    </row>
    <row r="415">
      <c r="A415" s="70"/>
      <c r="B415" s="70"/>
      <c r="D415" s="154"/>
      <c r="O415" s="92"/>
      <c r="P415" s="110"/>
      <c r="Q415" s="110"/>
      <c r="R415" s="110"/>
      <c r="S415" s="110"/>
      <c r="T415" s="110"/>
      <c r="U415" s="110"/>
      <c r="V415" s="110"/>
      <c r="W415" s="110"/>
      <c r="X415" s="110"/>
      <c r="Y415" s="110"/>
      <c r="Z415" s="110"/>
    </row>
    <row r="416">
      <c r="A416" s="70"/>
      <c r="B416" s="70"/>
      <c r="D416" s="154"/>
      <c r="O416" s="92"/>
      <c r="P416" s="110"/>
      <c r="Q416" s="110"/>
      <c r="R416" s="110"/>
      <c r="S416" s="110"/>
      <c r="T416" s="110"/>
      <c r="U416" s="110"/>
      <c r="V416" s="110"/>
      <c r="W416" s="110"/>
      <c r="X416" s="110"/>
      <c r="Y416" s="110"/>
      <c r="Z416" s="110"/>
    </row>
    <row r="417">
      <c r="A417" s="70"/>
      <c r="B417" s="70"/>
      <c r="D417" s="154"/>
      <c r="O417" s="92"/>
      <c r="P417" s="110"/>
      <c r="Q417" s="110"/>
      <c r="R417" s="110"/>
      <c r="S417" s="110"/>
      <c r="T417" s="110"/>
      <c r="U417" s="110"/>
      <c r="V417" s="110"/>
      <c r="W417" s="110"/>
      <c r="X417" s="110"/>
      <c r="Y417" s="110"/>
      <c r="Z417" s="110"/>
    </row>
    <row r="418">
      <c r="A418" s="70"/>
      <c r="B418" s="70"/>
      <c r="D418" s="154"/>
      <c r="O418" s="92"/>
      <c r="P418" s="110"/>
      <c r="Q418" s="110"/>
      <c r="R418" s="110"/>
      <c r="S418" s="110"/>
      <c r="T418" s="110"/>
      <c r="U418" s="110"/>
      <c r="V418" s="110"/>
      <c r="W418" s="110"/>
      <c r="X418" s="110"/>
      <c r="Y418" s="110"/>
      <c r="Z418" s="110"/>
    </row>
    <row r="419">
      <c r="A419" s="70"/>
      <c r="B419" s="70"/>
      <c r="D419" s="154"/>
      <c r="O419" s="92"/>
      <c r="P419" s="110"/>
      <c r="Q419" s="110"/>
      <c r="R419" s="110"/>
      <c r="S419" s="110"/>
      <c r="T419" s="110"/>
      <c r="U419" s="110"/>
      <c r="V419" s="110"/>
      <c r="W419" s="110"/>
      <c r="X419" s="110"/>
      <c r="Y419" s="110"/>
      <c r="Z419" s="110"/>
    </row>
    <row r="420">
      <c r="A420" s="70"/>
      <c r="B420" s="70"/>
      <c r="D420" s="154"/>
      <c r="O420" s="92"/>
      <c r="P420" s="110"/>
      <c r="Q420" s="110"/>
      <c r="R420" s="110"/>
      <c r="S420" s="110"/>
      <c r="T420" s="110"/>
      <c r="U420" s="110"/>
      <c r="V420" s="110"/>
      <c r="W420" s="110"/>
      <c r="X420" s="110"/>
      <c r="Y420" s="110"/>
      <c r="Z420" s="110"/>
    </row>
    <row r="421">
      <c r="A421" s="70"/>
      <c r="B421" s="70"/>
      <c r="D421" s="154"/>
      <c r="O421" s="92"/>
      <c r="P421" s="110"/>
      <c r="Q421" s="110"/>
      <c r="R421" s="110"/>
      <c r="S421" s="110"/>
      <c r="T421" s="110"/>
      <c r="U421" s="110"/>
      <c r="V421" s="110"/>
      <c r="W421" s="110"/>
      <c r="X421" s="110"/>
      <c r="Y421" s="110"/>
      <c r="Z421" s="110"/>
    </row>
    <row r="422">
      <c r="A422" s="70"/>
      <c r="B422" s="70"/>
      <c r="D422" s="154"/>
      <c r="O422" s="92"/>
      <c r="P422" s="110"/>
      <c r="Q422" s="110"/>
      <c r="R422" s="110"/>
      <c r="S422" s="110"/>
      <c r="T422" s="110"/>
      <c r="U422" s="110"/>
      <c r="V422" s="110"/>
      <c r="W422" s="110"/>
      <c r="X422" s="110"/>
      <c r="Y422" s="110"/>
      <c r="Z422" s="110"/>
    </row>
    <row r="423">
      <c r="A423" s="70"/>
      <c r="B423" s="70"/>
      <c r="D423" s="154"/>
      <c r="O423" s="92"/>
      <c r="P423" s="110"/>
      <c r="Q423" s="110"/>
      <c r="R423" s="110"/>
      <c r="S423" s="110"/>
      <c r="T423" s="110"/>
      <c r="U423" s="110"/>
      <c r="V423" s="110"/>
      <c r="W423" s="110"/>
      <c r="X423" s="110"/>
      <c r="Y423" s="110"/>
      <c r="Z423" s="110"/>
    </row>
    <row r="424">
      <c r="A424" s="70"/>
      <c r="B424" s="70"/>
      <c r="D424" s="154"/>
      <c r="O424" s="92"/>
      <c r="P424" s="110"/>
      <c r="Q424" s="110"/>
      <c r="R424" s="110"/>
      <c r="S424" s="110"/>
      <c r="T424" s="110"/>
      <c r="U424" s="110"/>
      <c r="V424" s="110"/>
      <c r="W424" s="110"/>
      <c r="X424" s="110"/>
      <c r="Y424" s="110"/>
      <c r="Z424" s="110"/>
    </row>
    <row r="425">
      <c r="A425" s="70"/>
      <c r="B425" s="70"/>
      <c r="D425" s="154"/>
      <c r="O425" s="92"/>
      <c r="P425" s="110"/>
      <c r="Q425" s="110"/>
      <c r="R425" s="110"/>
      <c r="S425" s="110"/>
      <c r="T425" s="110"/>
      <c r="U425" s="110"/>
      <c r="V425" s="110"/>
      <c r="W425" s="110"/>
      <c r="X425" s="110"/>
      <c r="Y425" s="110"/>
      <c r="Z425" s="110"/>
    </row>
    <row r="426">
      <c r="A426" s="70"/>
      <c r="B426" s="70"/>
      <c r="D426" s="154"/>
      <c r="O426" s="92"/>
      <c r="P426" s="110"/>
      <c r="Q426" s="110"/>
      <c r="R426" s="110"/>
      <c r="S426" s="110"/>
      <c r="T426" s="110"/>
      <c r="U426" s="110"/>
      <c r="V426" s="110"/>
      <c r="W426" s="110"/>
      <c r="X426" s="110"/>
      <c r="Y426" s="110"/>
      <c r="Z426" s="110"/>
    </row>
    <row r="427">
      <c r="A427" s="70"/>
      <c r="B427" s="70"/>
      <c r="D427" s="154"/>
      <c r="O427" s="92"/>
      <c r="P427" s="110"/>
      <c r="Q427" s="110"/>
      <c r="R427" s="110"/>
      <c r="S427" s="110"/>
      <c r="T427" s="110"/>
      <c r="U427" s="110"/>
      <c r="V427" s="110"/>
      <c r="W427" s="110"/>
      <c r="X427" s="110"/>
      <c r="Y427" s="110"/>
      <c r="Z427" s="110"/>
    </row>
    <row r="428">
      <c r="A428" s="70"/>
      <c r="B428" s="70"/>
      <c r="D428" s="154"/>
      <c r="O428" s="92"/>
      <c r="P428" s="110"/>
      <c r="Q428" s="110"/>
      <c r="R428" s="110"/>
      <c r="S428" s="110"/>
      <c r="T428" s="110"/>
      <c r="U428" s="110"/>
      <c r="V428" s="110"/>
      <c r="W428" s="110"/>
      <c r="X428" s="110"/>
      <c r="Y428" s="110"/>
      <c r="Z428" s="110"/>
    </row>
    <row r="429">
      <c r="A429" s="70"/>
      <c r="B429" s="70"/>
      <c r="D429" s="154"/>
      <c r="O429" s="92"/>
      <c r="P429" s="110"/>
      <c r="Q429" s="110"/>
      <c r="R429" s="110"/>
      <c r="S429" s="110"/>
      <c r="T429" s="110"/>
      <c r="U429" s="110"/>
      <c r="V429" s="110"/>
      <c r="W429" s="110"/>
      <c r="X429" s="110"/>
      <c r="Y429" s="110"/>
      <c r="Z429" s="110"/>
    </row>
    <row r="430">
      <c r="A430" s="70"/>
      <c r="B430" s="70"/>
      <c r="D430" s="154"/>
      <c r="O430" s="92"/>
      <c r="P430" s="110"/>
      <c r="Q430" s="110"/>
      <c r="R430" s="110"/>
      <c r="S430" s="110"/>
      <c r="T430" s="110"/>
      <c r="U430" s="110"/>
      <c r="V430" s="110"/>
      <c r="W430" s="110"/>
      <c r="X430" s="110"/>
      <c r="Y430" s="110"/>
      <c r="Z430" s="110"/>
    </row>
    <row r="431">
      <c r="A431" s="70"/>
      <c r="B431" s="70"/>
      <c r="D431" s="154"/>
      <c r="O431" s="92"/>
      <c r="P431" s="110"/>
      <c r="Q431" s="110"/>
      <c r="R431" s="110"/>
      <c r="S431" s="110"/>
      <c r="T431" s="110"/>
      <c r="U431" s="110"/>
      <c r="V431" s="110"/>
      <c r="W431" s="110"/>
      <c r="X431" s="110"/>
      <c r="Y431" s="110"/>
      <c r="Z431" s="110"/>
    </row>
    <row r="432">
      <c r="A432" s="70"/>
      <c r="B432" s="70"/>
      <c r="D432" s="154"/>
      <c r="O432" s="92"/>
      <c r="P432" s="110"/>
      <c r="Q432" s="110"/>
      <c r="R432" s="110"/>
      <c r="S432" s="110"/>
      <c r="T432" s="110"/>
      <c r="U432" s="110"/>
      <c r="V432" s="110"/>
      <c r="W432" s="110"/>
      <c r="X432" s="110"/>
      <c r="Y432" s="110"/>
      <c r="Z432" s="110"/>
    </row>
    <row r="433">
      <c r="A433" s="70"/>
      <c r="B433" s="70"/>
      <c r="D433" s="154"/>
      <c r="O433" s="92"/>
      <c r="P433" s="110"/>
      <c r="Q433" s="110"/>
      <c r="R433" s="110"/>
      <c r="S433" s="110"/>
      <c r="T433" s="110"/>
      <c r="U433" s="110"/>
      <c r="V433" s="110"/>
      <c r="W433" s="110"/>
      <c r="X433" s="110"/>
      <c r="Y433" s="110"/>
      <c r="Z433" s="110"/>
    </row>
    <row r="434">
      <c r="A434" s="70"/>
      <c r="B434" s="70"/>
      <c r="D434" s="154"/>
      <c r="O434" s="92"/>
      <c r="P434" s="110"/>
      <c r="Q434" s="110"/>
      <c r="R434" s="110"/>
      <c r="S434" s="110"/>
      <c r="T434" s="110"/>
      <c r="U434" s="110"/>
      <c r="V434" s="110"/>
      <c r="W434" s="110"/>
      <c r="X434" s="110"/>
      <c r="Y434" s="110"/>
      <c r="Z434" s="110"/>
    </row>
    <row r="435">
      <c r="A435" s="70"/>
      <c r="B435" s="70"/>
      <c r="D435" s="154"/>
      <c r="O435" s="92"/>
      <c r="P435" s="110"/>
      <c r="Q435" s="110"/>
      <c r="R435" s="110"/>
      <c r="S435" s="110"/>
      <c r="T435" s="110"/>
      <c r="U435" s="110"/>
      <c r="V435" s="110"/>
      <c r="W435" s="110"/>
      <c r="X435" s="110"/>
      <c r="Y435" s="110"/>
      <c r="Z435" s="110"/>
    </row>
    <row r="436">
      <c r="A436" s="70"/>
      <c r="B436" s="70"/>
      <c r="D436" s="154"/>
      <c r="O436" s="92"/>
      <c r="P436" s="110"/>
      <c r="Q436" s="110"/>
      <c r="R436" s="110"/>
      <c r="S436" s="110"/>
      <c r="T436" s="110"/>
      <c r="U436" s="110"/>
      <c r="V436" s="110"/>
      <c r="W436" s="110"/>
      <c r="X436" s="110"/>
      <c r="Y436" s="110"/>
      <c r="Z436" s="110"/>
    </row>
    <row r="437">
      <c r="A437" s="70"/>
      <c r="B437" s="70"/>
      <c r="D437" s="154"/>
      <c r="O437" s="92"/>
      <c r="P437" s="110"/>
      <c r="Q437" s="110"/>
      <c r="R437" s="110"/>
      <c r="S437" s="110"/>
      <c r="T437" s="110"/>
      <c r="U437" s="110"/>
      <c r="V437" s="110"/>
      <c r="W437" s="110"/>
      <c r="X437" s="110"/>
      <c r="Y437" s="110"/>
      <c r="Z437" s="110"/>
    </row>
    <row r="438">
      <c r="A438" s="70"/>
      <c r="B438" s="70"/>
      <c r="D438" s="154"/>
      <c r="O438" s="92"/>
      <c r="P438" s="110"/>
      <c r="Q438" s="110"/>
      <c r="R438" s="110"/>
      <c r="S438" s="110"/>
      <c r="T438" s="110"/>
      <c r="U438" s="110"/>
      <c r="V438" s="110"/>
      <c r="W438" s="110"/>
      <c r="X438" s="110"/>
      <c r="Y438" s="110"/>
      <c r="Z438" s="110"/>
    </row>
    <row r="439">
      <c r="A439" s="70"/>
      <c r="B439" s="70"/>
      <c r="D439" s="154"/>
      <c r="O439" s="92"/>
      <c r="P439" s="110"/>
      <c r="Q439" s="110"/>
      <c r="R439" s="110"/>
      <c r="S439" s="110"/>
      <c r="T439" s="110"/>
      <c r="U439" s="110"/>
      <c r="V439" s="110"/>
      <c r="W439" s="110"/>
      <c r="X439" s="110"/>
      <c r="Y439" s="110"/>
      <c r="Z439" s="110"/>
    </row>
    <row r="440">
      <c r="A440" s="70"/>
      <c r="B440" s="70"/>
      <c r="D440" s="154"/>
      <c r="O440" s="92"/>
      <c r="P440" s="110"/>
      <c r="Q440" s="110"/>
      <c r="R440" s="110"/>
      <c r="S440" s="110"/>
      <c r="T440" s="110"/>
      <c r="U440" s="110"/>
      <c r="V440" s="110"/>
      <c r="W440" s="110"/>
      <c r="X440" s="110"/>
      <c r="Y440" s="110"/>
      <c r="Z440" s="110"/>
    </row>
    <row r="441">
      <c r="A441" s="70"/>
      <c r="B441" s="70"/>
      <c r="D441" s="154"/>
      <c r="O441" s="92"/>
      <c r="P441" s="110"/>
      <c r="Q441" s="110"/>
      <c r="R441" s="110"/>
      <c r="S441" s="110"/>
      <c r="T441" s="110"/>
      <c r="U441" s="110"/>
      <c r="V441" s="110"/>
      <c r="W441" s="110"/>
      <c r="X441" s="110"/>
      <c r="Y441" s="110"/>
      <c r="Z441" s="110"/>
    </row>
    <row r="442">
      <c r="A442" s="70"/>
      <c r="B442" s="70"/>
      <c r="D442" s="154"/>
      <c r="O442" s="92"/>
      <c r="P442" s="110"/>
      <c r="Q442" s="110"/>
      <c r="R442" s="110"/>
      <c r="S442" s="110"/>
      <c r="T442" s="110"/>
      <c r="U442" s="110"/>
      <c r="V442" s="110"/>
      <c r="W442" s="110"/>
      <c r="X442" s="110"/>
      <c r="Y442" s="110"/>
      <c r="Z442" s="110"/>
    </row>
    <row r="443">
      <c r="A443" s="70"/>
      <c r="B443" s="70"/>
      <c r="D443" s="154"/>
      <c r="O443" s="92"/>
      <c r="P443" s="110"/>
      <c r="Q443" s="110"/>
      <c r="R443" s="110"/>
      <c r="S443" s="110"/>
      <c r="T443" s="110"/>
      <c r="U443" s="110"/>
      <c r="V443" s="110"/>
      <c r="W443" s="110"/>
      <c r="X443" s="110"/>
      <c r="Y443" s="110"/>
      <c r="Z443" s="110"/>
    </row>
    <row r="444">
      <c r="A444" s="70"/>
      <c r="B444" s="70"/>
      <c r="D444" s="154"/>
      <c r="O444" s="92"/>
      <c r="P444" s="110"/>
      <c r="Q444" s="110"/>
      <c r="R444" s="110"/>
      <c r="S444" s="110"/>
      <c r="T444" s="110"/>
      <c r="U444" s="110"/>
      <c r="V444" s="110"/>
      <c r="W444" s="110"/>
      <c r="X444" s="110"/>
      <c r="Y444" s="110"/>
      <c r="Z444" s="110"/>
    </row>
    <row r="445">
      <c r="A445" s="70"/>
      <c r="B445" s="70"/>
      <c r="D445" s="154"/>
      <c r="O445" s="92"/>
      <c r="P445" s="110"/>
      <c r="Q445" s="110"/>
      <c r="R445" s="110"/>
      <c r="S445" s="110"/>
      <c r="T445" s="110"/>
      <c r="U445" s="110"/>
      <c r="V445" s="110"/>
      <c r="W445" s="110"/>
      <c r="X445" s="110"/>
      <c r="Y445" s="110"/>
      <c r="Z445" s="110"/>
    </row>
    <row r="446">
      <c r="A446" s="70"/>
      <c r="B446" s="70"/>
      <c r="D446" s="154"/>
      <c r="O446" s="92"/>
      <c r="P446" s="110"/>
      <c r="Q446" s="110"/>
      <c r="R446" s="110"/>
      <c r="S446" s="110"/>
      <c r="T446" s="110"/>
      <c r="U446" s="110"/>
      <c r="V446" s="110"/>
      <c r="W446" s="110"/>
      <c r="X446" s="110"/>
      <c r="Y446" s="110"/>
      <c r="Z446" s="110"/>
    </row>
    <row r="447">
      <c r="A447" s="70"/>
      <c r="B447" s="70"/>
      <c r="D447" s="154"/>
      <c r="O447" s="92"/>
      <c r="P447" s="110"/>
      <c r="Q447" s="110"/>
      <c r="R447" s="110"/>
      <c r="S447" s="110"/>
      <c r="T447" s="110"/>
      <c r="U447" s="110"/>
      <c r="V447" s="110"/>
      <c r="W447" s="110"/>
      <c r="X447" s="110"/>
      <c r="Y447" s="110"/>
      <c r="Z447" s="110"/>
    </row>
    <row r="448">
      <c r="A448" s="70"/>
      <c r="B448" s="70"/>
      <c r="D448" s="154"/>
      <c r="O448" s="92"/>
      <c r="P448" s="110"/>
      <c r="Q448" s="110"/>
      <c r="R448" s="110"/>
      <c r="S448" s="110"/>
      <c r="T448" s="110"/>
      <c r="U448" s="110"/>
      <c r="V448" s="110"/>
      <c r="W448" s="110"/>
      <c r="X448" s="110"/>
      <c r="Y448" s="110"/>
      <c r="Z448" s="110"/>
    </row>
    <row r="449">
      <c r="A449" s="70"/>
      <c r="B449" s="70"/>
      <c r="D449" s="154"/>
      <c r="O449" s="92"/>
      <c r="P449" s="110"/>
      <c r="Q449" s="110"/>
      <c r="R449" s="110"/>
      <c r="S449" s="110"/>
      <c r="T449" s="110"/>
      <c r="U449" s="110"/>
      <c r="V449" s="110"/>
      <c r="W449" s="110"/>
      <c r="X449" s="110"/>
      <c r="Y449" s="110"/>
      <c r="Z449" s="110"/>
    </row>
    <row r="450">
      <c r="A450" s="70"/>
      <c r="B450" s="70"/>
      <c r="D450" s="154"/>
      <c r="O450" s="92"/>
      <c r="P450" s="110"/>
      <c r="Q450" s="110"/>
      <c r="R450" s="110"/>
      <c r="S450" s="110"/>
      <c r="T450" s="110"/>
      <c r="U450" s="110"/>
      <c r="V450" s="110"/>
      <c r="W450" s="110"/>
      <c r="X450" s="110"/>
      <c r="Y450" s="110"/>
      <c r="Z450" s="110"/>
    </row>
    <row r="451">
      <c r="A451" s="70"/>
      <c r="B451" s="70"/>
      <c r="D451" s="154"/>
      <c r="O451" s="92"/>
      <c r="P451" s="110"/>
      <c r="Q451" s="110"/>
      <c r="R451" s="110"/>
      <c r="S451" s="110"/>
      <c r="T451" s="110"/>
      <c r="U451" s="110"/>
      <c r="V451" s="110"/>
      <c r="W451" s="110"/>
      <c r="X451" s="110"/>
      <c r="Y451" s="110"/>
      <c r="Z451" s="110"/>
    </row>
    <row r="452">
      <c r="A452" s="70"/>
      <c r="B452" s="70"/>
      <c r="D452" s="154"/>
      <c r="O452" s="92"/>
      <c r="P452" s="110"/>
      <c r="Q452" s="110"/>
      <c r="R452" s="110"/>
      <c r="S452" s="110"/>
      <c r="T452" s="110"/>
      <c r="U452" s="110"/>
      <c r="V452" s="110"/>
      <c r="W452" s="110"/>
      <c r="X452" s="110"/>
      <c r="Y452" s="110"/>
      <c r="Z452" s="110"/>
    </row>
    <row r="453">
      <c r="A453" s="70"/>
      <c r="B453" s="70"/>
      <c r="D453" s="154"/>
      <c r="O453" s="92"/>
      <c r="P453" s="110"/>
      <c r="Q453" s="110"/>
      <c r="R453" s="110"/>
      <c r="S453" s="110"/>
      <c r="T453" s="110"/>
      <c r="U453" s="110"/>
      <c r="V453" s="110"/>
      <c r="W453" s="110"/>
      <c r="X453" s="110"/>
      <c r="Y453" s="110"/>
      <c r="Z453" s="110"/>
    </row>
    <row r="454">
      <c r="A454" s="70"/>
      <c r="B454" s="70"/>
      <c r="D454" s="154"/>
      <c r="O454" s="92"/>
      <c r="P454" s="110"/>
      <c r="Q454" s="110"/>
      <c r="R454" s="110"/>
      <c r="S454" s="110"/>
      <c r="T454" s="110"/>
      <c r="U454" s="110"/>
      <c r="V454" s="110"/>
      <c r="W454" s="110"/>
      <c r="X454" s="110"/>
      <c r="Y454" s="110"/>
      <c r="Z454" s="110"/>
    </row>
    <row r="455">
      <c r="A455" s="70"/>
      <c r="B455" s="70"/>
      <c r="D455" s="154"/>
      <c r="O455" s="92"/>
      <c r="P455" s="110"/>
      <c r="Q455" s="110"/>
      <c r="R455" s="110"/>
      <c r="S455" s="110"/>
      <c r="T455" s="110"/>
      <c r="U455" s="110"/>
      <c r="V455" s="110"/>
      <c r="W455" s="110"/>
      <c r="X455" s="110"/>
      <c r="Y455" s="110"/>
      <c r="Z455" s="110"/>
    </row>
    <row r="456">
      <c r="A456" s="70"/>
      <c r="B456" s="70"/>
      <c r="D456" s="154"/>
      <c r="O456" s="92"/>
      <c r="P456" s="110"/>
      <c r="Q456" s="110"/>
      <c r="R456" s="110"/>
      <c r="S456" s="110"/>
      <c r="T456" s="110"/>
      <c r="U456" s="110"/>
      <c r="V456" s="110"/>
      <c r="W456" s="110"/>
      <c r="X456" s="110"/>
      <c r="Y456" s="110"/>
      <c r="Z456" s="110"/>
    </row>
    <row r="457">
      <c r="A457" s="70"/>
      <c r="B457" s="70"/>
      <c r="D457" s="154"/>
      <c r="O457" s="92"/>
      <c r="P457" s="110"/>
      <c r="Q457" s="110"/>
      <c r="R457" s="110"/>
      <c r="S457" s="110"/>
      <c r="T457" s="110"/>
      <c r="U457" s="110"/>
      <c r="V457" s="110"/>
      <c r="W457" s="110"/>
      <c r="X457" s="110"/>
      <c r="Y457" s="110"/>
      <c r="Z457" s="110"/>
    </row>
    <row r="458">
      <c r="A458" s="70"/>
      <c r="B458" s="70"/>
      <c r="D458" s="154"/>
      <c r="O458" s="92"/>
      <c r="P458" s="110"/>
      <c r="Q458" s="110"/>
      <c r="R458" s="110"/>
      <c r="S458" s="110"/>
      <c r="T458" s="110"/>
      <c r="U458" s="110"/>
      <c r="V458" s="110"/>
      <c r="W458" s="110"/>
      <c r="X458" s="110"/>
      <c r="Y458" s="110"/>
      <c r="Z458" s="110"/>
    </row>
    <row r="459">
      <c r="A459" s="70"/>
      <c r="B459" s="70"/>
      <c r="D459" s="154"/>
      <c r="O459" s="92"/>
      <c r="P459" s="110"/>
      <c r="Q459" s="110"/>
      <c r="R459" s="110"/>
      <c r="S459" s="110"/>
      <c r="T459" s="110"/>
      <c r="U459" s="110"/>
      <c r="V459" s="110"/>
      <c r="W459" s="110"/>
      <c r="X459" s="110"/>
      <c r="Y459" s="110"/>
      <c r="Z459" s="110"/>
    </row>
    <row r="460">
      <c r="A460" s="70"/>
      <c r="B460" s="70"/>
      <c r="D460" s="154"/>
      <c r="O460" s="92"/>
      <c r="P460" s="110"/>
      <c r="Q460" s="110"/>
      <c r="R460" s="110"/>
      <c r="S460" s="110"/>
      <c r="T460" s="110"/>
      <c r="U460" s="110"/>
      <c r="V460" s="110"/>
      <c r="W460" s="110"/>
      <c r="X460" s="110"/>
      <c r="Y460" s="110"/>
      <c r="Z460" s="110"/>
    </row>
    <row r="461">
      <c r="A461" s="70"/>
      <c r="B461" s="70"/>
      <c r="D461" s="154"/>
      <c r="O461" s="92"/>
      <c r="P461" s="110"/>
      <c r="Q461" s="110"/>
      <c r="R461" s="110"/>
      <c r="S461" s="110"/>
      <c r="T461" s="110"/>
      <c r="U461" s="110"/>
      <c r="V461" s="110"/>
      <c r="W461" s="110"/>
      <c r="X461" s="110"/>
      <c r="Y461" s="110"/>
      <c r="Z461" s="110"/>
    </row>
    <row r="462">
      <c r="A462" s="70"/>
      <c r="B462" s="70"/>
      <c r="D462" s="154"/>
      <c r="O462" s="92"/>
      <c r="P462" s="110"/>
      <c r="Q462" s="110"/>
      <c r="R462" s="110"/>
      <c r="S462" s="110"/>
      <c r="T462" s="110"/>
      <c r="U462" s="110"/>
      <c r="V462" s="110"/>
      <c r="W462" s="110"/>
      <c r="X462" s="110"/>
      <c r="Y462" s="110"/>
      <c r="Z462" s="110"/>
    </row>
    <row r="463">
      <c r="A463" s="70"/>
      <c r="B463" s="70"/>
      <c r="D463" s="154"/>
      <c r="O463" s="92"/>
      <c r="P463" s="110"/>
      <c r="Q463" s="110"/>
      <c r="R463" s="110"/>
      <c r="S463" s="110"/>
      <c r="T463" s="110"/>
      <c r="U463" s="110"/>
      <c r="V463" s="110"/>
      <c r="W463" s="110"/>
      <c r="X463" s="110"/>
      <c r="Y463" s="110"/>
      <c r="Z463" s="110"/>
    </row>
    <row r="464">
      <c r="A464" s="70"/>
      <c r="B464" s="70"/>
      <c r="D464" s="154"/>
      <c r="O464" s="92"/>
      <c r="P464" s="110"/>
      <c r="Q464" s="110"/>
      <c r="R464" s="110"/>
      <c r="S464" s="110"/>
      <c r="T464" s="110"/>
      <c r="U464" s="110"/>
      <c r="V464" s="110"/>
      <c r="W464" s="110"/>
      <c r="X464" s="110"/>
      <c r="Y464" s="110"/>
      <c r="Z464" s="110"/>
    </row>
    <row r="465">
      <c r="A465" s="70"/>
      <c r="B465" s="70"/>
      <c r="D465" s="154"/>
      <c r="O465" s="92"/>
      <c r="P465" s="110"/>
      <c r="Q465" s="110"/>
      <c r="R465" s="110"/>
      <c r="S465" s="110"/>
      <c r="T465" s="110"/>
      <c r="U465" s="110"/>
      <c r="V465" s="110"/>
      <c r="W465" s="110"/>
      <c r="X465" s="110"/>
      <c r="Y465" s="110"/>
      <c r="Z465" s="110"/>
    </row>
    <row r="466">
      <c r="A466" s="70"/>
      <c r="B466" s="70"/>
      <c r="D466" s="154"/>
      <c r="O466" s="92"/>
      <c r="P466" s="110"/>
      <c r="Q466" s="110"/>
      <c r="R466" s="110"/>
      <c r="S466" s="110"/>
      <c r="T466" s="110"/>
      <c r="U466" s="110"/>
      <c r="V466" s="110"/>
      <c r="W466" s="110"/>
      <c r="X466" s="110"/>
      <c r="Y466" s="110"/>
      <c r="Z466" s="110"/>
    </row>
    <row r="467">
      <c r="A467" s="70"/>
      <c r="B467" s="70"/>
      <c r="D467" s="154"/>
      <c r="O467" s="92"/>
      <c r="P467" s="110"/>
      <c r="Q467" s="110"/>
      <c r="R467" s="110"/>
      <c r="S467" s="110"/>
      <c r="T467" s="110"/>
      <c r="U467" s="110"/>
      <c r="V467" s="110"/>
      <c r="W467" s="110"/>
      <c r="X467" s="110"/>
      <c r="Y467" s="110"/>
      <c r="Z467" s="110"/>
    </row>
    <row r="468">
      <c r="A468" s="70"/>
      <c r="B468" s="70"/>
      <c r="D468" s="154"/>
      <c r="O468" s="92"/>
      <c r="P468" s="110"/>
      <c r="Q468" s="110"/>
      <c r="R468" s="110"/>
      <c r="S468" s="110"/>
      <c r="T468" s="110"/>
      <c r="U468" s="110"/>
      <c r="V468" s="110"/>
      <c r="W468" s="110"/>
      <c r="X468" s="110"/>
      <c r="Y468" s="110"/>
      <c r="Z468" s="110"/>
    </row>
    <row r="469">
      <c r="A469" s="70"/>
      <c r="B469" s="70"/>
      <c r="D469" s="154"/>
      <c r="O469" s="92"/>
      <c r="P469" s="110"/>
      <c r="Q469" s="110"/>
      <c r="R469" s="110"/>
      <c r="S469" s="110"/>
      <c r="T469" s="110"/>
      <c r="U469" s="110"/>
      <c r="V469" s="110"/>
      <c r="W469" s="110"/>
      <c r="X469" s="110"/>
      <c r="Y469" s="110"/>
      <c r="Z469" s="110"/>
    </row>
    <row r="470">
      <c r="A470" s="70"/>
      <c r="B470" s="70"/>
      <c r="D470" s="154"/>
      <c r="O470" s="92"/>
      <c r="P470" s="110"/>
      <c r="Q470" s="110"/>
      <c r="R470" s="110"/>
      <c r="S470" s="110"/>
      <c r="T470" s="110"/>
      <c r="U470" s="110"/>
      <c r="V470" s="110"/>
      <c r="W470" s="110"/>
      <c r="X470" s="110"/>
      <c r="Y470" s="110"/>
      <c r="Z470" s="110"/>
    </row>
    <row r="471">
      <c r="A471" s="70"/>
      <c r="B471" s="70"/>
      <c r="D471" s="154"/>
      <c r="O471" s="92"/>
      <c r="P471" s="110"/>
      <c r="Q471" s="110"/>
      <c r="R471" s="110"/>
      <c r="S471" s="110"/>
      <c r="T471" s="110"/>
      <c r="U471" s="110"/>
      <c r="V471" s="110"/>
      <c r="W471" s="110"/>
      <c r="X471" s="110"/>
      <c r="Y471" s="110"/>
      <c r="Z471" s="110"/>
    </row>
    <row r="472">
      <c r="A472" s="70"/>
      <c r="B472" s="70"/>
      <c r="D472" s="154"/>
      <c r="O472" s="92"/>
      <c r="P472" s="110"/>
      <c r="Q472" s="110"/>
      <c r="R472" s="110"/>
      <c r="S472" s="110"/>
      <c r="T472" s="110"/>
      <c r="U472" s="110"/>
      <c r="V472" s="110"/>
      <c r="W472" s="110"/>
      <c r="X472" s="110"/>
      <c r="Y472" s="110"/>
      <c r="Z472" s="110"/>
    </row>
    <row r="473">
      <c r="A473" s="70"/>
      <c r="B473" s="70"/>
      <c r="D473" s="154"/>
      <c r="O473" s="92"/>
      <c r="P473" s="110"/>
      <c r="Q473" s="110"/>
      <c r="R473" s="110"/>
      <c r="S473" s="110"/>
      <c r="T473" s="110"/>
      <c r="U473" s="110"/>
      <c r="V473" s="110"/>
      <c r="W473" s="110"/>
      <c r="X473" s="110"/>
      <c r="Y473" s="110"/>
      <c r="Z473" s="110"/>
    </row>
    <row r="474">
      <c r="A474" s="70"/>
      <c r="B474" s="70"/>
      <c r="D474" s="154"/>
      <c r="O474" s="92"/>
      <c r="P474" s="110"/>
      <c r="Q474" s="110"/>
      <c r="R474" s="110"/>
      <c r="S474" s="110"/>
      <c r="T474" s="110"/>
      <c r="U474" s="110"/>
      <c r="V474" s="110"/>
      <c r="W474" s="110"/>
      <c r="X474" s="110"/>
      <c r="Y474" s="110"/>
      <c r="Z474" s="110"/>
    </row>
    <row r="475">
      <c r="A475" s="70"/>
      <c r="B475" s="70"/>
      <c r="D475" s="154"/>
      <c r="O475" s="92"/>
      <c r="P475" s="110"/>
      <c r="Q475" s="110"/>
      <c r="R475" s="110"/>
      <c r="S475" s="110"/>
      <c r="T475" s="110"/>
      <c r="U475" s="110"/>
      <c r="V475" s="110"/>
      <c r="W475" s="110"/>
      <c r="X475" s="110"/>
      <c r="Y475" s="110"/>
      <c r="Z475" s="110"/>
    </row>
    <row r="476">
      <c r="A476" s="70"/>
      <c r="B476" s="70"/>
      <c r="D476" s="154"/>
      <c r="O476" s="92"/>
      <c r="P476" s="110"/>
      <c r="Q476" s="110"/>
      <c r="R476" s="110"/>
      <c r="S476" s="110"/>
      <c r="T476" s="110"/>
      <c r="U476" s="110"/>
      <c r="V476" s="110"/>
      <c r="W476" s="110"/>
      <c r="X476" s="110"/>
      <c r="Y476" s="110"/>
      <c r="Z476" s="110"/>
    </row>
    <row r="477">
      <c r="A477" s="70"/>
      <c r="B477" s="70"/>
      <c r="D477" s="154"/>
      <c r="O477" s="92"/>
      <c r="P477" s="110"/>
      <c r="Q477" s="110"/>
      <c r="R477" s="110"/>
      <c r="S477" s="110"/>
      <c r="T477" s="110"/>
      <c r="U477" s="110"/>
      <c r="V477" s="110"/>
      <c r="W477" s="110"/>
      <c r="X477" s="110"/>
      <c r="Y477" s="110"/>
      <c r="Z477" s="110"/>
    </row>
    <row r="478">
      <c r="A478" s="70"/>
      <c r="B478" s="70"/>
      <c r="D478" s="154"/>
      <c r="O478" s="92"/>
      <c r="P478" s="110"/>
      <c r="Q478" s="110"/>
      <c r="R478" s="110"/>
      <c r="S478" s="110"/>
      <c r="T478" s="110"/>
      <c r="U478" s="110"/>
      <c r="V478" s="110"/>
      <c r="W478" s="110"/>
      <c r="X478" s="110"/>
      <c r="Y478" s="110"/>
      <c r="Z478" s="110"/>
    </row>
    <row r="479">
      <c r="A479" s="70"/>
      <c r="B479" s="70"/>
      <c r="D479" s="154"/>
      <c r="O479" s="92"/>
      <c r="P479" s="110"/>
      <c r="Q479" s="110"/>
      <c r="R479" s="110"/>
      <c r="S479" s="110"/>
      <c r="T479" s="110"/>
      <c r="U479" s="110"/>
      <c r="V479" s="110"/>
      <c r="W479" s="110"/>
      <c r="X479" s="110"/>
      <c r="Y479" s="110"/>
      <c r="Z479" s="110"/>
    </row>
    <row r="480">
      <c r="A480" s="70"/>
      <c r="B480" s="70"/>
      <c r="D480" s="154"/>
      <c r="O480" s="92"/>
      <c r="P480" s="110"/>
      <c r="Q480" s="110"/>
      <c r="R480" s="110"/>
      <c r="S480" s="110"/>
      <c r="T480" s="110"/>
      <c r="U480" s="110"/>
      <c r="V480" s="110"/>
      <c r="W480" s="110"/>
      <c r="X480" s="110"/>
      <c r="Y480" s="110"/>
      <c r="Z480" s="110"/>
    </row>
    <row r="481">
      <c r="A481" s="70"/>
      <c r="B481" s="70"/>
      <c r="D481" s="154"/>
      <c r="O481" s="92"/>
      <c r="P481" s="110"/>
      <c r="Q481" s="110"/>
      <c r="R481" s="110"/>
      <c r="S481" s="110"/>
      <c r="T481" s="110"/>
      <c r="U481" s="110"/>
      <c r="V481" s="110"/>
      <c r="W481" s="110"/>
      <c r="X481" s="110"/>
      <c r="Y481" s="110"/>
      <c r="Z481" s="110"/>
    </row>
    <row r="482">
      <c r="A482" s="70"/>
      <c r="B482" s="70"/>
      <c r="D482" s="154"/>
      <c r="O482" s="92"/>
      <c r="P482" s="110"/>
      <c r="Q482" s="110"/>
      <c r="R482" s="110"/>
      <c r="S482" s="110"/>
      <c r="T482" s="110"/>
      <c r="U482" s="110"/>
      <c r="V482" s="110"/>
      <c r="W482" s="110"/>
      <c r="X482" s="110"/>
      <c r="Y482" s="110"/>
      <c r="Z482" s="110"/>
    </row>
    <row r="483">
      <c r="A483" s="70"/>
      <c r="B483" s="70"/>
      <c r="D483" s="154"/>
      <c r="O483" s="92"/>
      <c r="P483" s="110"/>
      <c r="Q483" s="110"/>
      <c r="R483" s="110"/>
      <c r="S483" s="110"/>
      <c r="T483" s="110"/>
      <c r="U483" s="110"/>
      <c r="V483" s="110"/>
      <c r="W483" s="110"/>
      <c r="X483" s="110"/>
      <c r="Y483" s="110"/>
      <c r="Z483" s="110"/>
    </row>
    <row r="484">
      <c r="A484" s="70"/>
      <c r="B484" s="70"/>
      <c r="D484" s="154"/>
      <c r="O484" s="92"/>
      <c r="P484" s="110"/>
      <c r="Q484" s="110"/>
      <c r="R484" s="110"/>
      <c r="S484" s="110"/>
      <c r="T484" s="110"/>
      <c r="U484" s="110"/>
      <c r="V484" s="110"/>
      <c r="W484" s="110"/>
      <c r="X484" s="110"/>
      <c r="Y484" s="110"/>
      <c r="Z484" s="110"/>
    </row>
    <row r="485">
      <c r="A485" s="70"/>
      <c r="B485" s="70"/>
      <c r="D485" s="154"/>
      <c r="O485" s="92"/>
      <c r="P485" s="110"/>
      <c r="Q485" s="110"/>
      <c r="R485" s="110"/>
      <c r="S485" s="110"/>
      <c r="T485" s="110"/>
      <c r="U485" s="110"/>
      <c r="V485" s="110"/>
      <c r="W485" s="110"/>
      <c r="X485" s="110"/>
      <c r="Y485" s="110"/>
      <c r="Z485" s="110"/>
    </row>
    <row r="486">
      <c r="A486" s="70"/>
      <c r="B486" s="70"/>
      <c r="D486" s="154"/>
      <c r="O486" s="92"/>
      <c r="P486" s="110"/>
      <c r="Q486" s="110"/>
      <c r="R486" s="110"/>
      <c r="S486" s="110"/>
      <c r="T486" s="110"/>
      <c r="U486" s="110"/>
      <c r="V486" s="110"/>
      <c r="W486" s="110"/>
      <c r="X486" s="110"/>
      <c r="Y486" s="110"/>
      <c r="Z486" s="110"/>
    </row>
    <row r="487">
      <c r="A487" s="70"/>
      <c r="B487" s="70"/>
      <c r="D487" s="154"/>
      <c r="O487" s="92"/>
      <c r="P487" s="110"/>
      <c r="Q487" s="110"/>
      <c r="R487" s="110"/>
      <c r="S487" s="110"/>
      <c r="T487" s="110"/>
      <c r="U487" s="110"/>
      <c r="V487" s="110"/>
      <c r="W487" s="110"/>
      <c r="X487" s="110"/>
      <c r="Y487" s="110"/>
      <c r="Z487" s="110"/>
    </row>
    <row r="488">
      <c r="A488" s="70"/>
      <c r="B488" s="70"/>
      <c r="D488" s="154"/>
      <c r="O488" s="92"/>
      <c r="P488" s="110"/>
      <c r="Q488" s="110"/>
      <c r="R488" s="110"/>
      <c r="S488" s="110"/>
      <c r="T488" s="110"/>
      <c r="U488" s="110"/>
      <c r="V488" s="110"/>
      <c r="W488" s="110"/>
      <c r="X488" s="110"/>
      <c r="Y488" s="110"/>
      <c r="Z488" s="110"/>
    </row>
    <row r="489">
      <c r="A489" s="70"/>
      <c r="B489" s="70"/>
      <c r="D489" s="154"/>
      <c r="O489" s="92"/>
      <c r="P489" s="110"/>
      <c r="Q489" s="110"/>
      <c r="R489" s="110"/>
      <c r="S489" s="110"/>
      <c r="T489" s="110"/>
      <c r="U489" s="110"/>
      <c r="V489" s="110"/>
      <c r="W489" s="110"/>
      <c r="X489" s="110"/>
      <c r="Y489" s="110"/>
      <c r="Z489" s="110"/>
    </row>
    <row r="490">
      <c r="A490" s="70"/>
      <c r="B490" s="70"/>
      <c r="D490" s="154"/>
      <c r="O490" s="92"/>
      <c r="P490" s="110"/>
      <c r="Q490" s="110"/>
      <c r="R490" s="110"/>
      <c r="S490" s="110"/>
      <c r="T490" s="110"/>
      <c r="U490" s="110"/>
      <c r="V490" s="110"/>
      <c r="W490" s="110"/>
      <c r="X490" s="110"/>
      <c r="Y490" s="110"/>
      <c r="Z490" s="110"/>
    </row>
    <row r="491">
      <c r="A491" s="70"/>
      <c r="B491" s="70"/>
      <c r="D491" s="154"/>
      <c r="O491" s="92"/>
      <c r="P491" s="110"/>
      <c r="Q491" s="110"/>
      <c r="R491" s="110"/>
      <c r="S491" s="110"/>
      <c r="T491" s="110"/>
      <c r="U491" s="110"/>
      <c r="V491" s="110"/>
      <c r="W491" s="110"/>
      <c r="X491" s="110"/>
      <c r="Y491" s="110"/>
      <c r="Z491" s="110"/>
    </row>
    <row r="492">
      <c r="A492" s="70"/>
      <c r="B492" s="70"/>
      <c r="D492" s="154"/>
      <c r="O492" s="92"/>
      <c r="P492" s="110"/>
      <c r="Q492" s="110"/>
      <c r="R492" s="110"/>
      <c r="S492" s="110"/>
      <c r="T492" s="110"/>
      <c r="U492" s="110"/>
      <c r="V492" s="110"/>
      <c r="W492" s="110"/>
      <c r="X492" s="110"/>
      <c r="Y492" s="110"/>
      <c r="Z492" s="110"/>
    </row>
    <row r="493">
      <c r="A493" s="70"/>
      <c r="B493" s="70"/>
      <c r="D493" s="154"/>
      <c r="O493" s="92"/>
      <c r="P493" s="110"/>
      <c r="Q493" s="110"/>
      <c r="R493" s="110"/>
      <c r="S493" s="110"/>
      <c r="T493" s="110"/>
      <c r="U493" s="110"/>
      <c r="V493" s="110"/>
      <c r="W493" s="110"/>
      <c r="X493" s="110"/>
      <c r="Y493" s="110"/>
      <c r="Z493" s="110"/>
    </row>
    <row r="494">
      <c r="A494" s="70"/>
      <c r="B494" s="70"/>
      <c r="D494" s="154"/>
      <c r="O494" s="92"/>
      <c r="P494" s="110"/>
      <c r="Q494" s="110"/>
      <c r="R494" s="110"/>
      <c r="S494" s="110"/>
      <c r="T494" s="110"/>
      <c r="U494" s="110"/>
      <c r="V494" s="110"/>
      <c r="W494" s="110"/>
      <c r="X494" s="110"/>
      <c r="Y494" s="110"/>
      <c r="Z494" s="110"/>
    </row>
    <row r="495">
      <c r="A495" s="70"/>
      <c r="B495" s="70"/>
      <c r="D495" s="154"/>
      <c r="O495" s="92"/>
      <c r="P495" s="110"/>
      <c r="Q495" s="110"/>
      <c r="R495" s="110"/>
      <c r="S495" s="110"/>
      <c r="T495" s="110"/>
      <c r="U495" s="110"/>
      <c r="V495" s="110"/>
      <c r="W495" s="110"/>
      <c r="X495" s="110"/>
      <c r="Y495" s="110"/>
      <c r="Z495" s="110"/>
    </row>
    <row r="496">
      <c r="A496" s="70"/>
      <c r="B496" s="70"/>
      <c r="D496" s="154"/>
      <c r="O496" s="92"/>
      <c r="P496" s="110"/>
      <c r="Q496" s="110"/>
      <c r="R496" s="110"/>
      <c r="S496" s="110"/>
      <c r="T496" s="110"/>
      <c r="U496" s="110"/>
      <c r="V496" s="110"/>
      <c r="W496" s="110"/>
      <c r="X496" s="110"/>
      <c r="Y496" s="110"/>
      <c r="Z496" s="110"/>
    </row>
    <row r="497">
      <c r="A497" s="70"/>
      <c r="B497" s="70"/>
      <c r="D497" s="154"/>
      <c r="O497" s="92"/>
      <c r="P497" s="110"/>
      <c r="Q497" s="110"/>
      <c r="R497" s="110"/>
      <c r="S497" s="110"/>
      <c r="T497" s="110"/>
      <c r="U497" s="110"/>
      <c r="V497" s="110"/>
      <c r="W497" s="110"/>
      <c r="X497" s="110"/>
      <c r="Y497" s="110"/>
      <c r="Z497" s="110"/>
    </row>
    <row r="498">
      <c r="A498" s="70"/>
      <c r="B498" s="70"/>
      <c r="D498" s="154"/>
      <c r="O498" s="92"/>
      <c r="P498" s="110"/>
      <c r="Q498" s="110"/>
      <c r="R498" s="110"/>
      <c r="S498" s="110"/>
      <c r="T498" s="110"/>
      <c r="U498" s="110"/>
      <c r="V498" s="110"/>
      <c r="W498" s="110"/>
      <c r="X498" s="110"/>
      <c r="Y498" s="110"/>
      <c r="Z498" s="110"/>
    </row>
    <row r="499">
      <c r="A499" s="70"/>
      <c r="B499" s="70"/>
      <c r="D499" s="154"/>
      <c r="O499" s="92"/>
      <c r="P499" s="110"/>
      <c r="Q499" s="110"/>
      <c r="R499" s="110"/>
      <c r="S499" s="110"/>
      <c r="T499" s="110"/>
      <c r="U499" s="110"/>
      <c r="V499" s="110"/>
      <c r="W499" s="110"/>
      <c r="X499" s="110"/>
      <c r="Y499" s="110"/>
      <c r="Z499" s="110"/>
    </row>
    <row r="500">
      <c r="A500" s="70"/>
      <c r="B500" s="70"/>
      <c r="D500" s="154"/>
      <c r="O500" s="92"/>
      <c r="P500" s="110"/>
      <c r="Q500" s="110"/>
      <c r="R500" s="110"/>
      <c r="S500" s="110"/>
      <c r="T500" s="110"/>
      <c r="U500" s="110"/>
      <c r="V500" s="110"/>
      <c r="W500" s="110"/>
      <c r="X500" s="110"/>
      <c r="Y500" s="110"/>
      <c r="Z500" s="110"/>
    </row>
    <row r="501">
      <c r="A501" s="70"/>
      <c r="B501" s="70"/>
      <c r="D501" s="154"/>
      <c r="O501" s="92"/>
      <c r="P501" s="110"/>
      <c r="Q501" s="110"/>
      <c r="R501" s="110"/>
      <c r="S501" s="110"/>
      <c r="T501" s="110"/>
      <c r="U501" s="110"/>
      <c r="V501" s="110"/>
      <c r="W501" s="110"/>
      <c r="X501" s="110"/>
      <c r="Y501" s="110"/>
      <c r="Z501" s="110"/>
    </row>
    <row r="502">
      <c r="A502" s="70"/>
      <c r="B502" s="70"/>
      <c r="D502" s="154"/>
      <c r="O502" s="92"/>
      <c r="P502" s="110"/>
      <c r="Q502" s="110"/>
      <c r="R502" s="110"/>
      <c r="S502" s="110"/>
      <c r="T502" s="110"/>
      <c r="U502" s="110"/>
      <c r="V502" s="110"/>
      <c r="W502" s="110"/>
      <c r="X502" s="110"/>
      <c r="Y502" s="110"/>
      <c r="Z502" s="110"/>
    </row>
    <row r="503">
      <c r="A503" s="70"/>
      <c r="B503" s="70"/>
      <c r="D503" s="154"/>
      <c r="O503" s="92"/>
      <c r="P503" s="110"/>
      <c r="Q503" s="110"/>
      <c r="R503" s="110"/>
      <c r="S503" s="110"/>
      <c r="T503" s="110"/>
      <c r="U503" s="110"/>
      <c r="V503" s="110"/>
      <c r="W503" s="110"/>
      <c r="X503" s="110"/>
      <c r="Y503" s="110"/>
      <c r="Z503" s="110"/>
    </row>
    <row r="504">
      <c r="A504" s="70"/>
      <c r="B504" s="70"/>
      <c r="D504" s="154"/>
      <c r="O504" s="92"/>
      <c r="P504" s="110"/>
      <c r="Q504" s="110"/>
      <c r="R504" s="110"/>
      <c r="S504" s="110"/>
      <c r="T504" s="110"/>
      <c r="U504" s="110"/>
      <c r="V504" s="110"/>
      <c r="W504" s="110"/>
      <c r="X504" s="110"/>
      <c r="Y504" s="110"/>
      <c r="Z504" s="110"/>
    </row>
    <row r="505">
      <c r="A505" s="70"/>
      <c r="B505" s="70"/>
      <c r="D505" s="154"/>
      <c r="O505" s="92"/>
      <c r="P505" s="110"/>
      <c r="Q505" s="110"/>
      <c r="R505" s="110"/>
      <c r="S505" s="110"/>
      <c r="T505" s="110"/>
      <c r="U505" s="110"/>
      <c r="V505" s="110"/>
      <c r="W505" s="110"/>
      <c r="X505" s="110"/>
      <c r="Y505" s="110"/>
      <c r="Z505" s="110"/>
    </row>
    <row r="506">
      <c r="A506" s="70"/>
      <c r="B506" s="70"/>
      <c r="D506" s="154"/>
      <c r="O506" s="92"/>
      <c r="P506" s="110"/>
      <c r="Q506" s="110"/>
      <c r="R506" s="110"/>
      <c r="S506" s="110"/>
      <c r="T506" s="110"/>
      <c r="U506" s="110"/>
      <c r="V506" s="110"/>
      <c r="W506" s="110"/>
      <c r="X506" s="110"/>
      <c r="Y506" s="110"/>
      <c r="Z506" s="110"/>
    </row>
    <row r="507">
      <c r="A507" s="70"/>
      <c r="B507" s="70"/>
      <c r="D507" s="154"/>
      <c r="O507" s="92"/>
      <c r="P507" s="110"/>
      <c r="Q507" s="110"/>
      <c r="R507" s="110"/>
      <c r="S507" s="110"/>
      <c r="T507" s="110"/>
      <c r="U507" s="110"/>
      <c r="V507" s="110"/>
      <c r="W507" s="110"/>
      <c r="X507" s="110"/>
      <c r="Y507" s="110"/>
      <c r="Z507" s="110"/>
    </row>
    <row r="508">
      <c r="A508" s="70"/>
      <c r="B508" s="70"/>
      <c r="D508" s="154"/>
      <c r="O508" s="92"/>
      <c r="P508" s="110"/>
      <c r="Q508" s="110"/>
      <c r="R508" s="110"/>
      <c r="S508" s="110"/>
      <c r="T508" s="110"/>
      <c r="U508" s="110"/>
      <c r="V508" s="110"/>
      <c r="W508" s="110"/>
      <c r="X508" s="110"/>
      <c r="Y508" s="110"/>
      <c r="Z508" s="110"/>
    </row>
    <row r="509">
      <c r="A509" s="70"/>
      <c r="B509" s="70"/>
      <c r="D509" s="154"/>
      <c r="O509" s="92"/>
      <c r="P509" s="110"/>
      <c r="Q509" s="110"/>
      <c r="R509" s="110"/>
      <c r="S509" s="110"/>
      <c r="T509" s="110"/>
      <c r="U509" s="110"/>
      <c r="V509" s="110"/>
      <c r="W509" s="110"/>
      <c r="X509" s="110"/>
      <c r="Y509" s="110"/>
      <c r="Z509" s="110"/>
    </row>
    <row r="510">
      <c r="A510" s="70"/>
      <c r="B510" s="70"/>
      <c r="D510" s="154"/>
      <c r="O510" s="92"/>
      <c r="P510" s="110"/>
      <c r="Q510" s="110"/>
      <c r="R510" s="110"/>
      <c r="S510" s="110"/>
      <c r="T510" s="110"/>
      <c r="U510" s="110"/>
      <c r="V510" s="110"/>
      <c r="W510" s="110"/>
      <c r="X510" s="110"/>
      <c r="Y510" s="110"/>
      <c r="Z510" s="110"/>
    </row>
    <row r="511">
      <c r="A511" s="70"/>
      <c r="B511" s="70"/>
      <c r="D511" s="154"/>
      <c r="O511" s="92"/>
      <c r="P511" s="110"/>
      <c r="Q511" s="110"/>
      <c r="R511" s="110"/>
      <c r="S511" s="110"/>
      <c r="T511" s="110"/>
      <c r="U511" s="110"/>
      <c r="V511" s="110"/>
      <c r="W511" s="110"/>
      <c r="X511" s="110"/>
      <c r="Y511" s="110"/>
      <c r="Z511" s="110"/>
    </row>
    <row r="512">
      <c r="A512" s="70"/>
      <c r="B512" s="70"/>
      <c r="D512" s="154"/>
      <c r="O512" s="92"/>
      <c r="P512" s="110"/>
      <c r="Q512" s="110"/>
      <c r="R512" s="110"/>
      <c r="S512" s="110"/>
      <c r="T512" s="110"/>
      <c r="U512" s="110"/>
      <c r="V512" s="110"/>
      <c r="W512" s="110"/>
      <c r="X512" s="110"/>
      <c r="Y512" s="110"/>
      <c r="Z512" s="110"/>
    </row>
    <row r="513">
      <c r="A513" s="70"/>
      <c r="B513" s="70"/>
      <c r="D513" s="154"/>
      <c r="O513" s="92"/>
      <c r="P513" s="110"/>
      <c r="Q513" s="110"/>
      <c r="R513" s="110"/>
      <c r="S513" s="110"/>
      <c r="T513" s="110"/>
      <c r="U513" s="110"/>
      <c r="V513" s="110"/>
      <c r="W513" s="110"/>
      <c r="X513" s="110"/>
      <c r="Y513" s="110"/>
      <c r="Z513" s="110"/>
    </row>
    <row r="514">
      <c r="A514" s="70"/>
      <c r="B514" s="70"/>
      <c r="D514" s="154"/>
      <c r="O514" s="92"/>
      <c r="P514" s="110"/>
      <c r="Q514" s="110"/>
      <c r="R514" s="110"/>
      <c r="S514" s="110"/>
      <c r="T514" s="110"/>
      <c r="U514" s="110"/>
      <c r="V514" s="110"/>
      <c r="W514" s="110"/>
      <c r="X514" s="110"/>
      <c r="Y514" s="110"/>
      <c r="Z514" s="110"/>
    </row>
    <row r="515">
      <c r="A515" s="70"/>
      <c r="B515" s="70"/>
      <c r="D515" s="154"/>
      <c r="O515" s="92"/>
      <c r="P515" s="110"/>
      <c r="Q515" s="110"/>
      <c r="R515" s="110"/>
      <c r="S515" s="110"/>
      <c r="T515" s="110"/>
      <c r="U515" s="110"/>
      <c r="V515" s="110"/>
      <c r="W515" s="110"/>
      <c r="X515" s="110"/>
      <c r="Y515" s="110"/>
      <c r="Z515" s="110"/>
    </row>
    <row r="516">
      <c r="A516" s="70"/>
      <c r="B516" s="70"/>
      <c r="D516" s="154"/>
      <c r="O516" s="92"/>
      <c r="P516" s="110"/>
      <c r="Q516" s="110"/>
      <c r="R516" s="110"/>
      <c r="S516" s="110"/>
      <c r="T516" s="110"/>
      <c r="U516" s="110"/>
      <c r="V516" s="110"/>
      <c r="W516" s="110"/>
      <c r="X516" s="110"/>
      <c r="Y516" s="110"/>
      <c r="Z516" s="110"/>
    </row>
    <row r="517">
      <c r="A517" s="70"/>
      <c r="B517" s="70"/>
      <c r="D517" s="154"/>
      <c r="O517" s="92"/>
      <c r="P517" s="110"/>
      <c r="Q517" s="110"/>
      <c r="R517" s="110"/>
      <c r="S517" s="110"/>
      <c r="T517" s="110"/>
      <c r="U517" s="110"/>
      <c r="V517" s="110"/>
      <c r="W517" s="110"/>
      <c r="X517" s="110"/>
      <c r="Y517" s="110"/>
      <c r="Z517" s="110"/>
    </row>
    <row r="518">
      <c r="A518" s="70"/>
      <c r="B518" s="70"/>
      <c r="D518" s="154"/>
      <c r="O518" s="92"/>
      <c r="P518" s="110"/>
      <c r="Q518" s="110"/>
      <c r="R518" s="110"/>
      <c r="S518" s="110"/>
      <c r="T518" s="110"/>
      <c r="U518" s="110"/>
      <c r="V518" s="110"/>
      <c r="W518" s="110"/>
      <c r="X518" s="110"/>
      <c r="Y518" s="110"/>
      <c r="Z518" s="110"/>
    </row>
    <row r="519">
      <c r="A519" s="70"/>
      <c r="B519" s="70"/>
      <c r="D519" s="154"/>
      <c r="O519" s="92"/>
      <c r="P519" s="110"/>
      <c r="Q519" s="110"/>
      <c r="R519" s="110"/>
      <c r="S519" s="110"/>
      <c r="T519" s="110"/>
      <c r="U519" s="110"/>
      <c r="V519" s="110"/>
      <c r="W519" s="110"/>
      <c r="X519" s="110"/>
      <c r="Y519" s="110"/>
      <c r="Z519" s="110"/>
    </row>
    <row r="520">
      <c r="A520" s="70"/>
      <c r="B520" s="70"/>
      <c r="D520" s="154"/>
      <c r="O520" s="92"/>
      <c r="P520" s="110"/>
      <c r="Q520" s="110"/>
      <c r="R520" s="110"/>
      <c r="S520" s="110"/>
      <c r="T520" s="110"/>
      <c r="U520" s="110"/>
      <c r="V520" s="110"/>
      <c r="W520" s="110"/>
      <c r="X520" s="110"/>
      <c r="Y520" s="110"/>
      <c r="Z520" s="110"/>
    </row>
    <row r="521">
      <c r="A521" s="70"/>
      <c r="B521" s="70"/>
      <c r="D521" s="154"/>
      <c r="O521" s="92"/>
      <c r="P521" s="110"/>
      <c r="Q521" s="110"/>
      <c r="R521" s="110"/>
      <c r="S521" s="110"/>
      <c r="T521" s="110"/>
      <c r="U521" s="110"/>
      <c r="V521" s="110"/>
      <c r="W521" s="110"/>
      <c r="X521" s="110"/>
      <c r="Y521" s="110"/>
      <c r="Z521" s="110"/>
    </row>
    <row r="522">
      <c r="A522" s="70"/>
      <c r="B522" s="70"/>
      <c r="D522" s="154"/>
      <c r="O522" s="92"/>
      <c r="P522" s="110"/>
      <c r="Q522" s="110"/>
      <c r="R522" s="110"/>
      <c r="S522" s="110"/>
      <c r="T522" s="110"/>
      <c r="U522" s="110"/>
      <c r="V522" s="110"/>
      <c r="W522" s="110"/>
      <c r="X522" s="110"/>
      <c r="Y522" s="110"/>
      <c r="Z522" s="110"/>
    </row>
    <row r="523">
      <c r="A523" s="70"/>
      <c r="B523" s="70"/>
      <c r="D523" s="154"/>
      <c r="O523" s="92"/>
      <c r="P523" s="110"/>
      <c r="Q523" s="110"/>
      <c r="R523" s="110"/>
      <c r="S523" s="110"/>
      <c r="T523" s="110"/>
      <c r="U523" s="110"/>
      <c r="V523" s="110"/>
      <c r="W523" s="110"/>
      <c r="X523" s="110"/>
      <c r="Y523" s="110"/>
      <c r="Z523" s="110"/>
    </row>
    <row r="524">
      <c r="A524" s="70"/>
      <c r="B524" s="70"/>
      <c r="D524" s="154"/>
      <c r="O524" s="92"/>
      <c r="P524" s="110"/>
      <c r="Q524" s="110"/>
      <c r="R524" s="110"/>
      <c r="S524" s="110"/>
      <c r="T524" s="110"/>
      <c r="U524" s="110"/>
      <c r="V524" s="110"/>
      <c r="W524" s="110"/>
      <c r="X524" s="110"/>
      <c r="Y524" s="110"/>
      <c r="Z524" s="110"/>
    </row>
    <row r="525">
      <c r="A525" s="70"/>
      <c r="B525" s="70"/>
      <c r="D525" s="154"/>
      <c r="O525" s="92"/>
      <c r="P525" s="110"/>
      <c r="Q525" s="110"/>
      <c r="R525" s="110"/>
      <c r="S525" s="110"/>
      <c r="T525" s="110"/>
      <c r="U525" s="110"/>
      <c r="V525" s="110"/>
      <c r="W525" s="110"/>
      <c r="X525" s="110"/>
      <c r="Y525" s="110"/>
      <c r="Z525" s="110"/>
    </row>
    <row r="526">
      <c r="A526" s="70"/>
      <c r="B526" s="70"/>
      <c r="D526" s="154"/>
      <c r="O526" s="92"/>
      <c r="P526" s="110"/>
      <c r="Q526" s="110"/>
      <c r="R526" s="110"/>
      <c r="S526" s="110"/>
      <c r="T526" s="110"/>
      <c r="U526" s="110"/>
      <c r="V526" s="110"/>
      <c r="W526" s="110"/>
      <c r="X526" s="110"/>
      <c r="Y526" s="110"/>
      <c r="Z526" s="110"/>
    </row>
    <row r="527">
      <c r="A527" s="70"/>
      <c r="B527" s="70"/>
      <c r="D527" s="154"/>
      <c r="O527" s="92"/>
      <c r="P527" s="110"/>
      <c r="Q527" s="110"/>
      <c r="R527" s="110"/>
      <c r="S527" s="110"/>
      <c r="T527" s="110"/>
      <c r="U527" s="110"/>
      <c r="V527" s="110"/>
      <c r="W527" s="110"/>
      <c r="X527" s="110"/>
      <c r="Y527" s="110"/>
      <c r="Z527" s="110"/>
    </row>
    <row r="528">
      <c r="A528" s="70"/>
      <c r="B528" s="70"/>
      <c r="D528" s="154"/>
      <c r="O528" s="92"/>
      <c r="P528" s="110"/>
      <c r="Q528" s="110"/>
      <c r="R528" s="110"/>
      <c r="S528" s="110"/>
      <c r="T528" s="110"/>
      <c r="U528" s="110"/>
      <c r="V528" s="110"/>
      <c r="W528" s="110"/>
      <c r="X528" s="110"/>
      <c r="Y528" s="110"/>
      <c r="Z528" s="110"/>
    </row>
    <row r="529">
      <c r="A529" s="70"/>
      <c r="B529" s="70"/>
      <c r="D529" s="154"/>
      <c r="O529" s="92"/>
      <c r="P529" s="110"/>
      <c r="Q529" s="110"/>
      <c r="R529" s="110"/>
      <c r="S529" s="110"/>
      <c r="T529" s="110"/>
      <c r="U529" s="110"/>
      <c r="V529" s="110"/>
      <c r="W529" s="110"/>
      <c r="X529" s="110"/>
      <c r="Y529" s="110"/>
      <c r="Z529" s="110"/>
    </row>
    <row r="530">
      <c r="A530" s="70"/>
      <c r="B530" s="70"/>
      <c r="D530" s="154"/>
      <c r="O530" s="92"/>
      <c r="P530" s="110"/>
      <c r="Q530" s="110"/>
      <c r="R530" s="110"/>
      <c r="S530" s="110"/>
      <c r="T530" s="110"/>
      <c r="U530" s="110"/>
      <c r="V530" s="110"/>
      <c r="W530" s="110"/>
      <c r="X530" s="110"/>
      <c r="Y530" s="110"/>
      <c r="Z530" s="110"/>
    </row>
    <row r="531">
      <c r="A531" s="70"/>
      <c r="B531" s="70"/>
      <c r="D531" s="154"/>
      <c r="O531" s="92"/>
      <c r="P531" s="110"/>
      <c r="Q531" s="110"/>
      <c r="R531" s="110"/>
      <c r="S531" s="110"/>
      <c r="T531" s="110"/>
      <c r="U531" s="110"/>
      <c r="V531" s="110"/>
      <c r="W531" s="110"/>
      <c r="X531" s="110"/>
      <c r="Y531" s="110"/>
      <c r="Z531" s="110"/>
    </row>
    <row r="532">
      <c r="A532" s="70"/>
      <c r="B532" s="70"/>
      <c r="D532" s="154"/>
      <c r="O532" s="92"/>
      <c r="P532" s="110"/>
      <c r="Q532" s="110"/>
      <c r="R532" s="110"/>
      <c r="S532" s="110"/>
      <c r="T532" s="110"/>
      <c r="U532" s="110"/>
      <c r="V532" s="110"/>
      <c r="W532" s="110"/>
      <c r="X532" s="110"/>
      <c r="Y532" s="110"/>
      <c r="Z532" s="110"/>
    </row>
    <row r="533">
      <c r="A533" s="70"/>
      <c r="B533" s="70"/>
      <c r="D533" s="154"/>
      <c r="O533" s="92"/>
      <c r="P533" s="110"/>
      <c r="Q533" s="110"/>
      <c r="R533" s="110"/>
      <c r="S533" s="110"/>
      <c r="T533" s="110"/>
      <c r="U533" s="110"/>
      <c r="V533" s="110"/>
      <c r="W533" s="110"/>
      <c r="X533" s="110"/>
      <c r="Y533" s="110"/>
      <c r="Z533" s="110"/>
    </row>
    <row r="534">
      <c r="A534" s="70"/>
      <c r="B534" s="70"/>
      <c r="D534" s="154"/>
      <c r="O534" s="92"/>
      <c r="P534" s="110"/>
      <c r="Q534" s="110"/>
      <c r="R534" s="110"/>
      <c r="S534" s="110"/>
      <c r="T534" s="110"/>
      <c r="U534" s="110"/>
      <c r="V534" s="110"/>
      <c r="W534" s="110"/>
      <c r="X534" s="110"/>
      <c r="Y534" s="110"/>
      <c r="Z534" s="110"/>
    </row>
    <row r="535">
      <c r="A535" s="70"/>
      <c r="B535" s="70"/>
      <c r="D535" s="154"/>
      <c r="O535" s="92"/>
      <c r="P535" s="110"/>
      <c r="Q535" s="110"/>
      <c r="R535" s="110"/>
      <c r="S535" s="110"/>
      <c r="T535" s="110"/>
      <c r="U535" s="110"/>
      <c r="V535" s="110"/>
      <c r="W535" s="110"/>
      <c r="X535" s="110"/>
      <c r="Y535" s="110"/>
      <c r="Z535" s="110"/>
    </row>
    <row r="536">
      <c r="A536" s="70"/>
      <c r="B536" s="70"/>
      <c r="D536" s="154"/>
      <c r="O536" s="92"/>
      <c r="P536" s="110"/>
      <c r="Q536" s="110"/>
      <c r="R536" s="110"/>
      <c r="S536" s="110"/>
      <c r="T536" s="110"/>
      <c r="U536" s="110"/>
      <c r="V536" s="110"/>
      <c r="W536" s="110"/>
      <c r="X536" s="110"/>
      <c r="Y536" s="110"/>
      <c r="Z536" s="110"/>
    </row>
    <row r="537">
      <c r="A537" s="70"/>
      <c r="B537" s="70"/>
      <c r="D537" s="154"/>
      <c r="O537" s="92"/>
      <c r="P537" s="110"/>
      <c r="Q537" s="110"/>
      <c r="R537" s="110"/>
      <c r="S537" s="110"/>
      <c r="T537" s="110"/>
      <c r="U537" s="110"/>
      <c r="V537" s="110"/>
      <c r="W537" s="110"/>
      <c r="X537" s="110"/>
      <c r="Y537" s="110"/>
      <c r="Z537" s="110"/>
    </row>
    <row r="538">
      <c r="A538" s="70"/>
      <c r="B538" s="70"/>
      <c r="D538" s="154"/>
      <c r="O538" s="92"/>
      <c r="P538" s="110"/>
      <c r="Q538" s="110"/>
      <c r="R538" s="110"/>
      <c r="S538" s="110"/>
      <c r="T538" s="110"/>
      <c r="U538" s="110"/>
      <c r="V538" s="110"/>
      <c r="W538" s="110"/>
      <c r="X538" s="110"/>
      <c r="Y538" s="110"/>
      <c r="Z538" s="110"/>
    </row>
    <row r="539">
      <c r="A539" s="70"/>
      <c r="B539" s="70"/>
      <c r="D539" s="154"/>
      <c r="O539" s="92"/>
      <c r="P539" s="110"/>
      <c r="Q539" s="110"/>
      <c r="R539" s="110"/>
      <c r="S539" s="110"/>
      <c r="T539" s="110"/>
      <c r="U539" s="110"/>
      <c r="V539" s="110"/>
      <c r="W539" s="110"/>
      <c r="X539" s="110"/>
      <c r="Y539" s="110"/>
      <c r="Z539" s="110"/>
    </row>
    <row r="540">
      <c r="A540" s="70"/>
      <c r="B540" s="70"/>
      <c r="D540" s="154"/>
      <c r="O540" s="92"/>
      <c r="P540" s="110"/>
      <c r="Q540" s="110"/>
      <c r="R540" s="110"/>
      <c r="S540" s="110"/>
      <c r="T540" s="110"/>
      <c r="U540" s="110"/>
      <c r="V540" s="110"/>
      <c r="W540" s="110"/>
      <c r="X540" s="110"/>
      <c r="Y540" s="110"/>
      <c r="Z540" s="110"/>
    </row>
    <row r="541">
      <c r="A541" s="70"/>
      <c r="B541" s="70"/>
      <c r="D541" s="154"/>
      <c r="O541" s="92"/>
      <c r="P541" s="110"/>
      <c r="Q541" s="110"/>
      <c r="R541" s="110"/>
      <c r="S541" s="110"/>
      <c r="T541" s="110"/>
      <c r="U541" s="110"/>
      <c r="V541" s="110"/>
      <c r="W541" s="110"/>
      <c r="X541" s="110"/>
      <c r="Y541" s="110"/>
      <c r="Z541" s="110"/>
    </row>
    <row r="542">
      <c r="A542" s="70"/>
      <c r="B542" s="70"/>
      <c r="D542" s="154"/>
      <c r="O542" s="92"/>
      <c r="P542" s="110"/>
      <c r="Q542" s="110"/>
      <c r="R542" s="110"/>
      <c r="S542" s="110"/>
      <c r="T542" s="110"/>
      <c r="U542" s="110"/>
      <c r="V542" s="110"/>
      <c r="W542" s="110"/>
      <c r="X542" s="110"/>
      <c r="Y542" s="110"/>
      <c r="Z542" s="110"/>
    </row>
    <row r="543">
      <c r="A543" s="70"/>
      <c r="B543" s="70"/>
      <c r="D543" s="154"/>
      <c r="O543" s="92"/>
      <c r="P543" s="110"/>
      <c r="Q543" s="110"/>
      <c r="R543" s="110"/>
      <c r="S543" s="110"/>
      <c r="T543" s="110"/>
      <c r="U543" s="110"/>
      <c r="V543" s="110"/>
      <c r="W543" s="110"/>
      <c r="X543" s="110"/>
      <c r="Y543" s="110"/>
      <c r="Z543" s="110"/>
    </row>
    <row r="544">
      <c r="A544" s="70"/>
      <c r="B544" s="70"/>
      <c r="D544" s="154"/>
      <c r="O544" s="92"/>
      <c r="P544" s="110"/>
      <c r="Q544" s="110"/>
      <c r="R544" s="110"/>
      <c r="S544" s="110"/>
      <c r="T544" s="110"/>
      <c r="U544" s="110"/>
      <c r="V544" s="110"/>
      <c r="W544" s="110"/>
      <c r="X544" s="110"/>
      <c r="Y544" s="110"/>
      <c r="Z544" s="110"/>
    </row>
    <row r="545">
      <c r="A545" s="70"/>
      <c r="B545" s="70"/>
      <c r="D545" s="154"/>
      <c r="O545" s="92"/>
      <c r="P545" s="110"/>
      <c r="Q545" s="110"/>
      <c r="R545" s="110"/>
      <c r="S545" s="110"/>
      <c r="T545" s="110"/>
      <c r="U545" s="110"/>
      <c r="V545" s="110"/>
      <c r="W545" s="110"/>
      <c r="X545" s="110"/>
      <c r="Y545" s="110"/>
      <c r="Z545" s="110"/>
    </row>
    <row r="546">
      <c r="A546" s="70"/>
      <c r="B546" s="70"/>
      <c r="D546" s="154"/>
      <c r="O546" s="92"/>
      <c r="P546" s="110"/>
      <c r="Q546" s="110"/>
      <c r="R546" s="110"/>
      <c r="S546" s="110"/>
      <c r="T546" s="110"/>
      <c r="U546" s="110"/>
      <c r="V546" s="110"/>
      <c r="W546" s="110"/>
      <c r="X546" s="110"/>
      <c r="Y546" s="110"/>
      <c r="Z546" s="110"/>
    </row>
    <row r="547">
      <c r="A547" s="70"/>
      <c r="B547" s="70"/>
      <c r="D547" s="154"/>
      <c r="O547" s="92"/>
      <c r="P547" s="110"/>
      <c r="Q547" s="110"/>
      <c r="R547" s="110"/>
      <c r="S547" s="110"/>
      <c r="T547" s="110"/>
      <c r="U547" s="110"/>
      <c r="V547" s="110"/>
      <c r="W547" s="110"/>
      <c r="X547" s="110"/>
      <c r="Y547" s="110"/>
      <c r="Z547" s="110"/>
    </row>
    <row r="548">
      <c r="A548" s="70"/>
      <c r="B548" s="70"/>
      <c r="D548" s="154"/>
      <c r="O548" s="92"/>
      <c r="P548" s="110"/>
      <c r="Q548" s="110"/>
      <c r="R548" s="110"/>
      <c r="S548" s="110"/>
      <c r="T548" s="110"/>
      <c r="U548" s="110"/>
      <c r="V548" s="110"/>
      <c r="W548" s="110"/>
      <c r="X548" s="110"/>
      <c r="Y548" s="110"/>
      <c r="Z548" s="110"/>
    </row>
    <row r="549">
      <c r="A549" s="70"/>
      <c r="B549" s="70"/>
      <c r="D549" s="154"/>
      <c r="O549" s="92"/>
      <c r="P549" s="110"/>
      <c r="Q549" s="110"/>
      <c r="R549" s="110"/>
      <c r="S549" s="110"/>
      <c r="T549" s="110"/>
      <c r="U549" s="110"/>
      <c r="V549" s="110"/>
      <c r="W549" s="110"/>
      <c r="X549" s="110"/>
      <c r="Y549" s="110"/>
      <c r="Z549" s="110"/>
    </row>
    <row r="550">
      <c r="A550" s="70"/>
      <c r="B550" s="70"/>
      <c r="D550" s="154"/>
      <c r="O550" s="92"/>
      <c r="P550" s="110"/>
      <c r="Q550" s="110"/>
      <c r="R550" s="110"/>
      <c r="S550" s="110"/>
      <c r="T550" s="110"/>
      <c r="U550" s="110"/>
      <c r="V550" s="110"/>
      <c r="W550" s="110"/>
      <c r="X550" s="110"/>
      <c r="Y550" s="110"/>
      <c r="Z550" s="110"/>
    </row>
    <row r="551">
      <c r="A551" s="70"/>
      <c r="B551" s="70"/>
      <c r="D551" s="154"/>
      <c r="O551" s="92"/>
      <c r="P551" s="110"/>
      <c r="Q551" s="110"/>
      <c r="R551" s="110"/>
      <c r="S551" s="110"/>
      <c r="T551" s="110"/>
      <c r="U551" s="110"/>
      <c r="V551" s="110"/>
      <c r="W551" s="110"/>
      <c r="X551" s="110"/>
      <c r="Y551" s="110"/>
      <c r="Z551" s="110"/>
    </row>
    <row r="552">
      <c r="A552" s="70"/>
      <c r="B552" s="70"/>
      <c r="D552" s="154"/>
      <c r="O552" s="92"/>
      <c r="P552" s="110"/>
      <c r="Q552" s="110"/>
      <c r="R552" s="110"/>
      <c r="S552" s="110"/>
      <c r="T552" s="110"/>
      <c r="U552" s="110"/>
      <c r="V552" s="110"/>
      <c r="W552" s="110"/>
      <c r="X552" s="110"/>
      <c r="Y552" s="110"/>
      <c r="Z552" s="110"/>
    </row>
    <row r="553">
      <c r="A553" s="70"/>
      <c r="B553" s="70"/>
      <c r="D553" s="154"/>
      <c r="O553" s="92"/>
      <c r="P553" s="110"/>
      <c r="Q553" s="110"/>
      <c r="R553" s="110"/>
      <c r="S553" s="110"/>
      <c r="T553" s="110"/>
      <c r="U553" s="110"/>
      <c r="V553" s="110"/>
      <c r="W553" s="110"/>
      <c r="X553" s="110"/>
      <c r="Y553" s="110"/>
      <c r="Z553" s="110"/>
    </row>
    <row r="554">
      <c r="A554" s="70"/>
      <c r="B554" s="70"/>
      <c r="D554" s="154"/>
      <c r="O554" s="92"/>
      <c r="P554" s="110"/>
      <c r="Q554" s="110"/>
      <c r="R554" s="110"/>
      <c r="S554" s="110"/>
      <c r="T554" s="110"/>
      <c r="U554" s="110"/>
      <c r="V554" s="110"/>
      <c r="W554" s="110"/>
      <c r="X554" s="110"/>
      <c r="Y554" s="110"/>
      <c r="Z554" s="110"/>
    </row>
    <row r="555">
      <c r="A555" s="70"/>
      <c r="B555" s="70"/>
      <c r="D555" s="154"/>
      <c r="O555" s="92"/>
      <c r="P555" s="110"/>
      <c r="Q555" s="110"/>
      <c r="R555" s="110"/>
      <c r="S555" s="110"/>
      <c r="T555" s="110"/>
      <c r="U555" s="110"/>
      <c r="V555" s="110"/>
      <c r="W555" s="110"/>
      <c r="X555" s="110"/>
      <c r="Y555" s="110"/>
      <c r="Z555" s="110"/>
    </row>
    <row r="556">
      <c r="A556" s="70"/>
      <c r="B556" s="70"/>
      <c r="D556" s="154"/>
      <c r="O556" s="92"/>
      <c r="P556" s="110"/>
      <c r="Q556" s="110"/>
      <c r="R556" s="110"/>
      <c r="S556" s="110"/>
      <c r="T556" s="110"/>
      <c r="U556" s="110"/>
      <c r="V556" s="110"/>
      <c r="W556" s="110"/>
      <c r="X556" s="110"/>
      <c r="Y556" s="110"/>
      <c r="Z556" s="110"/>
    </row>
    <row r="557">
      <c r="A557" s="70"/>
      <c r="B557" s="70"/>
      <c r="D557" s="154"/>
      <c r="O557" s="92"/>
      <c r="P557" s="110"/>
      <c r="Q557" s="110"/>
      <c r="R557" s="110"/>
      <c r="S557" s="110"/>
      <c r="T557" s="110"/>
      <c r="U557" s="110"/>
      <c r="V557" s="110"/>
      <c r="W557" s="110"/>
      <c r="X557" s="110"/>
      <c r="Y557" s="110"/>
      <c r="Z557" s="110"/>
    </row>
    <row r="558">
      <c r="A558" s="70"/>
      <c r="B558" s="70"/>
      <c r="D558" s="154"/>
      <c r="O558" s="92"/>
      <c r="P558" s="110"/>
      <c r="Q558" s="110"/>
      <c r="R558" s="110"/>
      <c r="S558" s="110"/>
      <c r="T558" s="110"/>
      <c r="U558" s="110"/>
      <c r="V558" s="110"/>
      <c r="W558" s="110"/>
      <c r="X558" s="110"/>
      <c r="Y558" s="110"/>
      <c r="Z558" s="110"/>
    </row>
    <row r="559">
      <c r="A559" s="70"/>
      <c r="B559" s="70"/>
      <c r="D559" s="154"/>
      <c r="O559" s="92"/>
      <c r="P559" s="110"/>
      <c r="Q559" s="110"/>
      <c r="R559" s="110"/>
      <c r="S559" s="110"/>
      <c r="T559" s="110"/>
      <c r="U559" s="110"/>
      <c r="V559" s="110"/>
      <c r="W559" s="110"/>
      <c r="X559" s="110"/>
      <c r="Y559" s="110"/>
      <c r="Z559" s="110"/>
    </row>
    <row r="560">
      <c r="A560" s="70"/>
      <c r="B560" s="70"/>
      <c r="D560" s="154"/>
      <c r="O560" s="92"/>
      <c r="P560" s="110"/>
      <c r="Q560" s="110"/>
      <c r="R560" s="110"/>
      <c r="S560" s="110"/>
      <c r="T560" s="110"/>
      <c r="U560" s="110"/>
      <c r="V560" s="110"/>
      <c r="W560" s="110"/>
      <c r="X560" s="110"/>
      <c r="Y560" s="110"/>
      <c r="Z560" s="110"/>
    </row>
    <row r="561">
      <c r="A561" s="70"/>
      <c r="B561" s="70"/>
      <c r="D561" s="154"/>
      <c r="O561" s="92"/>
      <c r="P561" s="110"/>
      <c r="Q561" s="110"/>
      <c r="R561" s="110"/>
      <c r="S561" s="110"/>
      <c r="T561" s="110"/>
      <c r="U561" s="110"/>
      <c r="V561" s="110"/>
      <c r="W561" s="110"/>
      <c r="X561" s="110"/>
      <c r="Y561" s="110"/>
      <c r="Z561" s="110"/>
    </row>
    <row r="562">
      <c r="A562" s="70"/>
      <c r="B562" s="70"/>
      <c r="D562" s="154"/>
      <c r="O562" s="92"/>
      <c r="P562" s="110"/>
      <c r="Q562" s="110"/>
      <c r="R562" s="110"/>
      <c r="S562" s="110"/>
      <c r="T562" s="110"/>
      <c r="U562" s="110"/>
      <c r="V562" s="110"/>
      <c r="W562" s="110"/>
      <c r="X562" s="110"/>
      <c r="Y562" s="110"/>
      <c r="Z562" s="110"/>
    </row>
    <row r="563">
      <c r="A563" s="70"/>
      <c r="B563" s="70"/>
      <c r="D563" s="154"/>
      <c r="O563" s="92"/>
      <c r="P563" s="110"/>
      <c r="Q563" s="110"/>
      <c r="R563" s="110"/>
      <c r="S563" s="110"/>
      <c r="T563" s="110"/>
      <c r="U563" s="110"/>
      <c r="V563" s="110"/>
      <c r="W563" s="110"/>
      <c r="X563" s="110"/>
      <c r="Y563" s="110"/>
      <c r="Z563" s="110"/>
    </row>
    <row r="564">
      <c r="A564" s="70"/>
      <c r="B564" s="70"/>
      <c r="D564" s="154"/>
      <c r="O564" s="92"/>
      <c r="P564" s="110"/>
      <c r="Q564" s="110"/>
      <c r="R564" s="110"/>
      <c r="S564" s="110"/>
      <c r="T564" s="110"/>
      <c r="U564" s="110"/>
      <c r="V564" s="110"/>
      <c r="W564" s="110"/>
      <c r="X564" s="110"/>
      <c r="Y564" s="110"/>
      <c r="Z564" s="110"/>
    </row>
    <row r="565">
      <c r="A565" s="70"/>
      <c r="B565" s="70"/>
      <c r="D565" s="154"/>
      <c r="O565" s="92"/>
      <c r="P565" s="110"/>
      <c r="Q565" s="110"/>
      <c r="R565" s="110"/>
      <c r="S565" s="110"/>
      <c r="T565" s="110"/>
      <c r="U565" s="110"/>
      <c r="V565" s="110"/>
      <c r="W565" s="110"/>
      <c r="X565" s="110"/>
      <c r="Y565" s="110"/>
      <c r="Z565" s="110"/>
    </row>
    <row r="566">
      <c r="A566" s="70"/>
      <c r="B566" s="70"/>
      <c r="D566" s="154"/>
      <c r="O566" s="92"/>
      <c r="P566" s="110"/>
      <c r="Q566" s="110"/>
      <c r="R566" s="110"/>
      <c r="S566" s="110"/>
      <c r="T566" s="110"/>
      <c r="U566" s="110"/>
      <c r="V566" s="110"/>
      <c r="W566" s="110"/>
      <c r="X566" s="110"/>
      <c r="Y566" s="110"/>
      <c r="Z566" s="110"/>
    </row>
    <row r="567">
      <c r="A567" s="70"/>
      <c r="B567" s="70"/>
      <c r="D567" s="154"/>
      <c r="O567" s="92"/>
      <c r="P567" s="110"/>
      <c r="Q567" s="110"/>
      <c r="R567" s="110"/>
      <c r="S567" s="110"/>
      <c r="T567" s="110"/>
      <c r="U567" s="110"/>
      <c r="V567" s="110"/>
      <c r="W567" s="110"/>
      <c r="X567" s="110"/>
      <c r="Y567" s="110"/>
      <c r="Z567" s="110"/>
    </row>
    <row r="568">
      <c r="A568" s="70"/>
      <c r="B568" s="70"/>
      <c r="D568" s="154"/>
      <c r="O568" s="92"/>
      <c r="P568" s="110"/>
      <c r="Q568" s="110"/>
      <c r="R568" s="110"/>
      <c r="S568" s="110"/>
      <c r="T568" s="110"/>
      <c r="U568" s="110"/>
      <c r="V568" s="110"/>
      <c r="W568" s="110"/>
      <c r="X568" s="110"/>
      <c r="Y568" s="110"/>
      <c r="Z568" s="110"/>
    </row>
    <row r="569">
      <c r="A569" s="70"/>
      <c r="B569" s="70"/>
      <c r="D569" s="154"/>
      <c r="O569" s="92"/>
      <c r="P569" s="110"/>
      <c r="Q569" s="110"/>
      <c r="R569" s="110"/>
      <c r="S569" s="110"/>
      <c r="T569" s="110"/>
      <c r="U569" s="110"/>
      <c r="V569" s="110"/>
      <c r="W569" s="110"/>
      <c r="X569" s="110"/>
      <c r="Y569" s="110"/>
      <c r="Z569" s="110"/>
    </row>
    <row r="570">
      <c r="A570" s="70"/>
      <c r="B570" s="70"/>
      <c r="D570" s="154"/>
      <c r="O570" s="92"/>
      <c r="P570" s="110"/>
      <c r="Q570" s="110"/>
      <c r="R570" s="110"/>
      <c r="S570" s="110"/>
      <c r="T570" s="110"/>
      <c r="U570" s="110"/>
      <c r="V570" s="110"/>
      <c r="W570" s="110"/>
      <c r="X570" s="110"/>
      <c r="Y570" s="110"/>
      <c r="Z570" s="110"/>
    </row>
    <row r="571">
      <c r="A571" s="70"/>
      <c r="B571" s="70"/>
      <c r="D571" s="154"/>
      <c r="O571" s="92"/>
      <c r="P571" s="110"/>
      <c r="Q571" s="110"/>
      <c r="R571" s="110"/>
      <c r="S571" s="110"/>
      <c r="T571" s="110"/>
      <c r="U571" s="110"/>
      <c r="V571" s="110"/>
      <c r="W571" s="110"/>
      <c r="X571" s="110"/>
      <c r="Y571" s="110"/>
      <c r="Z571" s="110"/>
    </row>
    <row r="572">
      <c r="A572" s="70"/>
      <c r="B572" s="70"/>
      <c r="D572" s="154"/>
      <c r="O572" s="92"/>
      <c r="P572" s="110"/>
      <c r="Q572" s="110"/>
      <c r="R572" s="110"/>
      <c r="S572" s="110"/>
      <c r="T572" s="110"/>
      <c r="U572" s="110"/>
      <c r="V572" s="110"/>
      <c r="W572" s="110"/>
      <c r="X572" s="110"/>
      <c r="Y572" s="110"/>
      <c r="Z572" s="110"/>
    </row>
    <row r="573">
      <c r="A573" s="70"/>
      <c r="B573" s="70"/>
      <c r="D573" s="154"/>
      <c r="O573" s="92"/>
      <c r="P573" s="110"/>
      <c r="Q573" s="110"/>
      <c r="R573" s="110"/>
      <c r="S573" s="110"/>
      <c r="T573" s="110"/>
      <c r="U573" s="110"/>
      <c r="V573" s="110"/>
      <c r="W573" s="110"/>
      <c r="X573" s="110"/>
      <c r="Y573" s="110"/>
      <c r="Z573" s="110"/>
    </row>
    <row r="574">
      <c r="A574" s="70"/>
      <c r="B574" s="70"/>
      <c r="D574" s="154"/>
      <c r="O574" s="92"/>
      <c r="P574" s="110"/>
      <c r="Q574" s="110"/>
      <c r="R574" s="110"/>
      <c r="S574" s="110"/>
      <c r="T574" s="110"/>
      <c r="U574" s="110"/>
      <c r="V574" s="110"/>
      <c r="W574" s="110"/>
      <c r="X574" s="110"/>
      <c r="Y574" s="110"/>
      <c r="Z574" s="110"/>
    </row>
    <row r="575">
      <c r="A575" s="70"/>
      <c r="B575" s="70"/>
      <c r="D575" s="154"/>
      <c r="O575" s="92"/>
      <c r="P575" s="110"/>
      <c r="Q575" s="110"/>
      <c r="R575" s="110"/>
      <c r="S575" s="110"/>
      <c r="T575" s="110"/>
      <c r="U575" s="110"/>
      <c r="V575" s="110"/>
      <c r="W575" s="110"/>
      <c r="X575" s="110"/>
      <c r="Y575" s="110"/>
      <c r="Z575" s="110"/>
    </row>
    <row r="576">
      <c r="A576" s="70"/>
      <c r="B576" s="70"/>
      <c r="D576" s="154"/>
      <c r="O576" s="92"/>
      <c r="P576" s="110"/>
      <c r="Q576" s="110"/>
      <c r="R576" s="110"/>
      <c r="S576" s="110"/>
      <c r="T576" s="110"/>
      <c r="U576" s="110"/>
      <c r="V576" s="110"/>
      <c r="W576" s="110"/>
      <c r="X576" s="110"/>
      <c r="Y576" s="110"/>
      <c r="Z576" s="110"/>
    </row>
    <row r="577">
      <c r="A577" s="70"/>
      <c r="B577" s="70"/>
      <c r="D577" s="154"/>
      <c r="O577" s="92"/>
      <c r="P577" s="110"/>
      <c r="Q577" s="110"/>
      <c r="R577" s="110"/>
      <c r="S577" s="110"/>
      <c r="T577" s="110"/>
      <c r="U577" s="110"/>
      <c r="V577" s="110"/>
      <c r="W577" s="110"/>
      <c r="X577" s="110"/>
      <c r="Y577" s="110"/>
      <c r="Z577" s="110"/>
    </row>
    <row r="578">
      <c r="A578" s="70"/>
      <c r="B578" s="70"/>
      <c r="D578" s="154"/>
      <c r="O578" s="92"/>
      <c r="P578" s="110"/>
      <c r="Q578" s="110"/>
      <c r="R578" s="110"/>
      <c r="S578" s="110"/>
      <c r="T578" s="110"/>
      <c r="U578" s="110"/>
      <c r="V578" s="110"/>
      <c r="W578" s="110"/>
      <c r="X578" s="110"/>
      <c r="Y578" s="110"/>
      <c r="Z578" s="110"/>
    </row>
    <row r="579">
      <c r="A579" s="70"/>
      <c r="B579" s="70"/>
      <c r="D579" s="154"/>
      <c r="O579" s="92"/>
      <c r="P579" s="110"/>
      <c r="Q579" s="110"/>
      <c r="R579" s="110"/>
      <c r="S579" s="110"/>
      <c r="T579" s="110"/>
      <c r="U579" s="110"/>
      <c r="V579" s="110"/>
      <c r="W579" s="110"/>
      <c r="X579" s="110"/>
      <c r="Y579" s="110"/>
      <c r="Z579" s="110"/>
    </row>
    <row r="580">
      <c r="A580" s="70"/>
      <c r="B580" s="70"/>
      <c r="D580" s="154"/>
      <c r="O580" s="92"/>
      <c r="P580" s="110"/>
      <c r="Q580" s="110"/>
      <c r="R580" s="110"/>
      <c r="S580" s="110"/>
      <c r="T580" s="110"/>
      <c r="U580" s="110"/>
      <c r="V580" s="110"/>
      <c r="W580" s="110"/>
      <c r="X580" s="110"/>
      <c r="Y580" s="110"/>
      <c r="Z580" s="110"/>
    </row>
    <row r="581">
      <c r="A581" s="70"/>
      <c r="B581" s="70"/>
      <c r="D581" s="154"/>
      <c r="O581" s="92"/>
      <c r="P581" s="110"/>
      <c r="Q581" s="110"/>
      <c r="R581" s="110"/>
      <c r="S581" s="110"/>
      <c r="T581" s="110"/>
      <c r="U581" s="110"/>
      <c r="V581" s="110"/>
      <c r="W581" s="110"/>
      <c r="X581" s="110"/>
      <c r="Y581" s="110"/>
      <c r="Z581" s="110"/>
    </row>
    <row r="582">
      <c r="A582" s="70"/>
      <c r="B582" s="70"/>
      <c r="D582" s="154"/>
      <c r="O582" s="92"/>
      <c r="P582" s="110"/>
      <c r="Q582" s="110"/>
      <c r="R582" s="110"/>
      <c r="S582" s="110"/>
      <c r="T582" s="110"/>
      <c r="U582" s="110"/>
      <c r="V582" s="110"/>
      <c r="W582" s="110"/>
      <c r="X582" s="110"/>
      <c r="Y582" s="110"/>
      <c r="Z582" s="110"/>
    </row>
    <row r="583">
      <c r="A583" s="70"/>
      <c r="B583" s="70"/>
      <c r="D583" s="154"/>
      <c r="O583" s="92"/>
      <c r="P583" s="110"/>
      <c r="Q583" s="110"/>
      <c r="R583" s="110"/>
      <c r="S583" s="110"/>
      <c r="T583" s="110"/>
      <c r="U583" s="110"/>
      <c r="V583" s="110"/>
      <c r="W583" s="110"/>
      <c r="X583" s="110"/>
      <c r="Y583" s="110"/>
      <c r="Z583" s="110"/>
    </row>
    <row r="584">
      <c r="A584" s="70"/>
      <c r="B584" s="70"/>
      <c r="D584" s="154"/>
      <c r="O584" s="92"/>
      <c r="P584" s="110"/>
      <c r="Q584" s="110"/>
      <c r="R584" s="110"/>
      <c r="S584" s="110"/>
      <c r="T584" s="110"/>
      <c r="U584" s="110"/>
      <c r="V584" s="110"/>
      <c r="W584" s="110"/>
      <c r="X584" s="110"/>
      <c r="Y584" s="110"/>
      <c r="Z584" s="110"/>
    </row>
    <row r="585">
      <c r="A585" s="70"/>
      <c r="B585" s="70"/>
      <c r="D585" s="154"/>
      <c r="O585" s="92"/>
      <c r="P585" s="110"/>
      <c r="Q585" s="110"/>
      <c r="R585" s="110"/>
      <c r="S585" s="110"/>
      <c r="T585" s="110"/>
      <c r="U585" s="110"/>
      <c r="V585" s="110"/>
      <c r="W585" s="110"/>
      <c r="X585" s="110"/>
      <c r="Y585" s="110"/>
      <c r="Z585" s="110"/>
    </row>
    <row r="586">
      <c r="A586" s="70"/>
      <c r="B586" s="70"/>
      <c r="D586" s="154"/>
      <c r="O586" s="92"/>
      <c r="P586" s="110"/>
      <c r="Q586" s="110"/>
      <c r="R586" s="110"/>
      <c r="S586" s="110"/>
      <c r="T586" s="110"/>
      <c r="U586" s="110"/>
      <c r="V586" s="110"/>
      <c r="W586" s="110"/>
      <c r="X586" s="110"/>
      <c r="Y586" s="110"/>
      <c r="Z586" s="110"/>
    </row>
    <row r="587">
      <c r="A587" s="70"/>
      <c r="B587" s="70"/>
      <c r="D587" s="154"/>
      <c r="O587" s="92"/>
      <c r="P587" s="110"/>
      <c r="Q587" s="110"/>
      <c r="R587" s="110"/>
      <c r="S587" s="110"/>
      <c r="T587" s="110"/>
      <c r="U587" s="110"/>
      <c r="V587" s="110"/>
      <c r="W587" s="110"/>
      <c r="X587" s="110"/>
      <c r="Y587" s="110"/>
      <c r="Z587" s="110"/>
    </row>
    <row r="588">
      <c r="A588" s="70"/>
      <c r="B588" s="70"/>
      <c r="D588" s="154"/>
      <c r="O588" s="92"/>
      <c r="P588" s="110"/>
      <c r="Q588" s="110"/>
      <c r="R588" s="110"/>
      <c r="S588" s="110"/>
      <c r="T588" s="110"/>
      <c r="U588" s="110"/>
      <c r="V588" s="110"/>
      <c r="W588" s="110"/>
      <c r="X588" s="110"/>
      <c r="Y588" s="110"/>
      <c r="Z588" s="110"/>
    </row>
    <row r="589">
      <c r="A589" s="70"/>
      <c r="B589" s="70"/>
      <c r="D589" s="154"/>
      <c r="O589" s="92"/>
      <c r="P589" s="110"/>
      <c r="Q589" s="110"/>
      <c r="R589" s="110"/>
      <c r="S589" s="110"/>
      <c r="T589" s="110"/>
      <c r="U589" s="110"/>
      <c r="V589" s="110"/>
      <c r="W589" s="110"/>
      <c r="X589" s="110"/>
      <c r="Y589" s="110"/>
      <c r="Z589" s="110"/>
    </row>
    <row r="590">
      <c r="A590" s="70"/>
      <c r="B590" s="70"/>
      <c r="D590" s="154"/>
      <c r="O590" s="92"/>
      <c r="P590" s="110"/>
      <c r="Q590" s="110"/>
      <c r="R590" s="110"/>
      <c r="S590" s="110"/>
      <c r="T590" s="110"/>
      <c r="U590" s="110"/>
      <c r="V590" s="110"/>
      <c r="W590" s="110"/>
      <c r="X590" s="110"/>
      <c r="Y590" s="110"/>
      <c r="Z590" s="110"/>
    </row>
    <row r="591">
      <c r="A591" s="70"/>
      <c r="B591" s="70"/>
      <c r="D591" s="154"/>
      <c r="O591" s="92"/>
      <c r="P591" s="110"/>
      <c r="Q591" s="110"/>
      <c r="R591" s="110"/>
      <c r="S591" s="110"/>
      <c r="T591" s="110"/>
      <c r="U591" s="110"/>
      <c r="V591" s="110"/>
      <c r="W591" s="110"/>
      <c r="X591" s="110"/>
      <c r="Y591" s="110"/>
      <c r="Z591" s="110"/>
    </row>
    <row r="592">
      <c r="A592" s="70"/>
      <c r="B592" s="70"/>
      <c r="D592" s="154"/>
      <c r="O592" s="92"/>
      <c r="P592" s="110"/>
      <c r="Q592" s="110"/>
      <c r="R592" s="110"/>
      <c r="S592" s="110"/>
      <c r="T592" s="110"/>
      <c r="U592" s="110"/>
      <c r="V592" s="110"/>
      <c r="W592" s="110"/>
      <c r="X592" s="110"/>
      <c r="Y592" s="110"/>
      <c r="Z592" s="110"/>
    </row>
    <row r="593">
      <c r="A593" s="70"/>
      <c r="B593" s="70"/>
      <c r="D593" s="154"/>
      <c r="O593" s="92"/>
      <c r="P593" s="110"/>
      <c r="Q593" s="110"/>
      <c r="R593" s="110"/>
      <c r="S593" s="110"/>
      <c r="T593" s="110"/>
      <c r="U593" s="110"/>
      <c r="V593" s="110"/>
      <c r="W593" s="110"/>
      <c r="X593" s="110"/>
      <c r="Y593" s="110"/>
      <c r="Z593" s="110"/>
    </row>
    <row r="594">
      <c r="A594" s="70"/>
      <c r="B594" s="70"/>
      <c r="D594" s="154"/>
      <c r="O594" s="92"/>
      <c r="P594" s="110"/>
      <c r="Q594" s="110"/>
      <c r="R594" s="110"/>
      <c r="S594" s="110"/>
      <c r="T594" s="110"/>
      <c r="U594" s="110"/>
      <c r="V594" s="110"/>
      <c r="W594" s="110"/>
      <c r="X594" s="110"/>
      <c r="Y594" s="110"/>
      <c r="Z594" s="110"/>
    </row>
    <row r="595">
      <c r="A595" s="70"/>
      <c r="B595" s="70"/>
      <c r="D595" s="154"/>
      <c r="O595" s="92"/>
      <c r="P595" s="110"/>
      <c r="Q595" s="110"/>
      <c r="R595" s="110"/>
      <c r="S595" s="110"/>
      <c r="T595" s="110"/>
      <c r="U595" s="110"/>
      <c r="V595" s="110"/>
      <c r="W595" s="110"/>
      <c r="X595" s="110"/>
      <c r="Y595" s="110"/>
      <c r="Z595" s="110"/>
    </row>
    <row r="596">
      <c r="A596" s="70"/>
      <c r="B596" s="70"/>
      <c r="D596" s="154"/>
      <c r="O596" s="92"/>
      <c r="P596" s="110"/>
      <c r="Q596" s="110"/>
      <c r="R596" s="110"/>
      <c r="S596" s="110"/>
      <c r="T596" s="110"/>
      <c r="U596" s="110"/>
      <c r="V596" s="110"/>
      <c r="W596" s="110"/>
      <c r="X596" s="110"/>
      <c r="Y596" s="110"/>
      <c r="Z596" s="110"/>
    </row>
    <row r="597">
      <c r="A597" s="70"/>
      <c r="B597" s="70"/>
      <c r="D597" s="154"/>
      <c r="O597" s="92"/>
      <c r="P597" s="110"/>
      <c r="Q597" s="110"/>
      <c r="R597" s="110"/>
      <c r="S597" s="110"/>
      <c r="T597" s="110"/>
      <c r="U597" s="110"/>
      <c r="V597" s="110"/>
      <c r="W597" s="110"/>
      <c r="X597" s="110"/>
      <c r="Y597" s="110"/>
      <c r="Z597" s="110"/>
    </row>
    <row r="598">
      <c r="A598" s="70"/>
      <c r="B598" s="70"/>
      <c r="D598" s="154"/>
      <c r="O598" s="92"/>
      <c r="P598" s="110"/>
      <c r="Q598" s="110"/>
      <c r="R598" s="110"/>
      <c r="S598" s="110"/>
      <c r="T598" s="110"/>
      <c r="U598" s="110"/>
      <c r="V598" s="110"/>
      <c r="W598" s="110"/>
      <c r="X598" s="110"/>
      <c r="Y598" s="110"/>
      <c r="Z598" s="110"/>
    </row>
    <row r="599">
      <c r="A599" s="70"/>
      <c r="B599" s="70"/>
      <c r="D599" s="154"/>
      <c r="O599" s="92"/>
      <c r="P599" s="110"/>
      <c r="Q599" s="110"/>
      <c r="R599" s="110"/>
      <c r="S599" s="110"/>
      <c r="T599" s="110"/>
      <c r="U599" s="110"/>
      <c r="V599" s="110"/>
      <c r="W599" s="110"/>
      <c r="X599" s="110"/>
      <c r="Y599" s="110"/>
      <c r="Z599" s="110"/>
    </row>
    <row r="600">
      <c r="A600" s="70"/>
      <c r="B600" s="70"/>
      <c r="D600" s="154"/>
      <c r="O600" s="92"/>
      <c r="P600" s="110"/>
      <c r="Q600" s="110"/>
      <c r="R600" s="110"/>
      <c r="S600" s="110"/>
      <c r="T600" s="110"/>
      <c r="U600" s="110"/>
      <c r="V600" s="110"/>
      <c r="W600" s="110"/>
      <c r="X600" s="110"/>
      <c r="Y600" s="110"/>
      <c r="Z600" s="110"/>
    </row>
    <row r="601">
      <c r="A601" s="70"/>
      <c r="B601" s="70"/>
      <c r="D601" s="154"/>
      <c r="O601" s="92"/>
      <c r="P601" s="110"/>
      <c r="Q601" s="110"/>
      <c r="R601" s="110"/>
      <c r="S601" s="110"/>
      <c r="T601" s="110"/>
      <c r="U601" s="110"/>
      <c r="V601" s="110"/>
      <c r="W601" s="110"/>
      <c r="X601" s="110"/>
      <c r="Y601" s="110"/>
      <c r="Z601" s="110"/>
    </row>
    <row r="602">
      <c r="A602" s="70"/>
      <c r="B602" s="70"/>
      <c r="D602" s="154"/>
      <c r="O602" s="92"/>
      <c r="P602" s="110"/>
      <c r="Q602" s="110"/>
      <c r="R602" s="110"/>
      <c r="S602" s="110"/>
      <c r="T602" s="110"/>
      <c r="U602" s="110"/>
      <c r="V602" s="110"/>
      <c r="W602" s="110"/>
      <c r="X602" s="110"/>
      <c r="Y602" s="110"/>
      <c r="Z602" s="110"/>
    </row>
    <row r="603">
      <c r="A603" s="70"/>
      <c r="B603" s="70"/>
      <c r="D603" s="154"/>
      <c r="O603" s="92"/>
      <c r="P603" s="110"/>
      <c r="Q603" s="110"/>
      <c r="R603" s="110"/>
      <c r="S603" s="110"/>
      <c r="T603" s="110"/>
      <c r="U603" s="110"/>
      <c r="V603" s="110"/>
      <c r="W603" s="110"/>
      <c r="X603" s="110"/>
      <c r="Y603" s="110"/>
      <c r="Z603" s="110"/>
    </row>
    <row r="604">
      <c r="A604" s="70"/>
      <c r="B604" s="70"/>
      <c r="D604" s="154"/>
      <c r="O604" s="92"/>
      <c r="P604" s="110"/>
      <c r="Q604" s="110"/>
      <c r="R604" s="110"/>
      <c r="S604" s="110"/>
      <c r="T604" s="110"/>
      <c r="U604" s="110"/>
      <c r="V604" s="110"/>
      <c r="W604" s="110"/>
      <c r="X604" s="110"/>
      <c r="Y604" s="110"/>
      <c r="Z604" s="110"/>
    </row>
    <row r="605">
      <c r="A605" s="70"/>
      <c r="B605" s="70"/>
      <c r="D605" s="154"/>
      <c r="O605" s="92"/>
      <c r="P605" s="110"/>
      <c r="Q605" s="110"/>
      <c r="R605" s="110"/>
      <c r="S605" s="110"/>
      <c r="T605" s="110"/>
      <c r="U605" s="110"/>
      <c r="V605" s="110"/>
      <c r="W605" s="110"/>
      <c r="X605" s="110"/>
      <c r="Y605" s="110"/>
      <c r="Z605" s="110"/>
    </row>
    <row r="606">
      <c r="A606" s="70"/>
      <c r="B606" s="70"/>
      <c r="D606" s="154"/>
      <c r="O606" s="92"/>
      <c r="P606" s="110"/>
      <c r="Q606" s="110"/>
      <c r="R606" s="110"/>
      <c r="S606" s="110"/>
      <c r="T606" s="110"/>
      <c r="U606" s="110"/>
      <c r="V606" s="110"/>
      <c r="W606" s="110"/>
      <c r="X606" s="110"/>
      <c r="Y606" s="110"/>
      <c r="Z606" s="110"/>
    </row>
    <row r="607">
      <c r="A607" s="70"/>
      <c r="B607" s="70"/>
      <c r="D607" s="154"/>
      <c r="O607" s="92"/>
      <c r="P607" s="110"/>
      <c r="Q607" s="110"/>
      <c r="R607" s="110"/>
      <c r="S607" s="110"/>
      <c r="T607" s="110"/>
      <c r="U607" s="110"/>
      <c r="V607" s="110"/>
      <c r="W607" s="110"/>
      <c r="X607" s="110"/>
      <c r="Y607" s="110"/>
      <c r="Z607" s="110"/>
    </row>
    <row r="608">
      <c r="A608" s="70"/>
      <c r="B608" s="70"/>
      <c r="D608" s="154"/>
      <c r="O608" s="92"/>
      <c r="P608" s="110"/>
      <c r="Q608" s="110"/>
      <c r="R608" s="110"/>
      <c r="S608" s="110"/>
      <c r="T608" s="110"/>
      <c r="U608" s="110"/>
      <c r="V608" s="110"/>
      <c r="W608" s="110"/>
      <c r="X608" s="110"/>
      <c r="Y608" s="110"/>
      <c r="Z608" s="110"/>
    </row>
    <row r="609">
      <c r="A609" s="70"/>
      <c r="B609" s="70"/>
      <c r="D609" s="154"/>
      <c r="O609" s="92"/>
      <c r="P609" s="110"/>
      <c r="Q609" s="110"/>
      <c r="R609" s="110"/>
      <c r="S609" s="110"/>
      <c r="T609" s="110"/>
      <c r="U609" s="110"/>
      <c r="V609" s="110"/>
      <c r="W609" s="110"/>
      <c r="X609" s="110"/>
      <c r="Y609" s="110"/>
      <c r="Z609" s="110"/>
    </row>
    <row r="610">
      <c r="A610" s="70"/>
      <c r="B610" s="70"/>
      <c r="D610" s="154"/>
      <c r="O610" s="92"/>
      <c r="P610" s="110"/>
      <c r="Q610" s="110"/>
      <c r="R610" s="110"/>
      <c r="S610" s="110"/>
      <c r="T610" s="110"/>
      <c r="U610" s="110"/>
      <c r="V610" s="110"/>
      <c r="W610" s="110"/>
      <c r="X610" s="110"/>
      <c r="Y610" s="110"/>
      <c r="Z610" s="110"/>
    </row>
    <row r="611">
      <c r="A611" s="70"/>
      <c r="B611" s="70"/>
      <c r="D611" s="154"/>
      <c r="O611" s="92"/>
      <c r="P611" s="110"/>
      <c r="Q611" s="110"/>
      <c r="R611" s="110"/>
      <c r="S611" s="110"/>
      <c r="T611" s="110"/>
      <c r="U611" s="110"/>
      <c r="V611" s="110"/>
      <c r="W611" s="110"/>
      <c r="X611" s="110"/>
      <c r="Y611" s="110"/>
      <c r="Z611" s="110"/>
    </row>
    <row r="612">
      <c r="A612" s="70"/>
      <c r="B612" s="70"/>
      <c r="D612" s="154"/>
      <c r="O612" s="92"/>
      <c r="P612" s="110"/>
      <c r="Q612" s="110"/>
      <c r="R612" s="110"/>
      <c r="S612" s="110"/>
      <c r="T612" s="110"/>
      <c r="U612" s="110"/>
      <c r="V612" s="110"/>
      <c r="W612" s="110"/>
      <c r="X612" s="110"/>
      <c r="Y612" s="110"/>
      <c r="Z612" s="110"/>
    </row>
    <row r="613">
      <c r="A613" s="70"/>
      <c r="B613" s="70"/>
      <c r="D613" s="154"/>
      <c r="O613" s="92"/>
      <c r="P613" s="110"/>
      <c r="Q613" s="110"/>
      <c r="R613" s="110"/>
      <c r="S613" s="110"/>
      <c r="T613" s="110"/>
      <c r="U613" s="110"/>
      <c r="V613" s="110"/>
      <c r="W613" s="110"/>
      <c r="X613" s="110"/>
      <c r="Y613" s="110"/>
      <c r="Z613" s="110"/>
    </row>
    <row r="614">
      <c r="A614" s="70"/>
      <c r="B614" s="70"/>
      <c r="D614" s="154"/>
      <c r="O614" s="92"/>
      <c r="P614" s="110"/>
      <c r="Q614" s="110"/>
      <c r="R614" s="110"/>
      <c r="S614" s="110"/>
      <c r="T614" s="110"/>
      <c r="U614" s="110"/>
      <c r="V614" s="110"/>
      <c r="W614" s="110"/>
      <c r="X614" s="110"/>
      <c r="Y614" s="110"/>
      <c r="Z614" s="110"/>
    </row>
    <row r="615">
      <c r="A615" s="70"/>
      <c r="B615" s="70"/>
      <c r="D615" s="154"/>
      <c r="O615" s="92"/>
      <c r="P615" s="110"/>
      <c r="Q615" s="110"/>
      <c r="R615" s="110"/>
      <c r="S615" s="110"/>
      <c r="T615" s="110"/>
      <c r="U615" s="110"/>
      <c r="V615" s="110"/>
      <c r="W615" s="110"/>
      <c r="X615" s="110"/>
      <c r="Y615" s="110"/>
      <c r="Z615" s="110"/>
    </row>
    <row r="616">
      <c r="A616" s="70"/>
      <c r="B616" s="70"/>
      <c r="D616" s="154"/>
      <c r="O616" s="92"/>
      <c r="P616" s="110"/>
      <c r="Q616" s="110"/>
      <c r="R616" s="110"/>
      <c r="S616" s="110"/>
      <c r="T616" s="110"/>
      <c r="U616" s="110"/>
      <c r="V616" s="110"/>
      <c r="W616" s="110"/>
      <c r="X616" s="110"/>
      <c r="Y616" s="110"/>
      <c r="Z616" s="110"/>
    </row>
    <row r="617">
      <c r="A617" s="70"/>
      <c r="B617" s="70"/>
      <c r="D617" s="154"/>
      <c r="O617" s="92"/>
      <c r="P617" s="110"/>
      <c r="Q617" s="110"/>
      <c r="R617" s="110"/>
      <c r="S617" s="110"/>
      <c r="T617" s="110"/>
      <c r="U617" s="110"/>
      <c r="V617" s="110"/>
      <c r="W617" s="110"/>
      <c r="X617" s="110"/>
      <c r="Y617" s="110"/>
      <c r="Z617" s="110"/>
    </row>
    <row r="618">
      <c r="A618" s="70"/>
      <c r="B618" s="70"/>
      <c r="D618" s="154"/>
      <c r="O618" s="92"/>
      <c r="P618" s="110"/>
      <c r="Q618" s="110"/>
      <c r="R618" s="110"/>
      <c r="S618" s="110"/>
      <c r="T618" s="110"/>
      <c r="U618" s="110"/>
      <c r="V618" s="110"/>
      <c r="W618" s="110"/>
      <c r="X618" s="110"/>
      <c r="Y618" s="110"/>
      <c r="Z618" s="110"/>
    </row>
    <row r="619">
      <c r="A619" s="70"/>
      <c r="B619" s="70"/>
      <c r="D619" s="154"/>
      <c r="O619" s="92"/>
      <c r="P619" s="110"/>
      <c r="Q619" s="110"/>
      <c r="R619" s="110"/>
      <c r="S619" s="110"/>
      <c r="T619" s="110"/>
      <c r="U619" s="110"/>
      <c r="V619" s="110"/>
      <c r="W619" s="110"/>
      <c r="X619" s="110"/>
      <c r="Y619" s="110"/>
      <c r="Z619" s="110"/>
    </row>
    <row r="620">
      <c r="A620" s="70"/>
      <c r="B620" s="70"/>
      <c r="D620" s="154"/>
      <c r="O620" s="92"/>
      <c r="P620" s="110"/>
      <c r="Q620" s="110"/>
      <c r="R620" s="110"/>
      <c r="S620" s="110"/>
      <c r="T620" s="110"/>
      <c r="U620" s="110"/>
      <c r="V620" s="110"/>
      <c r="W620" s="110"/>
      <c r="X620" s="110"/>
      <c r="Y620" s="110"/>
      <c r="Z620" s="110"/>
    </row>
    <row r="621">
      <c r="A621" s="70"/>
      <c r="B621" s="70"/>
      <c r="D621" s="154"/>
      <c r="O621" s="92"/>
      <c r="P621" s="110"/>
      <c r="Q621" s="110"/>
      <c r="R621" s="110"/>
      <c r="S621" s="110"/>
      <c r="T621" s="110"/>
      <c r="U621" s="110"/>
      <c r="V621" s="110"/>
      <c r="W621" s="110"/>
      <c r="X621" s="110"/>
      <c r="Y621" s="110"/>
      <c r="Z621" s="110"/>
    </row>
    <row r="622">
      <c r="A622" s="70"/>
      <c r="B622" s="70"/>
      <c r="D622" s="154"/>
      <c r="O622" s="92"/>
      <c r="P622" s="110"/>
      <c r="Q622" s="110"/>
      <c r="R622" s="110"/>
      <c r="S622" s="110"/>
      <c r="T622" s="110"/>
      <c r="U622" s="110"/>
      <c r="V622" s="110"/>
      <c r="W622" s="110"/>
      <c r="X622" s="110"/>
      <c r="Y622" s="110"/>
      <c r="Z622" s="110"/>
    </row>
    <row r="623">
      <c r="A623" s="70"/>
      <c r="B623" s="70"/>
      <c r="D623" s="154"/>
      <c r="O623" s="92"/>
      <c r="P623" s="110"/>
      <c r="Q623" s="110"/>
      <c r="R623" s="110"/>
      <c r="S623" s="110"/>
      <c r="T623" s="110"/>
      <c r="U623" s="110"/>
      <c r="V623" s="110"/>
      <c r="W623" s="110"/>
      <c r="X623" s="110"/>
      <c r="Y623" s="110"/>
      <c r="Z623" s="110"/>
    </row>
    <row r="624">
      <c r="A624" s="70"/>
      <c r="B624" s="70"/>
      <c r="D624" s="154"/>
      <c r="O624" s="92"/>
      <c r="P624" s="110"/>
      <c r="Q624" s="110"/>
      <c r="R624" s="110"/>
      <c r="S624" s="110"/>
      <c r="T624" s="110"/>
      <c r="U624" s="110"/>
      <c r="V624" s="110"/>
      <c r="W624" s="110"/>
      <c r="X624" s="110"/>
      <c r="Y624" s="110"/>
      <c r="Z624" s="110"/>
    </row>
    <row r="625">
      <c r="A625" s="70"/>
      <c r="B625" s="70"/>
      <c r="D625" s="154"/>
      <c r="O625" s="92"/>
      <c r="P625" s="110"/>
      <c r="Q625" s="110"/>
      <c r="R625" s="110"/>
      <c r="S625" s="110"/>
      <c r="T625" s="110"/>
      <c r="U625" s="110"/>
      <c r="V625" s="110"/>
      <c r="W625" s="110"/>
      <c r="X625" s="110"/>
      <c r="Y625" s="110"/>
      <c r="Z625" s="110"/>
    </row>
    <row r="626">
      <c r="A626" s="70"/>
      <c r="B626" s="70"/>
      <c r="D626" s="154"/>
      <c r="O626" s="92"/>
      <c r="P626" s="110"/>
      <c r="Q626" s="110"/>
      <c r="R626" s="110"/>
      <c r="S626" s="110"/>
      <c r="T626" s="110"/>
      <c r="U626" s="110"/>
      <c r="V626" s="110"/>
      <c r="W626" s="110"/>
      <c r="X626" s="110"/>
      <c r="Y626" s="110"/>
      <c r="Z626" s="110"/>
    </row>
    <row r="627">
      <c r="A627" s="70"/>
      <c r="B627" s="70"/>
      <c r="D627" s="154"/>
      <c r="O627" s="92"/>
      <c r="P627" s="110"/>
      <c r="Q627" s="110"/>
      <c r="R627" s="110"/>
      <c r="S627" s="110"/>
      <c r="T627" s="110"/>
      <c r="U627" s="110"/>
      <c r="V627" s="110"/>
      <c r="W627" s="110"/>
      <c r="X627" s="110"/>
      <c r="Y627" s="110"/>
      <c r="Z627" s="110"/>
    </row>
    <row r="628">
      <c r="A628" s="70"/>
      <c r="B628" s="70"/>
      <c r="D628" s="154"/>
      <c r="O628" s="92"/>
      <c r="P628" s="110"/>
      <c r="Q628" s="110"/>
      <c r="R628" s="110"/>
      <c r="S628" s="110"/>
      <c r="T628" s="110"/>
      <c r="U628" s="110"/>
      <c r="V628" s="110"/>
      <c r="W628" s="110"/>
      <c r="X628" s="110"/>
      <c r="Y628" s="110"/>
      <c r="Z628" s="110"/>
    </row>
    <row r="629">
      <c r="A629" s="70"/>
      <c r="B629" s="70"/>
      <c r="D629" s="154"/>
      <c r="O629" s="92"/>
      <c r="P629" s="110"/>
      <c r="Q629" s="110"/>
      <c r="R629" s="110"/>
      <c r="S629" s="110"/>
      <c r="T629" s="110"/>
      <c r="U629" s="110"/>
      <c r="V629" s="110"/>
      <c r="W629" s="110"/>
      <c r="X629" s="110"/>
      <c r="Y629" s="110"/>
      <c r="Z629" s="110"/>
    </row>
    <row r="630">
      <c r="A630" s="70"/>
      <c r="B630" s="70"/>
      <c r="D630" s="154"/>
      <c r="O630" s="92"/>
      <c r="P630" s="110"/>
      <c r="Q630" s="110"/>
      <c r="R630" s="110"/>
      <c r="S630" s="110"/>
      <c r="T630" s="110"/>
      <c r="U630" s="110"/>
      <c r="V630" s="110"/>
      <c r="W630" s="110"/>
      <c r="X630" s="110"/>
      <c r="Y630" s="110"/>
      <c r="Z630" s="110"/>
    </row>
    <row r="631">
      <c r="A631" s="70"/>
      <c r="B631" s="70"/>
      <c r="D631" s="154"/>
      <c r="O631" s="92"/>
      <c r="P631" s="110"/>
      <c r="Q631" s="110"/>
      <c r="R631" s="110"/>
      <c r="S631" s="110"/>
      <c r="T631" s="110"/>
      <c r="U631" s="110"/>
      <c r="V631" s="110"/>
      <c r="W631" s="110"/>
      <c r="X631" s="110"/>
      <c r="Y631" s="110"/>
      <c r="Z631" s="110"/>
    </row>
    <row r="632">
      <c r="A632" s="70"/>
      <c r="B632" s="70"/>
      <c r="D632" s="154"/>
      <c r="O632" s="92"/>
      <c r="P632" s="110"/>
      <c r="Q632" s="110"/>
      <c r="R632" s="110"/>
      <c r="S632" s="110"/>
      <c r="T632" s="110"/>
      <c r="U632" s="110"/>
      <c r="V632" s="110"/>
      <c r="W632" s="110"/>
      <c r="X632" s="110"/>
      <c r="Y632" s="110"/>
      <c r="Z632" s="110"/>
    </row>
    <row r="633">
      <c r="A633" s="70"/>
      <c r="B633" s="70"/>
      <c r="D633" s="154"/>
      <c r="O633" s="92"/>
      <c r="P633" s="110"/>
      <c r="Q633" s="110"/>
      <c r="R633" s="110"/>
      <c r="S633" s="110"/>
      <c r="T633" s="110"/>
      <c r="U633" s="110"/>
      <c r="V633" s="110"/>
      <c r="W633" s="110"/>
      <c r="X633" s="110"/>
      <c r="Y633" s="110"/>
      <c r="Z633" s="110"/>
    </row>
    <row r="634">
      <c r="A634" s="70"/>
      <c r="B634" s="70"/>
      <c r="D634" s="154"/>
      <c r="O634" s="92"/>
      <c r="P634" s="110"/>
      <c r="Q634" s="110"/>
      <c r="R634" s="110"/>
      <c r="S634" s="110"/>
      <c r="T634" s="110"/>
      <c r="U634" s="110"/>
      <c r="V634" s="110"/>
      <c r="W634" s="110"/>
      <c r="X634" s="110"/>
      <c r="Y634" s="110"/>
      <c r="Z634" s="110"/>
    </row>
    <row r="635">
      <c r="A635" s="70"/>
      <c r="B635" s="70"/>
      <c r="D635" s="154"/>
      <c r="O635" s="92"/>
      <c r="P635" s="110"/>
      <c r="Q635" s="110"/>
      <c r="R635" s="110"/>
      <c r="S635" s="110"/>
      <c r="T635" s="110"/>
      <c r="U635" s="110"/>
      <c r="V635" s="110"/>
      <c r="W635" s="110"/>
      <c r="X635" s="110"/>
      <c r="Y635" s="110"/>
      <c r="Z635" s="110"/>
    </row>
    <row r="636">
      <c r="A636" s="70"/>
      <c r="B636" s="70"/>
      <c r="D636" s="154"/>
      <c r="O636" s="92"/>
      <c r="P636" s="110"/>
      <c r="Q636" s="110"/>
      <c r="R636" s="110"/>
      <c r="S636" s="110"/>
      <c r="T636" s="110"/>
      <c r="U636" s="110"/>
      <c r="V636" s="110"/>
      <c r="W636" s="110"/>
      <c r="X636" s="110"/>
      <c r="Y636" s="110"/>
      <c r="Z636" s="110"/>
    </row>
    <row r="637">
      <c r="A637" s="70"/>
      <c r="B637" s="70"/>
      <c r="D637" s="154"/>
      <c r="O637" s="92"/>
      <c r="P637" s="110"/>
      <c r="Q637" s="110"/>
      <c r="R637" s="110"/>
      <c r="S637" s="110"/>
      <c r="T637" s="110"/>
      <c r="U637" s="110"/>
      <c r="V637" s="110"/>
      <c r="W637" s="110"/>
      <c r="X637" s="110"/>
      <c r="Y637" s="110"/>
      <c r="Z637" s="110"/>
    </row>
    <row r="638">
      <c r="A638" s="70"/>
      <c r="B638" s="70"/>
      <c r="D638" s="154"/>
      <c r="O638" s="92"/>
      <c r="P638" s="110"/>
      <c r="Q638" s="110"/>
      <c r="R638" s="110"/>
      <c r="S638" s="110"/>
      <c r="T638" s="110"/>
      <c r="U638" s="110"/>
      <c r="V638" s="110"/>
      <c r="W638" s="110"/>
      <c r="X638" s="110"/>
      <c r="Y638" s="110"/>
      <c r="Z638" s="110"/>
    </row>
    <row r="639">
      <c r="A639" s="70"/>
      <c r="B639" s="70"/>
      <c r="D639" s="154"/>
      <c r="O639" s="92"/>
      <c r="P639" s="110"/>
      <c r="Q639" s="110"/>
      <c r="R639" s="110"/>
      <c r="S639" s="110"/>
      <c r="T639" s="110"/>
      <c r="U639" s="110"/>
      <c r="V639" s="110"/>
      <c r="W639" s="110"/>
      <c r="X639" s="110"/>
      <c r="Y639" s="110"/>
      <c r="Z639" s="110"/>
    </row>
    <row r="640">
      <c r="A640" s="70"/>
      <c r="B640" s="70"/>
      <c r="D640" s="154"/>
      <c r="O640" s="92"/>
      <c r="P640" s="110"/>
      <c r="Q640" s="110"/>
      <c r="R640" s="110"/>
      <c r="S640" s="110"/>
      <c r="T640" s="110"/>
      <c r="U640" s="110"/>
      <c r="V640" s="110"/>
      <c r="W640" s="110"/>
      <c r="X640" s="110"/>
      <c r="Y640" s="110"/>
      <c r="Z640" s="110"/>
    </row>
    <row r="641">
      <c r="A641" s="70"/>
      <c r="B641" s="70"/>
      <c r="D641" s="154"/>
      <c r="O641" s="92"/>
      <c r="P641" s="110"/>
      <c r="Q641" s="110"/>
      <c r="R641" s="110"/>
      <c r="S641" s="110"/>
      <c r="T641" s="110"/>
      <c r="U641" s="110"/>
      <c r="V641" s="110"/>
      <c r="W641" s="110"/>
      <c r="X641" s="110"/>
      <c r="Y641" s="110"/>
      <c r="Z641" s="110"/>
    </row>
    <row r="642">
      <c r="A642" s="70"/>
      <c r="B642" s="70"/>
      <c r="D642" s="154"/>
      <c r="O642" s="92"/>
      <c r="P642" s="110"/>
      <c r="Q642" s="110"/>
      <c r="R642" s="110"/>
      <c r="S642" s="110"/>
      <c r="T642" s="110"/>
      <c r="U642" s="110"/>
      <c r="V642" s="110"/>
      <c r="W642" s="110"/>
      <c r="X642" s="110"/>
      <c r="Y642" s="110"/>
      <c r="Z642" s="110"/>
    </row>
    <row r="643">
      <c r="A643" s="70"/>
      <c r="B643" s="70"/>
      <c r="D643" s="154"/>
      <c r="O643" s="92"/>
      <c r="P643" s="110"/>
      <c r="Q643" s="110"/>
      <c r="R643" s="110"/>
      <c r="S643" s="110"/>
      <c r="T643" s="110"/>
      <c r="U643" s="110"/>
      <c r="V643" s="110"/>
      <c r="W643" s="110"/>
      <c r="X643" s="110"/>
      <c r="Y643" s="110"/>
      <c r="Z643" s="110"/>
    </row>
    <row r="644">
      <c r="A644" s="70"/>
      <c r="B644" s="70"/>
      <c r="D644" s="154"/>
      <c r="O644" s="92"/>
      <c r="P644" s="110"/>
      <c r="Q644" s="110"/>
      <c r="R644" s="110"/>
      <c r="S644" s="110"/>
      <c r="T644" s="110"/>
      <c r="U644" s="110"/>
      <c r="V644" s="110"/>
      <c r="W644" s="110"/>
      <c r="X644" s="110"/>
      <c r="Y644" s="110"/>
      <c r="Z644" s="110"/>
    </row>
    <row r="645">
      <c r="A645" s="70"/>
      <c r="B645" s="70"/>
      <c r="D645" s="154"/>
      <c r="O645" s="92"/>
      <c r="P645" s="110"/>
      <c r="Q645" s="110"/>
      <c r="R645" s="110"/>
      <c r="S645" s="110"/>
      <c r="T645" s="110"/>
      <c r="U645" s="110"/>
      <c r="V645" s="110"/>
      <c r="W645" s="110"/>
      <c r="X645" s="110"/>
      <c r="Y645" s="110"/>
      <c r="Z645" s="110"/>
    </row>
    <row r="646">
      <c r="A646" s="70"/>
      <c r="B646" s="70"/>
      <c r="D646" s="154"/>
      <c r="O646" s="92"/>
      <c r="P646" s="110"/>
      <c r="Q646" s="110"/>
      <c r="R646" s="110"/>
      <c r="S646" s="110"/>
      <c r="T646" s="110"/>
      <c r="U646" s="110"/>
      <c r="V646" s="110"/>
      <c r="W646" s="110"/>
      <c r="X646" s="110"/>
      <c r="Y646" s="110"/>
      <c r="Z646" s="110"/>
    </row>
    <row r="647">
      <c r="A647" s="70"/>
      <c r="B647" s="70"/>
      <c r="D647" s="154"/>
      <c r="O647" s="92"/>
      <c r="P647" s="110"/>
      <c r="Q647" s="110"/>
      <c r="R647" s="110"/>
      <c r="S647" s="110"/>
      <c r="T647" s="110"/>
      <c r="U647" s="110"/>
      <c r="V647" s="110"/>
      <c r="W647" s="110"/>
      <c r="X647" s="110"/>
      <c r="Y647" s="110"/>
      <c r="Z647" s="110"/>
    </row>
    <row r="648">
      <c r="A648" s="70"/>
      <c r="B648" s="70"/>
      <c r="D648" s="154"/>
      <c r="O648" s="92"/>
      <c r="P648" s="110"/>
      <c r="Q648" s="110"/>
      <c r="R648" s="110"/>
      <c r="S648" s="110"/>
      <c r="T648" s="110"/>
      <c r="U648" s="110"/>
      <c r="V648" s="110"/>
      <c r="W648" s="110"/>
      <c r="X648" s="110"/>
      <c r="Y648" s="110"/>
      <c r="Z648" s="110"/>
    </row>
    <row r="649">
      <c r="A649" s="70"/>
      <c r="B649" s="70"/>
      <c r="D649" s="154"/>
      <c r="O649" s="92"/>
      <c r="P649" s="110"/>
      <c r="Q649" s="110"/>
      <c r="R649" s="110"/>
      <c r="S649" s="110"/>
      <c r="T649" s="110"/>
      <c r="U649" s="110"/>
      <c r="V649" s="110"/>
      <c r="W649" s="110"/>
      <c r="X649" s="110"/>
      <c r="Y649" s="110"/>
      <c r="Z649" s="110"/>
    </row>
    <row r="650">
      <c r="A650" s="70"/>
      <c r="B650" s="70"/>
      <c r="D650" s="154"/>
      <c r="O650" s="92"/>
      <c r="P650" s="110"/>
      <c r="Q650" s="110"/>
      <c r="R650" s="110"/>
      <c r="S650" s="110"/>
      <c r="T650" s="110"/>
      <c r="U650" s="110"/>
      <c r="V650" s="110"/>
      <c r="W650" s="110"/>
      <c r="X650" s="110"/>
      <c r="Y650" s="110"/>
      <c r="Z650" s="110"/>
    </row>
    <row r="651">
      <c r="A651" s="70"/>
      <c r="B651" s="70"/>
      <c r="D651" s="154"/>
      <c r="O651" s="92"/>
      <c r="P651" s="110"/>
      <c r="Q651" s="110"/>
      <c r="R651" s="110"/>
      <c r="S651" s="110"/>
      <c r="T651" s="110"/>
      <c r="U651" s="110"/>
      <c r="V651" s="110"/>
      <c r="W651" s="110"/>
      <c r="X651" s="110"/>
      <c r="Y651" s="110"/>
      <c r="Z651" s="110"/>
    </row>
    <row r="652">
      <c r="A652" s="70"/>
      <c r="B652" s="70"/>
      <c r="D652" s="154"/>
      <c r="O652" s="92"/>
      <c r="P652" s="110"/>
      <c r="Q652" s="110"/>
      <c r="R652" s="110"/>
      <c r="S652" s="110"/>
      <c r="T652" s="110"/>
      <c r="U652" s="110"/>
      <c r="V652" s="110"/>
      <c r="W652" s="110"/>
      <c r="X652" s="110"/>
      <c r="Y652" s="110"/>
      <c r="Z652" s="110"/>
    </row>
    <row r="653">
      <c r="A653" s="70"/>
      <c r="B653" s="70"/>
      <c r="D653" s="154"/>
      <c r="O653" s="92"/>
      <c r="P653" s="110"/>
      <c r="Q653" s="110"/>
      <c r="R653" s="110"/>
      <c r="S653" s="110"/>
      <c r="T653" s="110"/>
      <c r="U653" s="110"/>
      <c r="V653" s="110"/>
      <c r="W653" s="110"/>
      <c r="X653" s="110"/>
      <c r="Y653" s="110"/>
      <c r="Z653" s="110"/>
    </row>
    <row r="654">
      <c r="A654" s="70"/>
      <c r="B654" s="70"/>
      <c r="D654" s="154"/>
      <c r="O654" s="92"/>
      <c r="P654" s="110"/>
      <c r="Q654" s="110"/>
      <c r="R654" s="110"/>
      <c r="S654" s="110"/>
      <c r="T654" s="110"/>
      <c r="U654" s="110"/>
      <c r="V654" s="110"/>
      <c r="W654" s="110"/>
      <c r="X654" s="110"/>
      <c r="Y654" s="110"/>
      <c r="Z654" s="110"/>
    </row>
    <row r="655">
      <c r="A655" s="70"/>
      <c r="B655" s="70"/>
      <c r="D655" s="154"/>
      <c r="O655" s="92"/>
      <c r="P655" s="110"/>
      <c r="Q655" s="110"/>
      <c r="R655" s="110"/>
      <c r="S655" s="110"/>
      <c r="T655" s="110"/>
      <c r="U655" s="110"/>
      <c r="V655" s="110"/>
      <c r="W655" s="110"/>
      <c r="X655" s="110"/>
      <c r="Y655" s="110"/>
      <c r="Z655" s="110"/>
    </row>
    <row r="656">
      <c r="A656" s="70"/>
      <c r="B656" s="70"/>
      <c r="D656" s="154"/>
      <c r="O656" s="92"/>
      <c r="P656" s="110"/>
      <c r="Q656" s="110"/>
      <c r="R656" s="110"/>
      <c r="S656" s="110"/>
      <c r="T656" s="110"/>
      <c r="U656" s="110"/>
      <c r="V656" s="110"/>
      <c r="W656" s="110"/>
      <c r="X656" s="110"/>
      <c r="Y656" s="110"/>
      <c r="Z656" s="110"/>
    </row>
    <row r="657">
      <c r="A657" s="70"/>
      <c r="B657" s="70"/>
      <c r="D657" s="154"/>
      <c r="O657" s="92"/>
      <c r="P657" s="110"/>
      <c r="Q657" s="110"/>
      <c r="R657" s="110"/>
      <c r="S657" s="110"/>
      <c r="T657" s="110"/>
      <c r="U657" s="110"/>
      <c r="V657" s="110"/>
      <c r="W657" s="110"/>
      <c r="X657" s="110"/>
      <c r="Y657" s="110"/>
      <c r="Z657" s="110"/>
    </row>
    <row r="658">
      <c r="A658" s="70"/>
      <c r="B658" s="70"/>
      <c r="D658" s="154"/>
      <c r="O658" s="92"/>
      <c r="P658" s="110"/>
      <c r="Q658" s="110"/>
      <c r="R658" s="110"/>
      <c r="S658" s="110"/>
      <c r="T658" s="110"/>
      <c r="U658" s="110"/>
      <c r="V658" s="110"/>
      <c r="W658" s="110"/>
      <c r="X658" s="110"/>
      <c r="Y658" s="110"/>
      <c r="Z658" s="110"/>
    </row>
    <row r="659">
      <c r="A659" s="70"/>
      <c r="B659" s="70"/>
      <c r="D659" s="154"/>
      <c r="O659" s="92"/>
      <c r="P659" s="110"/>
      <c r="Q659" s="110"/>
      <c r="R659" s="110"/>
      <c r="S659" s="110"/>
      <c r="T659" s="110"/>
      <c r="U659" s="110"/>
      <c r="V659" s="110"/>
      <c r="W659" s="110"/>
      <c r="X659" s="110"/>
      <c r="Y659" s="110"/>
      <c r="Z659" s="110"/>
    </row>
    <row r="660">
      <c r="A660" s="70"/>
      <c r="B660" s="70"/>
      <c r="D660" s="154"/>
      <c r="O660" s="92"/>
      <c r="P660" s="110"/>
      <c r="Q660" s="110"/>
      <c r="R660" s="110"/>
      <c r="S660" s="110"/>
      <c r="T660" s="110"/>
      <c r="U660" s="110"/>
      <c r="V660" s="110"/>
      <c r="W660" s="110"/>
      <c r="X660" s="110"/>
      <c r="Y660" s="110"/>
      <c r="Z660" s="110"/>
    </row>
    <row r="661">
      <c r="A661" s="70"/>
      <c r="B661" s="70"/>
      <c r="D661" s="154"/>
      <c r="O661" s="92"/>
      <c r="P661" s="110"/>
      <c r="Q661" s="110"/>
      <c r="R661" s="110"/>
      <c r="S661" s="110"/>
      <c r="T661" s="110"/>
      <c r="U661" s="110"/>
      <c r="V661" s="110"/>
      <c r="W661" s="110"/>
      <c r="X661" s="110"/>
      <c r="Y661" s="110"/>
      <c r="Z661" s="110"/>
    </row>
    <row r="662">
      <c r="A662" s="70"/>
      <c r="B662" s="70"/>
      <c r="D662" s="154"/>
      <c r="O662" s="92"/>
      <c r="P662" s="110"/>
      <c r="Q662" s="110"/>
      <c r="R662" s="110"/>
      <c r="S662" s="110"/>
      <c r="T662" s="110"/>
      <c r="U662" s="110"/>
      <c r="V662" s="110"/>
      <c r="W662" s="110"/>
      <c r="X662" s="110"/>
      <c r="Y662" s="110"/>
      <c r="Z662" s="110"/>
    </row>
    <row r="663">
      <c r="A663" s="70"/>
      <c r="B663" s="70"/>
      <c r="D663" s="154"/>
      <c r="O663" s="92"/>
      <c r="P663" s="110"/>
      <c r="Q663" s="110"/>
      <c r="R663" s="110"/>
      <c r="S663" s="110"/>
      <c r="T663" s="110"/>
      <c r="U663" s="110"/>
      <c r="V663" s="110"/>
      <c r="W663" s="110"/>
      <c r="X663" s="110"/>
      <c r="Y663" s="110"/>
      <c r="Z663" s="110"/>
    </row>
    <row r="664">
      <c r="A664" s="70"/>
      <c r="B664" s="70"/>
      <c r="D664" s="154"/>
      <c r="O664" s="92"/>
      <c r="P664" s="110"/>
      <c r="Q664" s="110"/>
      <c r="R664" s="110"/>
      <c r="S664" s="110"/>
      <c r="T664" s="110"/>
      <c r="U664" s="110"/>
      <c r="V664" s="110"/>
      <c r="W664" s="110"/>
      <c r="X664" s="110"/>
      <c r="Y664" s="110"/>
      <c r="Z664" s="110"/>
    </row>
    <row r="665">
      <c r="A665" s="70"/>
      <c r="B665" s="70"/>
      <c r="D665" s="154"/>
      <c r="O665" s="92"/>
      <c r="P665" s="110"/>
      <c r="Q665" s="110"/>
      <c r="R665" s="110"/>
      <c r="S665" s="110"/>
      <c r="T665" s="110"/>
      <c r="U665" s="110"/>
      <c r="V665" s="110"/>
      <c r="W665" s="110"/>
      <c r="X665" s="110"/>
      <c r="Y665" s="110"/>
      <c r="Z665" s="110"/>
    </row>
    <row r="666">
      <c r="A666" s="70"/>
      <c r="B666" s="70"/>
      <c r="D666" s="154"/>
      <c r="O666" s="92"/>
      <c r="P666" s="110"/>
      <c r="Q666" s="110"/>
      <c r="R666" s="110"/>
      <c r="S666" s="110"/>
      <c r="T666" s="110"/>
      <c r="U666" s="110"/>
      <c r="V666" s="110"/>
      <c r="W666" s="110"/>
      <c r="X666" s="110"/>
      <c r="Y666" s="110"/>
      <c r="Z666" s="110"/>
    </row>
    <row r="667">
      <c r="A667" s="70"/>
      <c r="B667" s="70"/>
      <c r="D667" s="154"/>
      <c r="O667" s="92"/>
      <c r="P667" s="110"/>
      <c r="Q667" s="110"/>
      <c r="R667" s="110"/>
      <c r="S667" s="110"/>
      <c r="T667" s="110"/>
      <c r="U667" s="110"/>
      <c r="V667" s="110"/>
      <c r="W667" s="110"/>
      <c r="X667" s="110"/>
      <c r="Y667" s="110"/>
      <c r="Z667" s="110"/>
    </row>
    <row r="668">
      <c r="A668" s="70"/>
      <c r="B668" s="70"/>
      <c r="D668" s="154"/>
      <c r="O668" s="92"/>
      <c r="P668" s="110"/>
      <c r="Q668" s="110"/>
      <c r="R668" s="110"/>
      <c r="S668" s="110"/>
      <c r="T668" s="110"/>
      <c r="U668" s="110"/>
      <c r="V668" s="110"/>
      <c r="W668" s="110"/>
      <c r="X668" s="110"/>
      <c r="Y668" s="110"/>
      <c r="Z668" s="110"/>
    </row>
    <row r="669">
      <c r="A669" s="70"/>
      <c r="B669" s="70"/>
      <c r="D669" s="154"/>
      <c r="O669" s="92"/>
      <c r="P669" s="110"/>
      <c r="Q669" s="110"/>
      <c r="R669" s="110"/>
      <c r="S669" s="110"/>
      <c r="T669" s="110"/>
      <c r="U669" s="110"/>
      <c r="V669" s="110"/>
      <c r="W669" s="110"/>
      <c r="X669" s="110"/>
      <c r="Y669" s="110"/>
      <c r="Z669" s="110"/>
    </row>
    <row r="670">
      <c r="A670" s="70"/>
      <c r="B670" s="70"/>
      <c r="D670" s="154"/>
      <c r="O670" s="92"/>
      <c r="P670" s="110"/>
      <c r="Q670" s="110"/>
      <c r="R670" s="110"/>
      <c r="S670" s="110"/>
      <c r="T670" s="110"/>
      <c r="U670" s="110"/>
      <c r="V670" s="110"/>
      <c r="W670" s="110"/>
      <c r="X670" s="110"/>
      <c r="Y670" s="110"/>
      <c r="Z670" s="110"/>
    </row>
    <row r="671">
      <c r="A671" s="70"/>
      <c r="B671" s="70"/>
      <c r="D671" s="154"/>
      <c r="O671" s="92"/>
      <c r="P671" s="110"/>
      <c r="Q671" s="110"/>
      <c r="R671" s="110"/>
      <c r="S671" s="110"/>
      <c r="T671" s="110"/>
      <c r="U671" s="110"/>
      <c r="V671" s="110"/>
      <c r="W671" s="110"/>
      <c r="X671" s="110"/>
      <c r="Y671" s="110"/>
      <c r="Z671" s="110"/>
    </row>
    <row r="672">
      <c r="A672" s="70"/>
      <c r="B672" s="70"/>
      <c r="D672" s="154"/>
      <c r="O672" s="92"/>
      <c r="P672" s="110"/>
      <c r="Q672" s="110"/>
      <c r="R672" s="110"/>
      <c r="S672" s="110"/>
      <c r="T672" s="110"/>
      <c r="U672" s="110"/>
      <c r="V672" s="110"/>
      <c r="W672" s="110"/>
      <c r="X672" s="110"/>
      <c r="Y672" s="110"/>
      <c r="Z672" s="110"/>
    </row>
    <row r="673">
      <c r="A673" s="70"/>
      <c r="B673" s="70"/>
      <c r="D673" s="154"/>
      <c r="O673" s="92"/>
      <c r="P673" s="110"/>
      <c r="Q673" s="110"/>
      <c r="R673" s="110"/>
      <c r="S673" s="110"/>
      <c r="T673" s="110"/>
      <c r="U673" s="110"/>
      <c r="V673" s="110"/>
      <c r="W673" s="110"/>
      <c r="X673" s="110"/>
      <c r="Y673" s="110"/>
      <c r="Z673" s="110"/>
    </row>
    <row r="674">
      <c r="A674" s="70"/>
      <c r="B674" s="70"/>
      <c r="D674" s="154"/>
      <c r="O674" s="92"/>
      <c r="P674" s="110"/>
      <c r="Q674" s="110"/>
      <c r="R674" s="110"/>
      <c r="S674" s="110"/>
      <c r="T674" s="110"/>
      <c r="U674" s="110"/>
      <c r="V674" s="110"/>
      <c r="W674" s="110"/>
      <c r="X674" s="110"/>
      <c r="Y674" s="110"/>
      <c r="Z674" s="110"/>
    </row>
    <row r="675">
      <c r="A675" s="70"/>
      <c r="B675" s="70"/>
      <c r="D675" s="154"/>
      <c r="O675" s="92"/>
      <c r="P675" s="110"/>
      <c r="Q675" s="110"/>
      <c r="R675" s="110"/>
      <c r="S675" s="110"/>
      <c r="T675" s="110"/>
      <c r="U675" s="110"/>
      <c r="V675" s="110"/>
      <c r="W675" s="110"/>
      <c r="X675" s="110"/>
      <c r="Y675" s="110"/>
      <c r="Z675" s="110"/>
    </row>
    <row r="676">
      <c r="A676" s="70"/>
      <c r="B676" s="70"/>
      <c r="D676" s="154"/>
      <c r="O676" s="92"/>
      <c r="P676" s="110"/>
      <c r="Q676" s="110"/>
      <c r="R676" s="110"/>
      <c r="S676" s="110"/>
      <c r="T676" s="110"/>
      <c r="U676" s="110"/>
      <c r="V676" s="110"/>
      <c r="W676" s="110"/>
      <c r="X676" s="110"/>
      <c r="Y676" s="110"/>
      <c r="Z676" s="110"/>
    </row>
    <row r="677">
      <c r="A677" s="70"/>
      <c r="B677" s="70"/>
      <c r="D677" s="154"/>
      <c r="O677" s="92"/>
      <c r="P677" s="110"/>
      <c r="Q677" s="110"/>
      <c r="R677" s="110"/>
      <c r="S677" s="110"/>
      <c r="T677" s="110"/>
      <c r="U677" s="110"/>
      <c r="V677" s="110"/>
      <c r="W677" s="110"/>
      <c r="X677" s="110"/>
      <c r="Y677" s="110"/>
      <c r="Z677" s="110"/>
    </row>
    <row r="678">
      <c r="A678" s="70"/>
      <c r="B678" s="70"/>
      <c r="D678" s="154"/>
      <c r="O678" s="92"/>
      <c r="P678" s="110"/>
      <c r="Q678" s="110"/>
      <c r="R678" s="110"/>
      <c r="S678" s="110"/>
      <c r="T678" s="110"/>
      <c r="U678" s="110"/>
      <c r="V678" s="110"/>
      <c r="W678" s="110"/>
      <c r="X678" s="110"/>
      <c r="Y678" s="110"/>
      <c r="Z678" s="110"/>
    </row>
    <row r="679">
      <c r="A679" s="70"/>
      <c r="B679" s="70"/>
      <c r="D679" s="154"/>
      <c r="O679" s="92"/>
      <c r="P679" s="110"/>
      <c r="Q679" s="110"/>
      <c r="R679" s="110"/>
      <c r="S679" s="110"/>
      <c r="T679" s="110"/>
      <c r="U679" s="110"/>
      <c r="V679" s="110"/>
      <c r="W679" s="110"/>
      <c r="X679" s="110"/>
      <c r="Y679" s="110"/>
      <c r="Z679" s="110"/>
    </row>
    <row r="680">
      <c r="A680" s="70"/>
      <c r="B680" s="70"/>
      <c r="D680" s="154"/>
      <c r="O680" s="92"/>
      <c r="P680" s="110"/>
      <c r="Q680" s="110"/>
      <c r="R680" s="110"/>
      <c r="S680" s="110"/>
      <c r="T680" s="110"/>
      <c r="U680" s="110"/>
      <c r="V680" s="110"/>
      <c r="W680" s="110"/>
      <c r="X680" s="110"/>
      <c r="Y680" s="110"/>
      <c r="Z680" s="110"/>
    </row>
    <row r="681">
      <c r="A681" s="70"/>
      <c r="B681" s="70"/>
      <c r="D681" s="154"/>
      <c r="O681" s="92"/>
      <c r="P681" s="110"/>
      <c r="Q681" s="110"/>
      <c r="R681" s="110"/>
      <c r="S681" s="110"/>
      <c r="T681" s="110"/>
      <c r="U681" s="110"/>
      <c r="V681" s="110"/>
      <c r="W681" s="110"/>
      <c r="X681" s="110"/>
      <c r="Y681" s="110"/>
      <c r="Z681" s="110"/>
    </row>
    <row r="682">
      <c r="A682" s="70"/>
      <c r="B682" s="70"/>
      <c r="D682" s="154"/>
      <c r="O682" s="92"/>
      <c r="P682" s="110"/>
      <c r="Q682" s="110"/>
      <c r="R682" s="110"/>
      <c r="S682" s="110"/>
      <c r="T682" s="110"/>
      <c r="U682" s="110"/>
      <c r="V682" s="110"/>
      <c r="W682" s="110"/>
      <c r="X682" s="110"/>
      <c r="Y682" s="110"/>
      <c r="Z682" s="110"/>
    </row>
    <row r="683">
      <c r="A683" s="70"/>
      <c r="B683" s="70"/>
      <c r="D683" s="154"/>
      <c r="O683" s="92"/>
      <c r="P683" s="110"/>
      <c r="Q683" s="110"/>
      <c r="R683" s="110"/>
      <c r="S683" s="110"/>
      <c r="T683" s="110"/>
      <c r="U683" s="110"/>
      <c r="V683" s="110"/>
      <c r="W683" s="110"/>
      <c r="X683" s="110"/>
      <c r="Y683" s="110"/>
      <c r="Z683" s="110"/>
    </row>
    <row r="684">
      <c r="A684" s="70"/>
      <c r="B684" s="70"/>
      <c r="D684" s="154"/>
      <c r="O684" s="92"/>
      <c r="P684" s="110"/>
      <c r="Q684" s="110"/>
      <c r="R684" s="110"/>
      <c r="S684" s="110"/>
      <c r="T684" s="110"/>
      <c r="U684" s="110"/>
      <c r="V684" s="110"/>
      <c r="W684" s="110"/>
      <c r="X684" s="110"/>
      <c r="Y684" s="110"/>
      <c r="Z684" s="110"/>
    </row>
    <row r="685">
      <c r="A685" s="70"/>
      <c r="B685" s="70"/>
      <c r="D685" s="154"/>
      <c r="O685" s="92"/>
      <c r="P685" s="110"/>
      <c r="Q685" s="110"/>
      <c r="R685" s="110"/>
      <c r="S685" s="110"/>
      <c r="T685" s="110"/>
      <c r="U685" s="110"/>
      <c r="V685" s="110"/>
      <c r="W685" s="110"/>
      <c r="X685" s="110"/>
      <c r="Y685" s="110"/>
      <c r="Z685" s="110"/>
    </row>
    <row r="686">
      <c r="A686" s="70"/>
      <c r="B686" s="70"/>
      <c r="D686" s="154"/>
      <c r="O686" s="92"/>
      <c r="P686" s="110"/>
      <c r="Q686" s="110"/>
      <c r="R686" s="110"/>
      <c r="S686" s="110"/>
      <c r="T686" s="110"/>
      <c r="U686" s="110"/>
      <c r="V686" s="110"/>
      <c r="W686" s="110"/>
      <c r="X686" s="110"/>
      <c r="Y686" s="110"/>
      <c r="Z686" s="110"/>
    </row>
    <row r="687">
      <c r="A687" s="70"/>
      <c r="B687" s="70"/>
      <c r="D687" s="154"/>
      <c r="O687" s="92"/>
      <c r="P687" s="110"/>
      <c r="Q687" s="110"/>
      <c r="R687" s="110"/>
      <c r="S687" s="110"/>
      <c r="T687" s="110"/>
      <c r="U687" s="110"/>
      <c r="V687" s="110"/>
      <c r="W687" s="110"/>
      <c r="X687" s="110"/>
      <c r="Y687" s="110"/>
      <c r="Z687" s="110"/>
    </row>
    <row r="688">
      <c r="A688" s="70"/>
      <c r="B688" s="70"/>
      <c r="D688" s="154"/>
      <c r="O688" s="92"/>
      <c r="P688" s="110"/>
      <c r="Q688" s="110"/>
      <c r="R688" s="110"/>
      <c r="S688" s="110"/>
      <c r="T688" s="110"/>
      <c r="U688" s="110"/>
      <c r="V688" s="110"/>
      <c r="W688" s="110"/>
      <c r="X688" s="110"/>
      <c r="Y688" s="110"/>
      <c r="Z688" s="110"/>
    </row>
    <row r="689">
      <c r="A689" s="70"/>
      <c r="B689" s="70"/>
      <c r="D689" s="154"/>
      <c r="O689" s="92"/>
      <c r="P689" s="110"/>
      <c r="Q689" s="110"/>
      <c r="R689" s="110"/>
      <c r="S689" s="110"/>
      <c r="T689" s="110"/>
      <c r="U689" s="110"/>
      <c r="V689" s="110"/>
      <c r="W689" s="110"/>
      <c r="X689" s="110"/>
      <c r="Y689" s="110"/>
      <c r="Z689" s="110"/>
    </row>
    <row r="690">
      <c r="A690" s="70"/>
      <c r="B690" s="70"/>
      <c r="D690" s="154"/>
      <c r="O690" s="92"/>
      <c r="P690" s="110"/>
      <c r="Q690" s="110"/>
      <c r="R690" s="110"/>
      <c r="S690" s="110"/>
      <c r="T690" s="110"/>
      <c r="U690" s="110"/>
      <c r="V690" s="110"/>
      <c r="W690" s="110"/>
      <c r="X690" s="110"/>
      <c r="Y690" s="110"/>
      <c r="Z690" s="110"/>
    </row>
    <row r="691">
      <c r="A691" s="70"/>
      <c r="B691" s="70"/>
      <c r="D691" s="154"/>
      <c r="O691" s="92"/>
      <c r="P691" s="110"/>
      <c r="Q691" s="110"/>
      <c r="R691" s="110"/>
      <c r="S691" s="110"/>
      <c r="T691" s="110"/>
      <c r="U691" s="110"/>
      <c r="V691" s="110"/>
      <c r="W691" s="110"/>
      <c r="X691" s="110"/>
      <c r="Y691" s="110"/>
      <c r="Z691" s="110"/>
    </row>
    <row r="692">
      <c r="A692" s="70"/>
      <c r="B692" s="70"/>
      <c r="D692" s="154"/>
      <c r="O692" s="92"/>
      <c r="P692" s="110"/>
      <c r="Q692" s="110"/>
      <c r="R692" s="110"/>
      <c r="S692" s="110"/>
      <c r="T692" s="110"/>
      <c r="U692" s="110"/>
      <c r="V692" s="110"/>
      <c r="W692" s="110"/>
      <c r="X692" s="110"/>
      <c r="Y692" s="110"/>
      <c r="Z692" s="110"/>
    </row>
    <row r="693">
      <c r="A693" s="70"/>
      <c r="B693" s="70"/>
      <c r="D693" s="154"/>
      <c r="O693" s="92"/>
      <c r="P693" s="110"/>
      <c r="Q693" s="110"/>
      <c r="R693" s="110"/>
      <c r="S693" s="110"/>
      <c r="T693" s="110"/>
      <c r="U693" s="110"/>
      <c r="V693" s="110"/>
      <c r="W693" s="110"/>
      <c r="X693" s="110"/>
      <c r="Y693" s="110"/>
      <c r="Z693" s="110"/>
    </row>
    <row r="694">
      <c r="A694" s="70"/>
      <c r="B694" s="70"/>
      <c r="D694" s="154"/>
      <c r="O694" s="92"/>
      <c r="P694" s="110"/>
      <c r="Q694" s="110"/>
      <c r="R694" s="110"/>
      <c r="S694" s="110"/>
      <c r="T694" s="110"/>
      <c r="U694" s="110"/>
      <c r="V694" s="110"/>
      <c r="W694" s="110"/>
      <c r="X694" s="110"/>
      <c r="Y694" s="110"/>
      <c r="Z694" s="110"/>
    </row>
    <row r="695">
      <c r="A695" s="70"/>
      <c r="B695" s="70"/>
      <c r="D695" s="154"/>
      <c r="O695" s="92"/>
      <c r="P695" s="110"/>
      <c r="Q695" s="110"/>
      <c r="R695" s="110"/>
      <c r="S695" s="110"/>
      <c r="T695" s="110"/>
      <c r="U695" s="110"/>
      <c r="V695" s="110"/>
      <c r="W695" s="110"/>
      <c r="X695" s="110"/>
      <c r="Y695" s="110"/>
      <c r="Z695" s="110"/>
    </row>
    <row r="696">
      <c r="A696" s="70"/>
      <c r="B696" s="70"/>
      <c r="D696" s="154"/>
      <c r="O696" s="92"/>
      <c r="P696" s="110"/>
      <c r="Q696" s="110"/>
      <c r="R696" s="110"/>
      <c r="S696" s="110"/>
      <c r="T696" s="110"/>
      <c r="U696" s="110"/>
      <c r="V696" s="110"/>
      <c r="W696" s="110"/>
      <c r="X696" s="110"/>
      <c r="Y696" s="110"/>
      <c r="Z696" s="110"/>
    </row>
    <row r="697">
      <c r="A697" s="70"/>
      <c r="B697" s="70"/>
      <c r="D697" s="154"/>
      <c r="O697" s="92"/>
      <c r="P697" s="110"/>
      <c r="Q697" s="110"/>
      <c r="R697" s="110"/>
      <c r="S697" s="110"/>
      <c r="T697" s="110"/>
      <c r="U697" s="110"/>
      <c r="V697" s="110"/>
      <c r="W697" s="110"/>
      <c r="X697" s="110"/>
      <c r="Y697" s="110"/>
      <c r="Z697" s="110"/>
    </row>
    <row r="698">
      <c r="A698" s="70"/>
      <c r="B698" s="70"/>
      <c r="D698" s="154"/>
      <c r="O698" s="92"/>
      <c r="P698" s="110"/>
      <c r="Q698" s="110"/>
      <c r="R698" s="110"/>
      <c r="S698" s="110"/>
      <c r="T698" s="110"/>
      <c r="U698" s="110"/>
      <c r="V698" s="110"/>
      <c r="W698" s="110"/>
      <c r="X698" s="110"/>
      <c r="Y698" s="110"/>
      <c r="Z698" s="110"/>
    </row>
    <row r="699">
      <c r="A699" s="70"/>
      <c r="B699" s="70"/>
      <c r="D699" s="154"/>
      <c r="O699" s="92"/>
      <c r="P699" s="110"/>
      <c r="Q699" s="110"/>
      <c r="R699" s="110"/>
      <c r="S699" s="110"/>
      <c r="T699" s="110"/>
      <c r="U699" s="110"/>
      <c r="V699" s="110"/>
      <c r="W699" s="110"/>
      <c r="X699" s="110"/>
      <c r="Y699" s="110"/>
      <c r="Z699" s="110"/>
    </row>
    <row r="700">
      <c r="A700" s="70"/>
      <c r="B700" s="70"/>
      <c r="D700" s="154"/>
      <c r="O700" s="92"/>
      <c r="P700" s="110"/>
      <c r="Q700" s="110"/>
      <c r="R700" s="110"/>
      <c r="S700" s="110"/>
      <c r="T700" s="110"/>
      <c r="U700" s="110"/>
      <c r="V700" s="110"/>
      <c r="W700" s="110"/>
      <c r="X700" s="110"/>
      <c r="Y700" s="110"/>
      <c r="Z700" s="110"/>
    </row>
    <row r="701">
      <c r="A701" s="70"/>
      <c r="B701" s="70"/>
      <c r="D701" s="154"/>
      <c r="O701" s="92"/>
      <c r="P701" s="110"/>
      <c r="Q701" s="110"/>
      <c r="R701" s="110"/>
      <c r="S701" s="110"/>
      <c r="T701" s="110"/>
      <c r="U701" s="110"/>
      <c r="V701" s="110"/>
      <c r="W701" s="110"/>
      <c r="X701" s="110"/>
      <c r="Y701" s="110"/>
      <c r="Z701" s="110"/>
    </row>
    <row r="702">
      <c r="A702" s="70"/>
      <c r="B702" s="70"/>
      <c r="D702" s="154"/>
      <c r="O702" s="92"/>
      <c r="P702" s="110"/>
      <c r="Q702" s="110"/>
      <c r="R702" s="110"/>
      <c r="S702" s="110"/>
      <c r="T702" s="110"/>
      <c r="U702" s="110"/>
      <c r="V702" s="110"/>
      <c r="W702" s="110"/>
      <c r="X702" s="110"/>
      <c r="Y702" s="110"/>
      <c r="Z702" s="110"/>
    </row>
    <row r="703">
      <c r="A703" s="70"/>
      <c r="B703" s="70"/>
      <c r="D703" s="154"/>
      <c r="O703" s="92"/>
      <c r="P703" s="110"/>
      <c r="Q703" s="110"/>
      <c r="R703" s="110"/>
      <c r="S703" s="110"/>
      <c r="T703" s="110"/>
      <c r="U703" s="110"/>
      <c r="V703" s="110"/>
      <c r="W703" s="110"/>
      <c r="X703" s="110"/>
      <c r="Y703" s="110"/>
      <c r="Z703" s="110"/>
    </row>
    <row r="704">
      <c r="A704" s="70"/>
      <c r="B704" s="70"/>
      <c r="D704" s="154"/>
      <c r="O704" s="92"/>
      <c r="P704" s="110"/>
      <c r="Q704" s="110"/>
      <c r="R704" s="110"/>
      <c r="S704" s="110"/>
      <c r="T704" s="110"/>
      <c r="U704" s="110"/>
      <c r="V704" s="110"/>
      <c r="W704" s="110"/>
      <c r="X704" s="110"/>
      <c r="Y704" s="110"/>
      <c r="Z704" s="110"/>
    </row>
    <row r="705">
      <c r="A705" s="70"/>
      <c r="B705" s="70"/>
      <c r="D705" s="154"/>
      <c r="O705" s="92"/>
      <c r="P705" s="110"/>
      <c r="Q705" s="110"/>
      <c r="R705" s="110"/>
      <c r="S705" s="110"/>
      <c r="T705" s="110"/>
      <c r="U705" s="110"/>
      <c r="V705" s="110"/>
      <c r="W705" s="110"/>
      <c r="X705" s="110"/>
      <c r="Y705" s="110"/>
      <c r="Z705" s="110"/>
    </row>
    <row r="706">
      <c r="A706" s="70"/>
      <c r="B706" s="70"/>
      <c r="D706" s="154"/>
      <c r="O706" s="92"/>
      <c r="P706" s="110"/>
      <c r="Q706" s="110"/>
      <c r="R706" s="110"/>
      <c r="S706" s="110"/>
      <c r="T706" s="110"/>
      <c r="U706" s="110"/>
      <c r="V706" s="110"/>
      <c r="W706" s="110"/>
      <c r="X706" s="110"/>
      <c r="Y706" s="110"/>
      <c r="Z706" s="110"/>
    </row>
    <row r="707">
      <c r="A707" s="70"/>
      <c r="B707" s="70"/>
      <c r="D707" s="154"/>
      <c r="O707" s="92"/>
      <c r="P707" s="110"/>
      <c r="Q707" s="110"/>
      <c r="R707" s="110"/>
      <c r="S707" s="110"/>
      <c r="T707" s="110"/>
      <c r="U707" s="110"/>
      <c r="V707" s="110"/>
      <c r="W707" s="110"/>
      <c r="X707" s="110"/>
      <c r="Y707" s="110"/>
      <c r="Z707" s="110"/>
    </row>
    <row r="708">
      <c r="A708" s="70"/>
      <c r="B708" s="70"/>
      <c r="D708" s="154"/>
      <c r="O708" s="92"/>
      <c r="P708" s="110"/>
      <c r="Q708" s="110"/>
      <c r="R708" s="110"/>
      <c r="S708" s="110"/>
      <c r="T708" s="110"/>
      <c r="U708" s="110"/>
      <c r="V708" s="110"/>
      <c r="W708" s="110"/>
      <c r="X708" s="110"/>
      <c r="Y708" s="110"/>
      <c r="Z708" s="110"/>
    </row>
    <row r="709">
      <c r="A709" s="70"/>
      <c r="B709" s="70"/>
      <c r="D709" s="154"/>
      <c r="O709" s="92"/>
      <c r="P709" s="110"/>
      <c r="Q709" s="110"/>
      <c r="R709" s="110"/>
      <c r="S709" s="110"/>
      <c r="T709" s="110"/>
      <c r="U709" s="110"/>
      <c r="V709" s="110"/>
      <c r="W709" s="110"/>
      <c r="X709" s="110"/>
      <c r="Y709" s="110"/>
      <c r="Z709" s="110"/>
    </row>
    <row r="710">
      <c r="A710" s="70"/>
      <c r="B710" s="70"/>
      <c r="D710" s="154"/>
      <c r="O710" s="92"/>
      <c r="P710" s="110"/>
      <c r="Q710" s="110"/>
      <c r="R710" s="110"/>
      <c r="S710" s="110"/>
      <c r="T710" s="110"/>
      <c r="U710" s="110"/>
      <c r="V710" s="110"/>
      <c r="W710" s="110"/>
      <c r="X710" s="110"/>
      <c r="Y710" s="110"/>
      <c r="Z710" s="110"/>
    </row>
    <row r="711">
      <c r="A711" s="70"/>
      <c r="B711" s="70"/>
      <c r="D711" s="154"/>
      <c r="O711" s="92"/>
      <c r="P711" s="110"/>
      <c r="Q711" s="110"/>
      <c r="R711" s="110"/>
      <c r="S711" s="110"/>
      <c r="T711" s="110"/>
      <c r="U711" s="110"/>
      <c r="V711" s="110"/>
      <c r="W711" s="110"/>
      <c r="X711" s="110"/>
      <c r="Y711" s="110"/>
      <c r="Z711" s="110"/>
    </row>
    <row r="712">
      <c r="A712" s="70"/>
      <c r="B712" s="70"/>
      <c r="D712" s="154"/>
      <c r="O712" s="92"/>
      <c r="P712" s="110"/>
      <c r="Q712" s="110"/>
      <c r="R712" s="110"/>
      <c r="S712" s="110"/>
      <c r="T712" s="110"/>
      <c r="U712" s="110"/>
      <c r="V712" s="110"/>
      <c r="W712" s="110"/>
      <c r="X712" s="110"/>
      <c r="Y712" s="110"/>
      <c r="Z712" s="110"/>
    </row>
    <row r="713">
      <c r="A713" s="70"/>
      <c r="B713" s="70"/>
      <c r="D713" s="154"/>
      <c r="O713" s="92"/>
      <c r="P713" s="110"/>
      <c r="Q713" s="110"/>
      <c r="R713" s="110"/>
      <c r="S713" s="110"/>
      <c r="T713" s="110"/>
      <c r="U713" s="110"/>
      <c r="V713" s="110"/>
      <c r="W713" s="110"/>
      <c r="X713" s="110"/>
      <c r="Y713" s="110"/>
      <c r="Z713" s="110"/>
    </row>
    <row r="714">
      <c r="A714" s="70"/>
      <c r="B714" s="70"/>
      <c r="D714" s="154"/>
      <c r="O714" s="92"/>
      <c r="P714" s="110"/>
      <c r="Q714" s="110"/>
      <c r="R714" s="110"/>
      <c r="S714" s="110"/>
      <c r="T714" s="110"/>
      <c r="U714" s="110"/>
      <c r="V714" s="110"/>
      <c r="W714" s="110"/>
      <c r="X714" s="110"/>
      <c r="Y714" s="110"/>
      <c r="Z714" s="110"/>
    </row>
    <row r="715">
      <c r="A715" s="70"/>
      <c r="B715" s="70"/>
      <c r="D715" s="154"/>
      <c r="O715" s="92"/>
      <c r="P715" s="110"/>
      <c r="Q715" s="110"/>
      <c r="R715" s="110"/>
      <c r="S715" s="110"/>
      <c r="T715" s="110"/>
      <c r="U715" s="110"/>
      <c r="V715" s="110"/>
      <c r="W715" s="110"/>
      <c r="X715" s="110"/>
      <c r="Y715" s="110"/>
      <c r="Z715" s="110"/>
    </row>
    <row r="716">
      <c r="A716" s="70"/>
      <c r="B716" s="70"/>
      <c r="D716" s="154"/>
      <c r="O716" s="92"/>
      <c r="P716" s="110"/>
      <c r="Q716" s="110"/>
      <c r="R716" s="110"/>
      <c r="S716" s="110"/>
      <c r="T716" s="110"/>
      <c r="U716" s="110"/>
      <c r="V716" s="110"/>
      <c r="W716" s="110"/>
      <c r="X716" s="110"/>
      <c r="Y716" s="110"/>
      <c r="Z716" s="110"/>
    </row>
    <row r="717">
      <c r="A717" s="70"/>
      <c r="B717" s="70"/>
      <c r="D717" s="154"/>
      <c r="O717" s="92"/>
      <c r="P717" s="110"/>
      <c r="Q717" s="110"/>
      <c r="R717" s="110"/>
      <c r="S717" s="110"/>
      <c r="T717" s="110"/>
      <c r="U717" s="110"/>
      <c r="V717" s="110"/>
      <c r="W717" s="110"/>
      <c r="X717" s="110"/>
      <c r="Y717" s="110"/>
      <c r="Z717" s="110"/>
    </row>
    <row r="718">
      <c r="A718" s="70"/>
      <c r="B718" s="70"/>
      <c r="D718" s="154"/>
      <c r="O718" s="92"/>
      <c r="P718" s="110"/>
      <c r="Q718" s="110"/>
      <c r="R718" s="110"/>
      <c r="S718" s="110"/>
      <c r="T718" s="110"/>
      <c r="U718" s="110"/>
      <c r="V718" s="110"/>
      <c r="W718" s="110"/>
      <c r="X718" s="110"/>
      <c r="Y718" s="110"/>
      <c r="Z718" s="110"/>
    </row>
    <row r="719">
      <c r="A719" s="70"/>
      <c r="B719" s="70"/>
      <c r="D719" s="154"/>
      <c r="O719" s="92"/>
      <c r="P719" s="110"/>
      <c r="Q719" s="110"/>
      <c r="R719" s="110"/>
      <c r="S719" s="110"/>
      <c r="T719" s="110"/>
      <c r="U719" s="110"/>
      <c r="V719" s="110"/>
      <c r="W719" s="110"/>
      <c r="X719" s="110"/>
      <c r="Y719" s="110"/>
      <c r="Z719" s="110"/>
    </row>
    <row r="720">
      <c r="A720" s="70"/>
      <c r="B720" s="70"/>
      <c r="D720" s="154"/>
      <c r="O720" s="92"/>
      <c r="P720" s="110"/>
      <c r="Q720" s="110"/>
      <c r="R720" s="110"/>
      <c r="S720" s="110"/>
      <c r="T720" s="110"/>
      <c r="U720" s="110"/>
      <c r="V720" s="110"/>
      <c r="W720" s="110"/>
      <c r="X720" s="110"/>
      <c r="Y720" s="110"/>
      <c r="Z720" s="110"/>
    </row>
    <row r="721">
      <c r="A721" s="70"/>
      <c r="B721" s="70"/>
      <c r="D721" s="154"/>
      <c r="O721" s="92"/>
      <c r="P721" s="110"/>
      <c r="Q721" s="110"/>
      <c r="R721" s="110"/>
      <c r="S721" s="110"/>
      <c r="T721" s="110"/>
      <c r="U721" s="110"/>
      <c r="V721" s="110"/>
      <c r="W721" s="110"/>
      <c r="X721" s="110"/>
      <c r="Y721" s="110"/>
      <c r="Z721" s="110"/>
    </row>
    <row r="722">
      <c r="A722" s="70"/>
      <c r="B722" s="70"/>
      <c r="D722" s="154"/>
      <c r="O722" s="92"/>
      <c r="P722" s="110"/>
      <c r="Q722" s="110"/>
      <c r="R722" s="110"/>
      <c r="S722" s="110"/>
      <c r="T722" s="110"/>
      <c r="U722" s="110"/>
      <c r="V722" s="110"/>
      <c r="W722" s="110"/>
      <c r="X722" s="110"/>
      <c r="Y722" s="110"/>
      <c r="Z722" s="110"/>
    </row>
    <row r="723">
      <c r="A723" s="70"/>
      <c r="B723" s="70"/>
      <c r="D723" s="154"/>
      <c r="O723" s="92"/>
      <c r="P723" s="110"/>
      <c r="Q723" s="110"/>
      <c r="R723" s="110"/>
      <c r="S723" s="110"/>
      <c r="T723" s="110"/>
      <c r="U723" s="110"/>
      <c r="V723" s="110"/>
      <c r="W723" s="110"/>
      <c r="X723" s="110"/>
      <c r="Y723" s="110"/>
      <c r="Z723" s="110"/>
    </row>
    <row r="724">
      <c r="A724" s="70"/>
      <c r="B724" s="70"/>
      <c r="D724" s="154"/>
      <c r="O724" s="92"/>
      <c r="P724" s="110"/>
      <c r="Q724" s="110"/>
      <c r="R724" s="110"/>
      <c r="S724" s="110"/>
      <c r="T724" s="110"/>
      <c r="U724" s="110"/>
      <c r="V724" s="110"/>
      <c r="W724" s="110"/>
      <c r="X724" s="110"/>
      <c r="Y724" s="110"/>
      <c r="Z724" s="110"/>
    </row>
    <row r="725">
      <c r="A725" s="70"/>
      <c r="B725" s="70"/>
      <c r="D725" s="154"/>
      <c r="O725" s="92"/>
      <c r="P725" s="110"/>
      <c r="Q725" s="110"/>
      <c r="R725" s="110"/>
      <c r="S725" s="110"/>
      <c r="T725" s="110"/>
      <c r="U725" s="110"/>
      <c r="V725" s="110"/>
      <c r="W725" s="110"/>
      <c r="X725" s="110"/>
      <c r="Y725" s="110"/>
      <c r="Z725" s="110"/>
    </row>
    <row r="726">
      <c r="A726" s="70"/>
      <c r="B726" s="70"/>
      <c r="D726" s="154"/>
      <c r="O726" s="92"/>
      <c r="P726" s="110"/>
      <c r="Q726" s="110"/>
      <c r="R726" s="110"/>
      <c r="S726" s="110"/>
      <c r="T726" s="110"/>
      <c r="U726" s="110"/>
      <c r="V726" s="110"/>
      <c r="W726" s="110"/>
      <c r="X726" s="110"/>
      <c r="Y726" s="110"/>
      <c r="Z726" s="110"/>
    </row>
    <row r="727">
      <c r="A727" s="70"/>
      <c r="B727" s="70"/>
      <c r="D727" s="154"/>
      <c r="O727" s="92"/>
      <c r="P727" s="110"/>
      <c r="Q727" s="110"/>
      <c r="R727" s="110"/>
      <c r="S727" s="110"/>
      <c r="T727" s="110"/>
      <c r="U727" s="110"/>
      <c r="V727" s="110"/>
      <c r="W727" s="110"/>
      <c r="X727" s="110"/>
      <c r="Y727" s="110"/>
      <c r="Z727" s="110"/>
    </row>
    <row r="728">
      <c r="A728" s="70"/>
      <c r="B728" s="70"/>
      <c r="D728" s="154"/>
      <c r="O728" s="92"/>
      <c r="P728" s="110"/>
      <c r="Q728" s="110"/>
      <c r="R728" s="110"/>
      <c r="S728" s="110"/>
      <c r="T728" s="110"/>
      <c r="U728" s="110"/>
      <c r="V728" s="110"/>
      <c r="W728" s="110"/>
      <c r="X728" s="110"/>
      <c r="Y728" s="110"/>
      <c r="Z728" s="110"/>
    </row>
    <row r="729">
      <c r="A729" s="70"/>
      <c r="B729" s="70"/>
      <c r="D729" s="154"/>
      <c r="O729" s="92"/>
      <c r="P729" s="110"/>
      <c r="Q729" s="110"/>
      <c r="R729" s="110"/>
      <c r="S729" s="110"/>
      <c r="T729" s="110"/>
      <c r="U729" s="110"/>
      <c r="V729" s="110"/>
      <c r="W729" s="110"/>
      <c r="X729" s="110"/>
      <c r="Y729" s="110"/>
      <c r="Z729" s="110"/>
    </row>
    <row r="730">
      <c r="A730" s="70"/>
      <c r="B730" s="70"/>
      <c r="D730" s="154"/>
      <c r="O730" s="92"/>
      <c r="P730" s="110"/>
      <c r="Q730" s="110"/>
      <c r="R730" s="110"/>
      <c r="S730" s="110"/>
      <c r="T730" s="110"/>
      <c r="U730" s="110"/>
      <c r="V730" s="110"/>
      <c r="W730" s="110"/>
      <c r="X730" s="110"/>
      <c r="Y730" s="110"/>
      <c r="Z730" s="110"/>
    </row>
    <row r="731">
      <c r="A731" s="70"/>
      <c r="B731" s="70"/>
      <c r="D731" s="154"/>
      <c r="O731" s="92"/>
      <c r="P731" s="110"/>
      <c r="Q731" s="110"/>
      <c r="R731" s="110"/>
      <c r="S731" s="110"/>
      <c r="T731" s="110"/>
      <c r="U731" s="110"/>
      <c r="V731" s="110"/>
      <c r="W731" s="110"/>
      <c r="X731" s="110"/>
      <c r="Y731" s="110"/>
      <c r="Z731" s="110"/>
    </row>
    <row r="732">
      <c r="A732" s="70"/>
      <c r="B732" s="70"/>
      <c r="D732" s="154"/>
      <c r="O732" s="92"/>
      <c r="P732" s="110"/>
      <c r="Q732" s="110"/>
      <c r="R732" s="110"/>
      <c r="S732" s="110"/>
      <c r="T732" s="110"/>
      <c r="U732" s="110"/>
      <c r="V732" s="110"/>
      <c r="W732" s="110"/>
      <c r="X732" s="110"/>
      <c r="Y732" s="110"/>
      <c r="Z732" s="110"/>
    </row>
    <row r="733">
      <c r="A733" s="70"/>
      <c r="B733" s="70"/>
      <c r="D733" s="154"/>
      <c r="O733" s="92"/>
      <c r="P733" s="110"/>
      <c r="Q733" s="110"/>
      <c r="R733" s="110"/>
      <c r="S733" s="110"/>
      <c r="T733" s="110"/>
      <c r="U733" s="110"/>
      <c r="V733" s="110"/>
      <c r="W733" s="110"/>
      <c r="X733" s="110"/>
      <c r="Y733" s="110"/>
      <c r="Z733" s="110"/>
    </row>
    <row r="734">
      <c r="A734" s="70"/>
      <c r="B734" s="70"/>
      <c r="D734" s="154"/>
      <c r="O734" s="92"/>
      <c r="P734" s="110"/>
      <c r="Q734" s="110"/>
      <c r="R734" s="110"/>
      <c r="S734" s="110"/>
      <c r="T734" s="110"/>
      <c r="U734" s="110"/>
      <c r="V734" s="110"/>
      <c r="W734" s="110"/>
      <c r="X734" s="110"/>
      <c r="Y734" s="110"/>
      <c r="Z734" s="110"/>
    </row>
    <row r="735">
      <c r="A735" s="70"/>
      <c r="B735" s="70"/>
      <c r="D735" s="154"/>
      <c r="O735" s="92"/>
      <c r="P735" s="110"/>
      <c r="Q735" s="110"/>
      <c r="R735" s="110"/>
      <c r="S735" s="110"/>
      <c r="T735" s="110"/>
      <c r="U735" s="110"/>
      <c r="V735" s="110"/>
      <c r="W735" s="110"/>
      <c r="X735" s="110"/>
      <c r="Y735" s="110"/>
      <c r="Z735" s="110"/>
    </row>
    <row r="736">
      <c r="A736" s="70"/>
      <c r="B736" s="70"/>
      <c r="D736" s="154"/>
      <c r="O736" s="92"/>
      <c r="P736" s="110"/>
      <c r="Q736" s="110"/>
      <c r="R736" s="110"/>
      <c r="S736" s="110"/>
      <c r="T736" s="110"/>
      <c r="U736" s="110"/>
      <c r="V736" s="110"/>
      <c r="W736" s="110"/>
      <c r="X736" s="110"/>
      <c r="Y736" s="110"/>
      <c r="Z736" s="110"/>
    </row>
    <row r="737">
      <c r="A737" s="70"/>
      <c r="B737" s="70"/>
      <c r="D737" s="154"/>
      <c r="O737" s="92"/>
      <c r="P737" s="110"/>
      <c r="Q737" s="110"/>
      <c r="R737" s="110"/>
      <c r="S737" s="110"/>
      <c r="T737" s="110"/>
      <c r="U737" s="110"/>
      <c r="V737" s="110"/>
      <c r="W737" s="110"/>
      <c r="X737" s="110"/>
      <c r="Y737" s="110"/>
      <c r="Z737" s="110"/>
    </row>
    <row r="738">
      <c r="A738" s="70"/>
      <c r="B738" s="70"/>
      <c r="D738" s="154"/>
      <c r="O738" s="92"/>
      <c r="P738" s="110"/>
      <c r="Q738" s="110"/>
      <c r="R738" s="110"/>
      <c r="S738" s="110"/>
      <c r="T738" s="110"/>
      <c r="U738" s="110"/>
      <c r="V738" s="110"/>
      <c r="W738" s="110"/>
      <c r="X738" s="110"/>
      <c r="Y738" s="110"/>
      <c r="Z738" s="110"/>
    </row>
    <row r="739">
      <c r="A739" s="70"/>
      <c r="B739" s="70"/>
      <c r="D739" s="154"/>
      <c r="O739" s="92"/>
      <c r="P739" s="110"/>
      <c r="Q739" s="110"/>
      <c r="R739" s="110"/>
      <c r="S739" s="110"/>
      <c r="T739" s="110"/>
      <c r="U739" s="110"/>
      <c r="V739" s="110"/>
      <c r="W739" s="110"/>
      <c r="X739" s="110"/>
      <c r="Y739" s="110"/>
      <c r="Z739" s="110"/>
    </row>
    <row r="740">
      <c r="A740" s="70"/>
      <c r="B740" s="70"/>
      <c r="D740" s="154"/>
      <c r="O740" s="92"/>
      <c r="P740" s="110"/>
      <c r="Q740" s="110"/>
      <c r="R740" s="110"/>
      <c r="S740" s="110"/>
      <c r="T740" s="110"/>
      <c r="U740" s="110"/>
      <c r="V740" s="110"/>
      <c r="W740" s="110"/>
      <c r="X740" s="110"/>
      <c r="Y740" s="110"/>
      <c r="Z740" s="110"/>
    </row>
    <row r="741">
      <c r="A741" s="70"/>
      <c r="B741" s="70"/>
      <c r="D741" s="154"/>
      <c r="O741" s="92"/>
      <c r="P741" s="110"/>
      <c r="Q741" s="110"/>
      <c r="R741" s="110"/>
      <c r="S741" s="110"/>
      <c r="T741" s="110"/>
      <c r="U741" s="110"/>
      <c r="V741" s="110"/>
      <c r="W741" s="110"/>
      <c r="X741" s="110"/>
      <c r="Y741" s="110"/>
      <c r="Z741" s="110"/>
    </row>
    <row r="742">
      <c r="A742" s="70"/>
      <c r="B742" s="70"/>
      <c r="D742" s="154"/>
      <c r="O742" s="92"/>
      <c r="P742" s="110"/>
      <c r="Q742" s="110"/>
      <c r="R742" s="110"/>
      <c r="S742" s="110"/>
      <c r="T742" s="110"/>
      <c r="U742" s="110"/>
      <c r="V742" s="110"/>
      <c r="W742" s="110"/>
      <c r="X742" s="110"/>
      <c r="Y742" s="110"/>
      <c r="Z742" s="110"/>
    </row>
    <row r="743">
      <c r="A743" s="70"/>
      <c r="B743" s="70"/>
      <c r="D743" s="154"/>
      <c r="O743" s="92"/>
      <c r="P743" s="110"/>
      <c r="Q743" s="110"/>
      <c r="R743" s="110"/>
      <c r="S743" s="110"/>
      <c r="T743" s="110"/>
      <c r="U743" s="110"/>
      <c r="V743" s="110"/>
      <c r="W743" s="110"/>
      <c r="X743" s="110"/>
      <c r="Y743" s="110"/>
      <c r="Z743" s="110"/>
    </row>
    <row r="744">
      <c r="A744" s="70"/>
      <c r="B744" s="70"/>
      <c r="D744" s="154"/>
      <c r="O744" s="92"/>
      <c r="P744" s="110"/>
      <c r="Q744" s="110"/>
      <c r="R744" s="110"/>
      <c r="S744" s="110"/>
      <c r="T744" s="110"/>
      <c r="U744" s="110"/>
      <c r="V744" s="110"/>
      <c r="W744" s="110"/>
      <c r="X744" s="110"/>
      <c r="Y744" s="110"/>
      <c r="Z744" s="110"/>
    </row>
    <row r="745">
      <c r="A745" s="70"/>
      <c r="B745" s="70"/>
      <c r="D745" s="154"/>
      <c r="O745" s="92"/>
      <c r="P745" s="110"/>
      <c r="Q745" s="110"/>
      <c r="R745" s="110"/>
      <c r="S745" s="110"/>
      <c r="T745" s="110"/>
      <c r="U745" s="110"/>
      <c r="V745" s="110"/>
      <c r="W745" s="110"/>
      <c r="X745" s="110"/>
      <c r="Y745" s="110"/>
      <c r="Z745" s="110"/>
    </row>
    <row r="746">
      <c r="A746" s="70"/>
      <c r="B746" s="70"/>
      <c r="D746" s="154"/>
      <c r="O746" s="92"/>
      <c r="P746" s="110"/>
      <c r="Q746" s="110"/>
      <c r="R746" s="110"/>
      <c r="S746" s="110"/>
      <c r="T746" s="110"/>
      <c r="U746" s="110"/>
      <c r="V746" s="110"/>
      <c r="W746" s="110"/>
      <c r="X746" s="110"/>
      <c r="Y746" s="110"/>
      <c r="Z746" s="110"/>
    </row>
    <row r="747">
      <c r="A747" s="70"/>
      <c r="B747" s="70"/>
      <c r="D747" s="154"/>
      <c r="O747" s="92"/>
      <c r="P747" s="110"/>
      <c r="Q747" s="110"/>
      <c r="R747" s="110"/>
      <c r="S747" s="110"/>
      <c r="T747" s="110"/>
      <c r="U747" s="110"/>
      <c r="V747" s="110"/>
      <c r="W747" s="110"/>
      <c r="X747" s="110"/>
      <c r="Y747" s="110"/>
      <c r="Z747" s="110"/>
    </row>
    <row r="748">
      <c r="A748" s="70"/>
      <c r="B748" s="70"/>
      <c r="D748" s="154"/>
      <c r="O748" s="92"/>
      <c r="P748" s="110"/>
      <c r="Q748" s="110"/>
      <c r="R748" s="110"/>
      <c r="S748" s="110"/>
      <c r="T748" s="110"/>
      <c r="U748" s="110"/>
      <c r="V748" s="110"/>
      <c r="W748" s="110"/>
      <c r="X748" s="110"/>
      <c r="Y748" s="110"/>
      <c r="Z748" s="110"/>
    </row>
    <row r="749">
      <c r="A749" s="70"/>
      <c r="B749" s="70"/>
      <c r="D749" s="154"/>
      <c r="O749" s="92"/>
      <c r="P749" s="110"/>
      <c r="Q749" s="110"/>
      <c r="R749" s="110"/>
      <c r="S749" s="110"/>
      <c r="T749" s="110"/>
      <c r="U749" s="110"/>
      <c r="V749" s="110"/>
      <c r="W749" s="110"/>
      <c r="X749" s="110"/>
      <c r="Y749" s="110"/>
      <c r="Z749" s="110"/>
    </row>
    <row r="750">
      <c r="A750" s="70"/>
      <c r="B750" s="70"/>
      <c r="D750" s="154"/>
      <c r="O750" s="92"/>
      <c r="P750" s="110"/>
      <c r="Q750" s="110"/>
      <c r="R750" s="110"/>
      <c r="S750" s="110"/>
      <c r="T750" s="110"/>
      <c r="U750" s="110"/>
      <c r="V750" s="110"/>
      <c r="W750" s="110"/>
      <c r="X750" s="110"/>
      <c r="Y750" s="110"/>
      <c r="Z750" s="110"/>
    </row>
    <row r="751">
      <c r="A751" s="70"/>
      <c r="B751" s="70"/>
      <c r="D751" s="154"/>
      <c r="O751" s="92"/>
      <c r="P751" s="110"/>
      <c r="Q751" s="110"/>
      <c r="R751" s="110"/>
      <c r="S751" s="110"/>
      <c r="T751" s="110"/>
      <c r="U751" s="110"/>
      <c r="V751" s="110"/>
      <c r="W751" s="110"/>
      <c r="X751" s="110"/>
      <c r="Y751" s="110"/>
      <c r="Z751" s="110"/>
    </row>
    <row r="752">
      <c r="A752" s="70"/>
      <c r="B752" s="70"/>
      <c r="D752" s="154"/>
      <c r="O752" s="92"/>
      <c r="P752" s="110"/>
      <c r="Q752" s="110"/>
      <c r="R752" s="110"/>
      <c r="S752" s="110"/>
      <c r="T752" s="110"/>
      <c r="U752" s="110"/>
      <c r="V752" s="110"/>
      <c r="W752" s="110"/>
      <c r="X752" s="110"/>
      <c r="Y752" s="110"/>
      <c r="Z752" s="110"/>
    </row>
    <row r="753">
      <c r="A753" s="70"/>
      <c r="B753" s="70"/>
      <c r="D753" s="154"/>
      <c r="O753" s="92"/>
      <c r="P753" s="110"/>
      <c r="Q753" s="110"/>
      <c r="R753" s="110"/>
      <c r="S753" s="110"/>
      <c r="T753" s="110"/>
      <c r="U753" s="110"/>
      <c r="V753" s="110"/>
      <c r="W753" s="110"/>
      <c r="X753" s="110"/>
      <c r="Y753" s="110"/>
      <c r="Z753" s="110"/>
    </row>
    <row r="754">
      <c r="A754" s="70"/>
      <c r="B754" s="70"/>
      <c r="D754" s="154"/>
      <c r="O754" s="92"/>
      <c r="P754" s="110"/>
      <c r="Q754" s="110"/>
      <c r="R754" s="110"/>
      <c r="S754" s="110"/>
      <c r="T754" s="110"/>
      <c r="U754" s="110"/>
      <c r="V754" s="110"/>
      <c r="W754" s="110"/>
      <c r="X754" s="110"/>
      <c r="Y754" s="110"/>
      <c r="Z754" s="110"/>
    </row>
    <row r="755">
      <c r="A755" s="70"/>
      <c r="B755" s="70"/>
      <c r="D755" s="154"/>
      <c r="O755" s="92"/>
      <c r="P755" s="110"/>
      <c r="Q755" s="110"/>
      <c r="R755" s="110"/>
      <c r="S755" s="110"/>
      <c r="T755" s="110"/>
      <c r="U755" s="110"/>
      <c r="V755" s="110"/>
      <c r="W755" s="110"/>
      <c r="X755" s="110"/>
      <c r="Y755" s="110"/>
      <c r="Z755" s="110"/>
    </row>
    <row r="756">
      <c r="A756" s="70"/>
      <c r="B756" s="70"/>
      <c r="D756" s="154"/>
      <c r="O756" s="92"/>
      <c r="P756" s="110"/>
      <c r="Q756" s="110"/>
      <c r="R756" s="110"/>
      <c r="S756" s="110"/>
      <c r="T756" s="110"/>
      <c r="U756" s="110"/>
      <c r="V756" s="110"/>
      <c r="W756" s="110"/>
      <c r="X756" s="110"/>
      <c r="Y756" s="110"/>
      <c r="Z756" s="110"/>
    </row>
    <row r="757">
      <c r="A757" s="70"/>
      <c r="B757" s="70"/>
      <c r="D757" s="154"/>
      <c r="O757" s="92"/>
      <c r="P757" s="110"/>
      <c r="Q757" s="110"/>
      <c r="R757" s="110"/>
      <c r="S757" s="110"/>
      <c r="T757" s="110"/>
      <c r="U757" s="110"/>
      <c r="V757" s="110"/>
      <c r="W757" s="110"/>
      <c r="X757" s="110"/>
      <c r="Y757" s="110"/>
      <c r="Z757" s="110"/>
    </row>
    <row r="758">
      <c r="A758" s="70"/>
      <c r="B758" s="70"/>
      <c r="D758" s="154"/>
      <c r="O758" s="92"/>
      <c r="P758" s="110"/>
      <c r="Q758" s="110"/>
      <c r="R758" s="110"/>
      <c r="S758" s="110"/>
      <c r="T758" s="110"/>
      <c r="U758" s="110"/>
      <c r="V758" s="110"/>
      <c r="W758" s="110"/>
      <c r="X758" s="110"/>
      <c r="Y758" s="110"/>
      <c r="Z758" s="110"/>
    </row>
    <row r="759">
      <c r="A759" s="70"/>
      <c r="B759" s="70"/>
      <c r="D759" s="154"/>
      <c r="O759" s="92"/>
      <c r="P759" s="110"/>
      <c r="Q759" s="110"/>
      <c r="R759" s="110"/>
      <c r="S759" s="110"/>
      <c r="T759" s="110"/>
      <c r="U759" s="110"/>
      <c r="V759" s="110"/>
      <c r="W759" s="110"/>
      <c r="X759" s="110"/>
      <c r="Y759" s="110"/>
      <c r="Z759" s="110"/>
    </row>
    <row r="760">
      <c r="A760" s="70"/>
      <c r="B760" s="70"/>
      <c r="D760" s="154"/>
      <c r="O760" s="92"/>
      <c r="P760" s="110"/>
      <c r="Q760" s="110"/>
      <c r="R760" s="110"/>
      <c r="S760" s="110"/>
      <c r="T760" s="110"/>
      <c r="U760" s="110"/>
      <c r="V760" s="110"/>
      <c r="W760" s="110"/>
      <c r="X760" s="110"/>
      <c r="Y760" s="110"/>
      <c r="Z760" s="110"/>
    </row>
    <row r="761">
      <c r="A761" s="70"/>
      <c r="B761" s="70"/>
      <c r="D761" s="154"/>
      <c r="O761" s="92"/>
      <c r="P761" s="110"/>
      <c r="Q761" s="110"/>
      <c r="R761" s="110"/>
      <c r="S761" s="110"/>
      <c r="T761" s="110"/>
      <c r="U761" s="110"/>
      <c r="V761" s="110"/>
      <c r="W761" s="110"/>
      <c r="X761" s="110"/>
      <c r="Y761" s="110"/>
      <c r="Z761" s="110"/>
    </row>
    <row r="762">
      <c r="A762" s="70"/>
      <c r="B762" s="70"/>
      <c r="D762" s="154"/>
      <c r="O762" s="92"/>
      <c r="P762" s="110"/>
      <c r="Q762" s="110"/>
      <c r="R762" s="110"/>
      <c r="S762" s="110"/>
      <c r="T762" s="110"/>
      <c r="U762" s="110"/>
      <c r="V762" s="110"/>
      <c r="W762" s="110"/>
      <c r="X762" s="110"/>
      <c r="Y762" s="110"/>
      <c r="Z762" s="110"/>
    </row>
    <row r="763">
      <c r="A763" s="70"/>
      <c r="B763" s="70"/>
      <c r="D763" s="154"/>
      <c r="O763" s="92"/>
      <c r="P763" s="110"/>
      <c r="Q763" s="110"/>
      <c r="R763" s="110"/>
      <c r="S763" s="110"/>
      <c r="T763" s="110"/>
      <c r="U763" s="110"/>
      <c r="V763" s="110"/>
      <c r="W763" s="110"/>
      <c r="X763" s="110"/>
      <c r="Y763" s="110"/>
      <c r="Z763" s="110"/>
    </row>
    <row r="764">
      <c r="A764" s="70"/>
      <c r="B764" s="70"/>
      <c r="D764" s="154"/>
      <c r="O764" s="92"/>
      <c r="P764" s="110"/>
      <c r="Q764" s="110"/>
      <c r="R764" s="110"/>
      <c r="S764" s="110"/>
      <c r="T764" s="110"/>
      <c r="U764" s="110"/>
      <c r="V764" s="110"/>
      <c r="W764" s="110"/>
      <c r="X764" s="110"/>
      <c r="Y764" s="110"/>
      <c r="Z764" s="110"/>
    </row>
    <row r="765">
      <c r="A765" s="70"/>
      <c r="B765" s="70"/>
      <c r="D765" s="154"/>
      <c r="O765" s="92"/>
      <c r="P765" s="110"/>
      <c r="Q765" s="110"/>
      <c r="R765" s="110"/>
      <c r="S765" s="110"/>
      <c r="T765" s="110"/>
      <c r="U765" s="110"/>
      <c r="V765" s="110"/>
      <c r="W765" s="110"/>
      <c r="X765" s="110"/>
      <c r="Y765" s="110"/>
      <c r="Z765" s="110"/>
    </row>
    <row r="766">
      <c r="A766" s="70"/>
      <c r="B766" s="70"/>
      <c r="D766" s="154"/>
      <c r="O766" s="92"/>
      <c r="P766" s="110"/>
      <c r="Q766" s="110"/>
      <c r="R766" s="110"/>
      <c r="S766" s="110"/>
      <c r="T766" s="110"/>
      <c r="U766" s="110"/>
      <c r="V766" s="110"/>
      <c r="W766" s="110"/>
      <c r="X766" s="110"/>
      <c r="Y766" s="110"/>
      <c r="Z766" s="110"/>
    </row>
    <row r="767">
      <c r="A767" s="70"/>
      <c r="B767" s="70"/>
      <c r="D767" s="154"/>
      <c r="O767" s="92"/>
      <c r="P767" s="110"/>
      <c r="Q767" s="110"/>
      <c r="R767" s="110"/>
      <c r="S767" s="110"/>
      <c r="T767" s="110"/>
      <c r="U767" s="110"/>
      <c r="V767" s="110"/>
      <c r="W767" s="110"/>
      <c r="X767" s="110"/>
      <c r="Y767" s="110"/>
      <c r="Z767" s="110"/>
    </row>
    <row r="768">
      <c r="A768" s="70"/>
      <c r="B768" s="70"/>
      <c r="D768" s="154"/>
      <c r="O768" s="92"/>
      <c r="P768" s="110"/>
      <c r="Q768" s="110"/>
      <c r="R768" s="110"/>
      <c r="S768" s="110"/>
      <c r="T768" s="110"/>
      <c r="U768" s="110"/>
      <c r="V768" s="110"/>
      <c r="W768" s="110"/>
      <c r="X768" s="110"/>
      <c r="Y768" s="110"/>
      <c r="Z768" s="110"/>
    </row>
    <row r="769">
      <c r="A769" s="70"/>
      <c r="B769" s="70"/>
      <c r="D769" s="154"/>
      <c r="O769" s="92"/>
      <c r="P769" s="110"/>
      <c r="Q769" s="110"/>
      <c r="R769" s="110"/>
      <c r="S769" s="110"/>
      <c r="T769" s="110"/>
      <c r="U769" s="110"/>
      <c r="V769" s="110"/>
      <c r="W769" s="110"/>
      <c r="X769" s="110"/>
      <c r="Y769" s="110"/>
      <c r="Z769" s="110"/>
    </row>
    <row r="770">
      <c r="A770" s="70"/>
      <c r="B770" s="70"/>
      <c r="D770" s="154"/>
      <c r="O770" s="92"/>
      <c r="P770" s="110"/>
      <c r="Q770" s="110"/>
      <c r="R770" s="110"/>
      <c r="S770" s="110"/>
      <c r="T770" s="110"/>
      <c r="U770" s="110"/>
      <c r="V770" s="110"/>
      <c r="W770" s="110"/>
      <c r="X770" s="110"/>
      <c r="Y770" s="110"/>
      <c r="Z770" s="110"/>
    </row>
    <row r="771">
      <c r="A771" s="70"/>
      <c r="B771" s="70"/>
      <c r="D771" s="154"/>
      <c r="O771" s="92"/>
      <c r="P771" s="110"/>
      <c r="Q771" s="110"/>
      <c r="R771" s="110"/>
      <c r="S771" s="110"/>
      <c r="T771" s="110"/>
      <c r="U771" s="110"/>
      <c r="V771" s="110"/>
      <c r="W771" s="110"/>
      <c r="X771" s="110"/>
      <c r="Y771" s="110"/>
      <c r="Z771" s="110"/>
    </row>
    <row r="772">
      <c r="A772" s="70"/>
      <c r="B772" s="70"/>
      <c r="D772" s="154"/>
      <c r="O772" s="92"/>
      <c r="P772" s="110"/>
      <c r="Q772" s="110"/>
      <c r="R772" s="110"/>
      <c r="S772" s="110"/>
      <c r="T772" s="110"/>
      <c r="U772" s="110"/>
      <c r="V772" s="110"/>
      <c r="W772" s="110"/>
      <c r="X772" s="110"/>
      <c r="Y772" s="110"/>
      <c r="Z772" s="110"/>
    </row>
    <row r="773">
      <c r="A773" s="70"/>
      <c r="B773" s="70"/>
      <c r="D773" s="154"/>
      <c r="O773" s="92"/>
      <c r="P773" s="110"/>
      <c r="Q773" s="110"/>
      <c r="R773" s="110"/>
      <c r="S773" s="110"/>
      <c r="T773" s="110"/>
      <c r="U773" s="110"/>
      <c r="V773" s="110"/>
      <c r="W773" s="110"/>
      <c r="X773" s="110"/>
      <c r="Y773" s="110"/>
      <c r="Z773" s="110"/>
    </row>
    <row r="774">
      <c r="A774" s="70"/>
      <c r="B774" s="70"/>
      <c r="D774" s="154"/>
      <c r="O774" s="92"/>
      <c r="P774" s="110"/>
      <c r="Q774" s="110"/>
      <c r="R774" s="110"/>
      <c r="S774" s="110"/>
      <c r="T774" s="110"/>
      <c r="U774" s="110"/>
      <c r="V774" s="110"/>
      <c r="W774" s="110"/>
      <c r="X774" s="110"/>
      <c r="Y774" s="110"/>
      <c r="Z774" s="110"/>
    </row>
    <row r="775">
      <c r="A775" s="70"/>
      <c r="B775" s="70"/>
      <c r="D775" s="154"/>
      <c r="O775" s="92"/>
      <c r="P775" s="110"/>
      <c r="Q775" s="110"/>
      <c r="R775" s="110"/>
      <c r="S775" s="110"/>
      <c r="T775" s="110"/>
      <c r="U775" s="110"/>
      <c r="V775" s="110"/>
      <c r="W775" s="110"/>
      <c r="X775" s="110"/>
      <c r="Y775" s="110"/>
      <c r="Z775" s="110"/>
    </row>
    <row r="776">
      <c r="A776" s="70"/>
      <c r="B776" s="70"/>
      <c r="D776" s="154"/>
      <c r="O776" s="92"/>
      <c r="P776" s="110"/>
      <c r="Q776" s="110"/>
      <c r="R776" s="110"/>
      <c r="S776" s="110"/>
      <c r="T776" s="110"/>
      <c r="U776" s="110"/>
      <c r="V776" s="110"/>
      <c r="W776" s="110"/>
      <c r="X776" s="110"/>
      <c r="Y776" s="110"/>
      <c r="Z776" s="110"/>
    </row>
    <row r="777">
      <c r="A777" s="70"/>
      <c r="B777" s="70"/>
      <c r="D777" s="154"/>
      <c r="O777" s="92"/>
      <c r="P777" s="110"/>
      <c r="Q777" s="110"/>
      <c r="R777" s="110"/>
      <c r="S777" s="110"/>
      <c r="T777" s="110"/>
      <c r="U777" s="110"/>
      <c r="V777" s="110"/>
      <c r="W777" s="110"/>
      <c r="X777" s="110"/>
      <c r="Y777" s="110"/>
      <c r="Z777" s="110"/>
    </row>
    <row r="778">
      <c r="A778" s="70"/>
      <c r="B778" s="70"/>
      <c r="D778" s="154"/>
      <c r="O778" s="92"/>
      <c r="P778" s="110"/>
      <c r="Q778" s="110"/>
      <c r="R778" s="110"/>
      <c r="S778" s="110"/>
      <c r="T778" s="110"/>
      <c r="U778" s="110"/>
      <c r="V778" s="110"/>
      <c r="W778" s="110"/>
      <c r="X778" s="110"/>
      <c r="Y778" s="110"/>
      <c r="Z778" s="110"/>
    </row>
    <row r="779">
      <c r="A779" s="70"/>
      <c r="B779" s="70"/>
      <c r="D779" s="154"/>
      <c r="O779" s="92"/>
      <c r="P779" s="110"/>
      <c r="Q779" s="110"/>
      <c r="R779" s="110"/>
      <c r="S779" s="110"/>
      <c r="T779" s="110"/>
      <c r="U779" s="110"/>
      <c r="V779" s="110"/>
      <c r="W779" s="110"/>
      <c r="X779" s="110"/>
      <c r="Y779" s="110"/>
      <c r="Z779" s="110"/>
    </row>
    <row r="780">
      <c r="A780" s="70"/>
      <c r="B780" s="70"/>
      <c r="D780" s="154"/>
      <c r="O780" s="92"/>
      <c r="P780" s="110"/>
      <c r="Q780" s="110"/>
      <c r="R780" s="110"/>
      <c r="S780" s="110"/>
      <c r="T780" s="110"/>
      <c r="U780" s="110"/>
      <c r="V780" s="110"/>
      <c r="W780" s="110"/>
      <c r="X780" s="110"/>
      <c r="Y780" s="110"/>
      <c r="Z780" s="110"/>
    </row>
    <row r="781">
      <c r="A781" s="70"/>
      <c r="B781" s="70"/>
      <c r="D781" s="154"/>
      <c r="O781" s="92"/>
      <c r="P781" s="110"/>
      <c r="Q781" s="110"/>
      <c r="R781" s="110"/>
      <c r="S781" s="110"/>
      <c r="T781" s="110"/>
      <c r="U781" s="110"/>
      <c r="V781" s="110"/>
      <c r="W781" s="110"/>
      <c r="X781" s="110"/>
      <c r="Y781" s="110"/>
      <c r="Z781" s="110"/>
    </row>
    <row r="782">
      <c r="A782" s="70"/>
      <c r="B782" s="70"/>
      <c r="D782" s="154"/>
      <c r="O782" s="92"/>
      <c r="P782" s="110"/>
      <c r="Q782" s="110"/>
      <c r="R782" s="110"/>
      <c r="S782" s="110"/>
      <c r="T782" s="110"/>
      <c r="U782" s="110"/>
      <c r="V782" s="110"/>
      <c r="W782" s="110"/>
      <c r="X782" s="110"/>
      <c r="Y782" s="110"/>
      <c r="Z782" s="110"/>
    </row>
    <row r="783">
      <c r="A783" s="70"/>
      <c r="B783" s="70"/>
      <c r="D783" s="154"/>
      <c r="O783" s="92"/>
      <c r="P783" s="110"/>
      <c r="Q783" s="110"/>
      <c r="R783" s="110"/>
      <c r="S783" s="110"/>
      <c r="T783" s="110"/>
      <c r="U783" s="110"/>
      <c r="V783" s="110"/>
      <c r="W783" s="110"/>
      <c r="X783" s="110"/>
      <c r="Y783" s="110"/>
      <c r="Z783" s="110"/>
    </row>
    <row r="784">
      <c r="A784" s="70"/>
      <c r="B784" s="70"/>
      <c r="D784" s="154"/>
      <c r="O784" s="92"/>
      <c r="P784" s="110"/>
      <c r="Q784" s="110"/>
      <c r="R784" s="110"/>
      <c r="S784" s="110"/>
      <c r="T784" s="110"/>
      <c r="U784" s="110"/>
      <c r="V784" s="110"/>
      <c r="W784" s="110"/>
      <c r="X784" s="110"/>
      <c r="Y784" s="110"/>
      <c r="Z784" s="110"/>
    </row>
    <row r="785">
      <c r="A785" s="70"/>
      <c r="B785" s="70"/>
      <c r="D785" s="154"/>
      <c r="O785" s="92"/>
      <c r="P785" s="110"/>
      <c r="Q785" s="110"/>
      <c r="R785" s="110"/>
      <c r="S785" s="110"/>
      <c r="T785" s="110"/>
      <c r="U785" s="110"/>
      <c r="V785" s="110"/>
      <c r="W785" s="110"/>
      <c r="X785" s="110"/>
      <c r="Y785" s="110"/>
      <c r="Z785" s="110"/>
    </row>
    <row r="786">
      <c r="A786" s="70"/>
      <c r="B786" s="70"/>
      <c r="D786" s="154"/>
      <c r="O786" s="92"/>
      <c r="P786" s="110"/>
      <c r="Q786" s="110"/>
      <c r="R786" s="110"/>
      <c r="S786" s="110"/>
      <c r="T786" s="110"/>
      <c r="U786" s="110"/>
      <c r="V786" s="110"/>
      <c r="W786" s="110"/>
      <c r="X786" s="110"/>
      <c r="Y786" s="110"/>
      <c r="Z786" s="110"/>
    </row>
    <row r="787">
      <c r="A787" s="70"/>
      <c r="B787" s="70"/>
      <c r="D787" s="154"/>
      <c r="O787" s="92"/>
      <c r="P787" s="110"/>
      <c r="Q787" s="110"/>
      <c r="R787" s="110"/>
      <c r="S787" s="110"/>
      <c r="T787" s="110"/>
      <c r="U787" s="110"/>
      <c r="V787" s="110"/>
      <c r="W787" s="110"/>
      <c r="X787" s="110"/>
      <c r="Y787" s="110"/>
      <c r="Z787" s="110"/>
    </row>
    <row r="788">
      <c r="A788" s="70"/>
      <c r="B788" s="70"/>
      <c r="D788" s="154"/>
      <c r="O788" s="92"/>
      <c r="P788" s="110"/>
      <c r="Q788" s="110"/>
      <c r="R788" s="110"/>
      <c r="S788" s="110"/>
      <c r="T788" s="110"/>
      <c r="U788" s="110"/>
      <c r="V788" s="110"/>
      <c r="W788" s="110"/>
      <c r="X788" s="110"/>
      <c r="Y788" s="110"/>
      <c r="Z788" s="110"/>
    </row>
    <row r="789">
      <c r="A789" s="70"/>
      <c r="B789" s="70"/>
      <c r="D789" s="154"/>
      <c r="O789" s="92"/>
      <c r="P789" s="110"/>
      <c r="Q789" s="110"/>
      <c r="R789" s="110"/>
      <c r="S789" s="110"/>
      <c r="T789" s="110"/>
      <c r="U789" s="110"/>
      <c r="V789" s="110"/>
      <c r="W789" s="110"/>
      <c r="X789" s="110"/>
      <c r="Y789" s="110"/>
      <c r="Z789" s="110"/>
    </row>
    <row r="790">
      <c r="A790" s="70"/>
      <c r="B790" s="70"/>
      <c r="D790" s="154"/>
      <c r="O790" s="92"/>
      <c r="P790" s="110"/>
      <c r="Q790" s="110"/>
      <c r="R790" s="110"/>
      <c r="S790" s="110"/>
      <c r="T790" s="110"/>
      <c r="U790" s="110"/>
      <c r="V790" s="110"/>
      <c r="W790" s="110"/>
      <c r="X790" s="110"/>
      <c r="Y790" s="110"/>
      <c r="Z790" s="110"/>
    </row>
    <row r="791">
      <c r="A791" s="70"/>
      <c r="B791" s="70"/>
      <c r="D791" s="154"/>
      <c r="O791" s="92"/>
      <c r="P791" s="110"/>
      <c r="Q791" s="110"/>
      <c r="R791" s="110"/>
      <c r="S791" s="110"/>
      <c r="T791" s="110"/>
      <c r="U791" s="110"/>
      <c r="V791" s="110"/>
      <c r="W791" s="110"/>
      <c r="X791" s="110"/>
      <c r="Y791" s="110"/>
      <c r="Z791" s="110"/>
    </row>
    <row r="792">
      <c r="A792" s="70"/>
      <c r="B792" s="70"/>
      <c r="D792" s="154"/>
      <c r="O792" s="92"/>
      <c r="P792" s="110"/>
      <c r="Q792" s="110"/>
      <c r="R792" s="110"/>
      <c r="S792" s="110"/>
      <c r="T792" s="110"/>
      <c r="U792" s="110"/>
      <c r="V792" s="110"/>
      <c r="W792" s="110"/>
      <c r="X792" s="110"/>
      <c r="Y792" s="110"/>
      <c r="Z792" s="110"/>
    </row>
    <row r="793">
      <c r="A793" s="70"/>
      <c r="B793" s="70"/>
      <c r="D793" s="154"/>
      <c r="O793" s="92"/>
      <c r="P793" s="110"/>
      <c r="Q793" s="110"/>
      <c r="R793" s="110"/>
      <c r="S793" s="110"/>
      <c r="T793" s="110"/>
      <c r="U793" s="110"/>
      <c r="V793" s="110"/>
      <c r="W793" s="110"/>
      <c r="X793" s="110"/>
      <c r="Y793" s="110"/>
      <c r="Z793" s="110"/>
    </row>
    <row r="794">
      <c r="A794" s="70"/>
      <c r="B794" s="70"/>
      <c r="D794" s="154"/>
      <c r="O794" s="92"/>
      <c r="P794" s="110"/>
      <c r="Q794" s="110"/>
      <c r="R794" s="110"/>
      <c r="S794" s="110"/>
      <c r="T794" s="110"/>
      <c r="U794" s="110"/>
      <c r="V794" s="110"/>
      <c r="W794" s="110"/>
      <c r="X794" s="110"/>
      <c r="Y794" s="110"/>
      <c r="Z794" s="110"/>
    </row>
    <row r="795">
      <c r="A795" s="70"/>
      <c r="B795" s="70"/>
      <c r="D795" s="154"/>
      <c r="O795" s="92"/>
      <c r="P795" s="110"/>
      <c r="Q795" s="110"/>
      <c r="R795" s="110"/>
      <c r="S795" s="110"/>
      <c r="T795" s="110"/>
      <c r="U795" s="110"/>
      <c r="V795" s="110"/>
      <c r="W795" s="110"/>
      <c r="X795" s="110"/>
      <c r="Y795" s="110"/>
      <c r="Z795" s="110"/>
    </row>
    <row r="796">
      <c r="A796" s="70"/>
      <c r="B796" s="70"/>
      <c r="D796" s="154"/>
      <c r="O796" s="92"/>
      <c r="P796" s="110"/>
      <c r="Q796" s="110"/>
      <c r="R796" s="110"/>
      <c r="S796" s="110"/>
      <c r="T796" s="110"/>
      <c r="U796" s="110"/>
      <c r="V796" s="110"/>
      <c r="W796" s="110"/>
      <c r="X796" s="110"/>
      <c r="Y796" s="110"/>
      <c r="Z796" s="110"/>
    </row>
    <row r="797">
      <c r="A797" s="70"/>
      <c r="B797" s="70"/>
      <c r="D797" s="154"/>
      <c r="O797" s="92"/>
      <c r="P797" s="110"/>
      <c r="Q797" s="110"/>
      <c r="R797" s="110"/>
      <c r="S797" s="110"/>
      <c r="T797" s="110"/>
      <c r="U797" s="110"/>
      <c r="V797" s="110"/>
      <c r="W797" s="110"/>
      <c r="X797" s="110"/>
      <c r="Y797" s="110"/>
      <c r="Z797" s="110"/>
    </row>
    <row r="798">
      <c r="A798" s="70"/>
      <c r="B798" s="70"/>
      <c r="D798" s="154"/>
      <c r="O798" s="92"/>
      <c r="P798" s="110"/>
      <c r="Q798" s="110"/>
      <c r="R798" s="110"/>
      <c r="S798" s="110"/>
      <c r="T798" s="110"/>
      <c r="U798" s="110"/>
      <c r="V798" s="110"/>
      <c r="W798" s="110"/>
      <c r="X798" s="110"/>
      <c r="Y798" s="110"/>
      <c r="Z798" s="110"/>
    </row>
    <row r="799">
      <c r="A799" s="70"/>
      <c r="B799" s="70"/>
      <c r="D799" s="154"/>
      <c r="O799" s="92"/>
      <c r="P799" s="110"/>
      <c r="Q799" s="110"/>
      <c r="R799" s="110"/>
      <c r="S799" s="110"/>
      <c r="T799" s="110"/>
      <c r="U799" s="110"/>
      <c r="V799" s="110"/>
      <c r="W799" s="110"/>
      <c r="X799" s="110"/>
      <c r="Y799" s="110"/>
      <c r="Z799" s="110"/>
    </row>
    <row r="800">
      <c r="A800" s="70"/>
      <c r="B800" s="70"/>
      <c r="D800" s="154"/>
      <c r="O800" s="92"/>
      <c r="P800" s="110"/>
      <c r="Q800" s="110"/>
      <c r="R800" s="110"/>
      <c r="S800" s="110"/>
      <c r="T800" s="110"/>
      <c r="U800" s="110"/>
      <c r="V800" s="110"/>
      <c r="W800" s="110"/>
      <c r="X800" s="110"/>
      <c r="Y800" s="110"/>
      <c r="Z800" s="110"/>
    </row>
    <row r="801">
      <c r="A801" s="70"/>
      <c r="B801" s="70"/>
      <c r="D801" s="154"/>
      <c r="O801" s="92"/>
      <c r="P801" s="110"/>
      <c r="Q801" s="110"/>
      <c r="R801" s="110"/>
      <c r="S801" s="110"/>
      <c r="T801" s="110"/>
      <c r="U801" s="110"/>
      <c r="V801" s="110"/>
      <c r="W801" s="110"/>
      <c r="X801" s="110"/>
      <c r="Y801" s="110"/>
      <c r="Z801" s="110"/>
    </row>
    <row r="802">
      <c r="A802" s="70"/>
      <c r="B802" s="70"/>
      <c r="D802" s="154"/>
      <c r="O802" s="92"/>
      <c r="P802" s="110"/>
      <c r="Q802" s="110"/>
      <c r="R802" s="110"/>
      <c r="S802" s="110"/>
      <c r="T802" s="110"/>
      <c r="U802" s="110"/>
      <c r="V802" s="110"/>
      <c r="W802" s="110"/>
      <c r="X802" s="110"/>
      <c r="Y802" s="110"/>
      <c r="Z802" s="110"/>
    </row>
    <row r="803">
      <c r="A803" s="70"/>
      <c r="B803" s="70"/>
      <c r="D803" s="154"/>
      <c r="O803" s="92"/>
      <c r="P803" s="110"/>
      <c r="Q803" s="110"/>
      <c r="R803" s="110"/>
      <c r="S803" s="110"/>
      <c r="T803" s="110"/>
      <c r="U803" s="110"/>
      <c r="V803" s="110"/>
      <c r="W803" s="110"/>
      <c r="X803" s="110"/>
      <c r="Y803" s="110"/>
      <c r="Z803" s="110"/>
    </row>
    <row r="804">
      <c r="A804" s="70"/>
      <c r="B804" s="70"/>
      <c r="D804" s="154"/>
      <c r="O804" s="92"/>
      <c r="P804" s="110"/>
      <c r="Q804" s="110"/>
      <c r="R804" s="110"/>
      <c r="S804" s="110"/>
      <c r="T804" s="110"/>
      <c r="U804" s="110"/>
      <c r="V804" s="110"/>
      <c r="W804" s="110"/>
      <c r="X804" s="110"/>
      <c r="Y804" s="110"/>
      <c r="Z804" s="110"/>
    </row>
    <row r="805">
      <c r="A805" s="70"/>
      <c r="B805" s="70"/>
      <c r="D805" s="154"/>
      <c r="O805" s="92"/>
      <c r="P805" s="110"/>
      <c r="Q805" s="110"/>
      <c r="R805" s="110"/>
      <c r="S805" s="110"/>
      <c r="T805" s="110"/>
      <c r="U805" s="110"/>
      <c r="V805" s="110"/>
      <c r="W805" s="110"/>
      <c r="X805" s="110"/>
      <c r="Y805" s="110"/>
      <c r="Z805" s="110"/>
    </row>
    <row r="806">
      <c r="A806" s="70"/>
      <c r="B806" s="70"/>
      <c r="D806" s="154"/>
      <c r="O806" s="92"/>
      <c r="P806" s="110"/>
      <c r="Q806" s="110"/>
      <c r="R806" s="110"/>
      <c r="S806" s="110"/>
      <c r="T806" s="110"/>
      <c r="U806" s="110"/>
      <c r="V806" s="110"/>
      <c r="W806" s="110"/>
      <c r="X806" s="110"/>
      <c r="Y806" s="110"/>
      <c r="Z806" s="110"/>
    </row>
    <row r="807">
      <c r="A807" s="70"/>
      <c r="B807" s="70"/>
      <c r="D807" s="154"/>
      <c r="O807" s="92"/>
      <c r="P807" s="110"/>
      <c r="Q807" s="110"/>
      <c r="R807" s="110"/>
      <c r="S807" s="110"/>
      <c r="T807" s="110"/>
      <c r="U807" s="110"/>
      <c r="V807" s="110"/>
      <c r="W807" s="110"/>
      <c r="X807" s="110"/>
      <c r="Y807" s="110"/>
      <c r="Z807" s="110"/>
    </row>
    <row r="808">
      <c r="A808" s="70"/>
      <c r="B808" s="70"/>
      <c r="D808" s="154"/>
      <c r="O808" s="92"/>
      <c r="P808" s="110"/>
      <c r="Q808" s="110"/>
      <c r="R808" s="110"/>
      <c r="S808" s="110"/>
      <c r="T808" s="110"/>
      <c r="U808" s="110"/>
      <c r="V808" s="110"/>
      <c r="W808" s="110"/>
      <c r="X808" s="110"/>
      <c r="Y808" s="110"/>
      <c r="Z808" s="110"/>
    </row>
    <row r="809">
      <c r="A809" s="70"/>
      <c r="B809" s="70"/>
      <c r="D809" s="154"/>
      <c r="O809" s="92"/>
      <c r="P809" s="110"/>
      <c r="Q809" s="110"/>
      <c r="R809" s="110"/>
      <c r="S809" s="110"/>
      <c r="T809" s="110"/>
      <c r="U809" s="110"/>
      <c r="V809" s="110"/>
      <c r="W809" s="110"/>
      <c r="X809" s="110"/>
      <c r="Y809" s="110"/>
      <c r="Z809" s="110"/>
    </row>
    <row r="810">
      <c r="A810" s="70"/>
      <c r="B810" s="70"/>
      <c r="D810" s="154"/>
      <c r="O810" s="92"/>
      <c r="P810" s="110"/>
      <c r="Q810" s="110"/>
      <c r="R810" s="110"/>
      <c r="S810" s="110"/>
      <c r="T810" s="110"/>
      <c r="U810" s="110"/>
      <c r="V810" s="110"/>
      <c r="W810" s="110"/>
      <c r="X810" s="110"/>
      <c r="Y810" s="110"/>
      <c r="Z810" s="110"/>
    </row>
    <row r="811">
      <c r="A811" s="70"/>
      <c r="B811" s="70"/>
      <c r="D811" s="154"/>
      <c r="O811" s="92"/>
      <c r="P811" s="110"/>
      <c r="Q811" s="110"/>
      <c r="R811" s="110"/>
      <c r="S811" s="110"/>
      <c r="T811" s="110"/>
      <c r="U811" s="110"/>
      <c r="V811" s="110"/>
      <c r="W811" s="110"/>
      <c r="X811" s="110"/>
      <c r="Y811" s="110"/>
      <c r="Z811" s="110"/>
    </row>
    <row r="812">
      <c r="A812" s="70"/>
      <c r="B812" s="70"/>
      <c r="D812" s="154"/>
      <c r="O812" s="92"/>
      <c r="P812" s="110"/>
      <c r="Q812" s="110"/>
      <c r="R812" s="110"/>
      <c r="S812" s="110"/>
      <c r="T812" s="110"/>
      <c r="U812" s="110"/>
      <c r="V812" s="110"/>
      <c r="W812" s="110"/>
      <c r="X812" s="110"/>
      <c r="Y812" s="110"/>
      <c r="Z812" s="110"/>
    </row>
    <row r="813">
      <c r="A813" s="70"/>
      <c r="B813" s="70"/>
      <c r="D813" s="154"/>
      <c r="O813" s="92"/>
      <c r="P813" s="110"/>
      <c r="Q813" s="110"/>
      <c r="R813" s="110"/>
      <c r="S813" s="110"/>
      <c r="T813" s="110"/>
      <c r="U813" s="110"/>
      <c r="V813" s="110"/>
      <c r="W813" s="110"/>
      <c r="X813" s="110"/>
      <c r="Y813" s="110"/>
      <c r="Z813" s="110"/>
    </row>
    <row r="814">
      <c r="A814" s="70"/>
      <c r="B814" s="70"/>
      <c r="D814" s="154"/>
      <c r="O814" s="92"/>
      <c r="P814" s="110"/>
      <c r="Q814" s="110"/>
      <c r="R814" s="110"/>
      <c r="S814" s="110"/>
      <c r="T814" s="110"/>
      <c r="U814" s="110"/>
      <c r="V814" s="110"/>
      <c r="W814" s="110"/>
      <c r="X814" s="110"/>
      <c r="Y814" s="110"/>
      <c r="Z814" s="110"/>
    </row>
    <row r="815">
      <c r="A815" s="70"/>
      <c r="B815" s="70"/>
      <c r="D815" s="154"/>
      <c r="O815" s="92"/>
      <c r="P815" s="110"/>
      <c r="Q815" s="110"/>
      <c r="R815" s="110"/>
      <c r="S815" s="110"/>
      <c r="T815" s="110"/>
      <c r="U815" s="110"/>
      <c r="V815" s="110"/>
      <c r="W815" s="110"/>
      <c r="X815" s="110"/>
      <c r="Y815" s="110"/>
      <c r="Z815" s="110"/>
    </row>
    <row r="816">
      <c r="A816" s="70"/>
      <c r="B816" s="70"/>
      <c r="D816" s="154"/>
      <c r="O816" s="92"/>
      <c r="P816" s="110"/>
      <c r="Q816" s="110"/>
      <c r="R816" s="110"/>
      <c r="S816" s="110"/>
      <c r="T816" s="110"/>
      <c r="U816" s="110"/>
      <c r="V816" s="110"/>
      <c r="W816" s="110"/>
      <c r="X816" s="110"/>
      <c r="Y816" s="110"/>
      <c r="Z816" s="110"/>
    </row>
    <row r="817">
      <c r="A817" s="70"/>
      <c r="B817" s="70"/>
      <c r="D817" s="154"/>
      <c r="O817" s="92"/>
      <c r="P817" s="110"/>
      <c r="Q817" s="110"/>
      <c r="R817" s="110"/>
      <c r="S817" s="110"/>
      <c r="T817" s="110"/>
      <c r="U817" s="110"/>
      <c r="V817" s="110"/>
      <c r="W817" s="110"/>
      <c r="X817" s="110"/>
      <c r="Y817" s="110"/>
      <c r="Z817" s="110"/>
    </row>
    <row r="818">
      <c r="A818" s="70"/>
      <c r="B818" s="70"/>
      <c r="D818" s="154"/>
      <c r="O818" s="92"/>
      <c r="P818" s="110"/>
      <c r="Q818" s="110"/>
      <c r="R818" s="110"/>
      <c r="S818" s="110"/>
      <c r="T818" s="110"/>
      <c r="U818" s="110"/>
      <c r="V818" s="110"/>
      <c r="W818" s="110"/>
      <c r="X818" s="110"/>
      <c r="Y818" s="110"/>
      <c r="Z818" s="110"/>
    </row>
    <row r="819">
      <c r="A819" s="70"/>
      <c r="B819" s="70"/>
      <c r="D819" s="154"/>
      <c r="O819" s="92"/>
      <c r="P819" s="110"/>
      <c r="Q819" s="110"/>
      <c r="R819" s="110"/>
      <c r="S819" s="110"/>
      <c r="T819" s="110"/>
      <c r="U819" s="110"/>
      <c r="V819" s="110"/>
      <c r="W819" s="110"/>
      <c r="X819" s="110"/>
      <c r="Y819" s="110"/>
      <c r="Z819" s="110"/>
    </row>
    <row r="820">
      <c r="A820" s="70"/>
      <c r="B820" s="70"/>
      <c r="D820" s="154"/>
      <c r="O820" s="92"/>
      <c r="P820" s="110"/>
      <c r="Q820" s="110"/>
      <c r="R820" s="110"/>
      <c r="S820" s="110"/>
      <c r="T820" s="110"/>
      <c r="U820" s="110"/>
      <c r="V820" s="110"/>
      <c r="W820" s="110"/>
      <c r="X820" s="110"/>
      <c r="Y820" s="110"/>
      <c r="Z820" s="110"/>
    </row>
    <row r="821">
      <c r="A821" s="70"/>
      <c r="B821" s="70"/>
      <c r="D821" s="154"/>
      <c r="O821" s="92"/>
      <c r="P821" s="110"/>
      <c r="Q821" s="110"/>
      <c r="R821" s="110"/>
      <c r="S821" s="110"/>
      <c r="T821" s="110"/>
      <c r="U821" s="110"/>
      <c r="V821" s="110"/>
      <c r="W821" s="110"/>
      <c r="X821" s="110"/>
      <c r="Y821" s="110"/>
      <c r="Z821" s="110"/>
    </row>
    <row r="822">
      <c r="A822" s="70"/>
      <c r="B822" s="70"/>
      <c r="D822" s="154"/>
      <c r="O822" s="92"/>
      <c r="P822" s="110"/>
      <c r="Q822" s="110"/>
      <c r="R822" s="110"/>
      <c r="S822" s="110"/>
      <c r="T822" s="110"/>
      <c r="U822" s="110"/>
      <c r="V822" s="110"/>
      <c r="W822" s="110"/>
      <c r="X822" s="110"/>
      <c r="Y822" s="110"/>
      <c r="Z822" s="110"/>
    </row>
    <row r="823">
      <c r="A823" s="70"/>
      <c r="B823" s="70"/>
      <c r="D823" s="154"/>
      <c r="O823" s="92"/>
      <c r="P823" s="110"/>
      <c r="Q823" s="110"/>
      <c r="R823" s="110"/>
      <c r="S823" s="110"/>
      <c r="T823" s="110"/>
      <c r="U823" s="110"/>
      <c r="V823" s="110"/>
      <c r="W823" s="110"/>
      <c r="X823" s="110"/>
      <c r="Y823" s="110"/>
      <c r="Z823" s="110"/>
    </row>
    <row r="824">
      <c r="A824" s="70"/>
      <c r="B824" s="70"/>
      <c r="D824" s="154"/>
      <c r="O824" s="92"/>
      <c r="P824" s="110"/>
      <c r="Q824" s="110"/>
      <c r="R824" s="110"/>
      <c r="S824" s="110"/>
      <c r="T824" s="110"/>
      <c r="U824" s="110"/>
      <c r="V824" s="110"/>
      <c r="W824" s="110"/>
      <c r="X824" s="110"/>
      <c r="Y824" s="110"/>
      <c r="Z824" s="110"/>
    </row>
    <row r="825">
      <c r="A825" s="70"/>
      <c r="B825" s="70"/>
      <c r="D825" s="154"/>
      <c r="O825" s="92"/>
      <c r="P825" s="110"/>
      <c r="Q825" s="110"/>
      <c r="R825" s="110"/>
      <c r="S825" s="110"/>
      <c r="T825" s="110"/>
      <c r="U825" s="110"/>
      <c r="V825" s="110"/>
      <c r="W825" s="110"/>
      <c r="X825" s="110"/>
      <c r="Y825" s="110"/>
      <c r="Z825" s="110"/>
    </row>
    <row r="826">
      <c r="A826" s="70"/>
      <c r="B826" s="70"/>
      <c r="D826" s="154"/>
      <c r="O826" s="92"/>
      <c r="P826" s="110"/>
      <c r="Q826" s="110"/>
      <c r="R826" s="110"/>
      <c r="S826" s="110"/>
      <c r="T826" s="110"/>
      <c r="U826" s="110"/>
      <c r="V826" s="110"/>
      <c r="W826" s="110"/>
      <c r="X826" s="110"/>
      <c r="Y826" s="110"/>
      <c r="Z826" s="110"/>
    </row>
    <row r="827">
      <c r="A827" s="70"/>
      <c r="B827" s="70"/>
      <c r="D827" s="154"/>
      <c r="O827" s="92"/>
      <c r="P827" s="110"/>
      <c r="Q827" s="110"/>
      <c r="R827" s="110"/>
      <c r="S827" s="110"/>
      <c r="T827" s="110"/>
      <c r="U827" s="110"/>
      <c r="V827" s="110"/>
      <c r="W827" s="110"/>
      <c r="X827" s="110"/>
      <c r="Y827" s="110"/>
      <c r="Z827" s="110"/>
    </row>
    <row r="828">
      <c r="A828" s="70"/>
      <c r="B828" s="70"/>
      <c r="D828" s="154"/>
      <c r="O828" s="92"/>
      <c r="P828" s="110"/>
      <c r="Q828" s="110"/>
      <c r="R828" s="110"/>
      <c r="S828" s="110"/>
      <c r="T828" s="110"/>
      <c r="U828" s="110"/>
      <c r="V828" s="110"/>
      <c r="W828" s="110"/>
      <c r="X828" s="110"/>
      <c r="Y828" s="110"/>
      <c r="Z828" s="110"/>
    </row>
    <row r="829">
      <c r="A829" s="70"/>
      <c r="B829" s="70"/>
      <c r="D829" s="154"/>
      <c r="O829" s="92"/>
      <c r="P829" s="110"/>
      <c r="Q829" s="110"/>
      <c r="R829" s="110"/>
      <c r="S829" s="110"/>
      <c r="T829" s="110"/>
      <c r="U829" s="110"/>
      <c r="V829" s="110"/>
      <c r="W829" s="110"/>
      <c r="X829" s="110"/>
      <c r="Y829" s="110"/>
      <c r="Z829" s="110"/>
    </row>
    <row r="830">
      <c r="A830" s="70"/>
      <c r="B830" s="70"/>
      <c r="D830" s="154"/>
      <c r="O830" s="92"/>
      <c r="P830" s="110"/>
      <c r="Q830" s="110"/>
      <c r="R830" s="110"/>
      <c r="S830" s="110"/>
      <c r="T830" s="110"/>
      <c r="U830" s="110"/>
      <c r="V830" s="110"/>
      <c r="W830" s="110"/>
      <c r="X830" s="110"/>
      <c r="Y830" s="110"/>
      <c r="Z830" s="110"/>
    </row>
    <row r="831">
      <c r="A831" s="70"/>
      <c r="B831" s="70"/>
      <c r="D831" s="154"/>
      <c r="O831" s="92"/>
      <c r="P831" s="110"/>
      <c r="Q831" s="110"/>
      <c r="R831" s="110"/>
      <c r="S831" s="110"/>
      <c r="T831" s="110"/>
      <c r="U831" s="110"/>
      <c r="V831" s="110"/>
      <c r="W831" s="110"/>
      <c r="X831" s="110"/>
      <c r="Y831" s="110"/>
      <c r="Z831" s="110"/>
    </row>
    <row r="832">
      <c r="A832" s="70"/>
      <c r="B832" s="70"/>
      <c r="D832" s="154"/>
      <c r="O832" s="92"/>
      <c r="P832" s="110"/>
      <c r="Q832" s="110"/>
      <c r="R832" s="110"/>
      <c r="S832" s="110"/>
      <c r="T832" s="110"/>
      <c r="U832" s="110"/>
      <c r="V832" s="110"/>
      <c r="W832" s="110"/>
      <c r="X832" s="110"/>
      <c r="Y832" s="110"/>
      <c r="Z832" s="110"/>
    </row>
    <row r="833">
      <c r="A833" s="70"/>
      <c r="B833" s="70"/>
      <c r="D833" s="154"/>
      <c r="O833" s="92"/>
      <c r="P833" s="110"/>
      <c r="Q833" s="110"/>
      <c r="R833" s="110"/>
      <c r="S833" s="110"/>
      <c r="T833" s="110"/>
      <c r="U833" s="110"/>
      <c r="V833" s="110"/>
      <c r="W833" s="110"/>
      <c r="X833" s="110"/>
      <c r="Y833" s="110"/>
      <c r="Z833" s="110"/>
    </row>
    <row r="834">
      <c r="A834" s="70"/>
      <c r="B834" s="70"/>
      <c r="D834" s="154"/>
      <c r="O834" s="92"/>
      <c r="P834" s="110"/>
      <c r="Q834" s="110"/>
      <c r="R834" s="110"/>
      <c r="S834" s="110"/>
      <c r="T834" s="110"/>
      <c r="U834" s="110"/>
      <c r="V834" s="110"/>
      <c r="W834" s="110"/>
      <c r="X834" s="110"/>
      <c r="Y834" s="110"/>
      <c r="Z834" s="110"/>
    </row>
    <row r="835">
      <c r="A835" s="70"/>
      <c r="B835" s="70"/>
      <c r="D835" s="154"/>
      <c r="O835" s="92"/>
      <c r="P835" s="110"/>
      <c r="Q835" s="110"/>
      <c r="R835" s="110"/>
      <c r="S835" s="110"/>
      <c r="T835" s="110"/>
      <c r="U835" s="110"/>
      <c r="V835" s="110"/>
      <c r="W835" s="110"/>
      <c r="X835" s="110"/>
      <c r="Y835" s="110"/>
      <c r="Z835" s="110"/>
    </row>
    <row r="836">
      <c r="A836" s="70"/>
      <c r="B836" s="70"/>
      <c r="D836" s="154"/>
      <c r="O836" s="92"/>
      <c r="P836" s="110"/>
      <c r="Q836" s="110"/>
      <c r="R836" s="110"/>
      <c r="S836" s="110"/>
      <c r="T836" s="110"/>
      <c r="U836" s="110"/>
      <c r="V836" s="110"/>
      <c r="W836" s="110"/>
      <c r="X836" s="110"/>
      <c r="Y836" s="110"/>
      <c r="Z836" s="110"/>
    </row>
    <row r="837">
      <c r="A837" s="70"/>
      <c r="B837" s="70"/>
      <c r="D837" s="154"/>
      <c r="O837" s="92"/>
      <c r="P837" s="110"/>
      <c r="Q837" s="110"/>
      <c r="R837" s="110"/>
      <c r="S837" s="110"/>
      <c r="T837" s="110"/>
      <c r="U837" s="110"/>
      <c r="V837" s="110"/>
      <c r="W837" s="110"/>
      <c r="X837" s="110"/>
      <c r="Y837" s="110"/>
      <c r="Z837" s="110"/>
    </row>
    <row r="838">
      <c r="A838" s="70"/>
      <c r="B838" s="70"/>
      <c r="D838" s="154"/>
      <c r="O838" s="92"/>
      <c r="P838" s="110"/>
      <c r="Q838" s="110"/>
      <c r="R838" s="110"/>
      <c r="S838" s="110"/>
      <c r="T838" s="110"/>
      <c r="U838" s="110"/>
      <c r="V838" s="110"/>
      <c r="W838" s="110"/>
      <c r="X838" s="110"/>
      <c r="Y838" s="110"/>
      <c r="Z838" s="110"/>
    </row>
    <row r="839">
      <c r="A839" s="70"/>
      <c r="B839" s="70"/>
      <c r="D839" s="154"/>
      <c r="O839" s="92"/>
      <c r="P839" s="110"/>
      <c r="Q839" s="110"/>
      <c r="R839" s="110"/>
      <c r="S839" s="110"/>
      <c r="T839" s="110"/>
      <c r="U839" s="110"/>
      <c r="V839" s="110"/>
      <c r="W839" s="110"/>
      <c r="X839" s="110"/>
      <c r="Y839" s="110"/>
      <c r="Z839" s="110"/>
    </row>
    <row r="840">
      <c r="A840" s="70"/>
      <c r="B840" s="70"/>
      <c r="D840" s="154"/>
      <c r="O840" s="92"/>
      <c r="P840" s="110"/>
      <c r="Q840" s="110"/>
      <c r="R840" s="110"/>
      <c r="S840" s="110"/>
      <c r="T840" s="110"/>
      <c r="U840" s="110"/>
      <c r="V840" s="110"/>
      <c r="W840" s="110"/>
      <c r="X840" s="110"/>
      <c r="Y840" s="110"/>
      <c r="Z840" s="110"/>
    </row>
    <row r="841">
      <c r="A841" s="70"/>
      <c r="B841" s="70"/>
      <c r="D841" s="154"/>
      <c r="O841" s="92"/>
      <c r="P841" s="110"/>
      <c r="Q841" s="110"/>
      <c r="R841" s="110"/>
      <c r="S841" s="110"/>
      <c r="T841" s="110"/>
      <c r="U841" s="110"/>
      <c r="V841" s="110"/>
      <c r="W841" s="110"/>
      <c r="X841" s="110"/>
      <c r="Y841" s="110"/>
      <c r="Z841" s="110"/>
    </row>
    <row r="842">
      <c r="A842" s="70"/>
      <c r="B842" s="70"/>
      <c r="D842" s="154"/>
      <c r="O842" s="92"/>
      <c r="P842" s="110"/>
      <c r="Q842" s="110"/>
      <c r="R842" s="110"/>
      <c r="S842" s="110"/>
      <c r="T842" s="110"/>
      <c r="U842" s="110"/>
      <c r="V842" s="110"/>
      <c r="W842" s="110"/>
      <c r="X842" s="110"/>
      <c r="Y842" s="110"/>
      <c r="Z842" s="110"/>
    </row>
    <row r="843">
      <c r="A843" s="70"/>
      <c r="B843" s="70"/>
      <c r="D843" s="154"/>
      <c r="O843" s="92"/>
      <c r="P843" s="110"/>
      <c r="Q843" s="110"/>
      <c r="R843" s="110"/>
      <c r="S843" s="110"/>
      <c r="T843" s="110"/>
      <c r="U843" s="110"/>
      <c r="V843" s="110"/>
      <c r="W843" s="110"/>
      <c r="X843" s="110"/>
      <c r="Y843" s="110"/>
      <c r="Z843" s="110"/>
    </row>
    <row r="844">
      <c r="A844" s="70"/>
      <c r="B844" s="70"/>
      <c r="D844" s="154"/>
      <c r="O844" s="92"/>
      <c r="P844" s="110"/>
      <c r="Q844" s="110"/>
      <c r="R844" s="110"/>
      <c r="S844" s="110"/>
      <c r="T844" s="110"/>
      <c r="U844" s="110"/>
      <c r="V844" s="110"/>
      <c r="W844" s="110"/>
      <c r="X844" s="110"/>
      <c r="Y844" s="110"/>
      <c r="Z844" s="110"/>
    </row>
    <row r="845">
      <c r="A845" s="70"/>
      <c r="B845" s="70"/>
      <c r="D845" s="154"/>
      <c r="O845" s="92"/>
      <c r="P845" s="110"/>
      <c r="Q845" s="110"/>
      <c r="R845" s="110"/>
      <c r="S845" s="110"/>
      <c r="T845" s="110"/>
      <c r="U845" s="110"/>
      <c r="V845" s="110"/>
      <c r="W845" s="110"/>
      <c r="X845" s="110"/>
      <c r="Y845" s="110"/>
      <c r="Z845" s="110"/>
    </row>
    <row r="846">
      <c r="A846" s="70"/>
      <c r="B846" s="70"/>
      <c r="D846" s="154"/>
      <c r="O846" s="92"/>
      <c r="P846" s="110"/>
      <c r="Q846" s="110"/>
      <c r="R846" s="110"/>
      <c r="S846" s="110"/>
      <c r="T846" s="110"/>
      <c r="U846" s="110"/>
      <c r="V846" s="110"/>
      <c r="W846" s="110"/>
      <c r="X846" s="110"/>
      <c r="Y846" s="110"/>
      <c r="Z846" s="110"/>
    </row>
    <row r="847">
      <c r="A847" s="70"/>
      <c r="B847" s="70"/>
      <c r="D847" s="154"/>
      <c r="O847" s="92"/>
      <c r="P847" s="110"/>
      <c r="Q847" s="110"/>
      <c r="R847" s="110"/>
      <c r="S847" s="110"/>
      <c r="T847" s="110"/>
      <c r="U847" s="110"/>
      <c r="V847" s="110"/>
      <c r="W847" s="110"/>
      <c r="X847" s="110"/>
      <c r="Y847" s="110"/>
      <c r="Z847" s="110"/>
    </row>
    <row r="848">
      <c r="A848" s="70"/>
      <c r="B848" s="70"/>
      <c r="D848" s="154"/>
      <c r="O848" s="92"/>
      <c r="P848" s="110"/>
      <c r="Q848" s="110"/>
      <c r="R848" s="110"/>
      <c r="S848" s="110"/>
      <c r="T848" s="110"/>
      <c r="U848" s="110"/>
      <c r="V848" s="110"/>
      <c r="W848" s="110"/>
      <c r="X848" s="110"/>
      <c r="Y848" s="110"/>
      <c r="Z848" s="110"/>
    </row>
    <row r="849">
      <c r="A849" s="70"/>
      <c r="B849" s="70"/>
      <c r="D849" s="154"/>
      <c r="O849" s="92"/>
      <c r="P849" s="110"/>
      <c r="Q849" s="110"/>
      <c r="R849" s="110"/>
      <c r="S849" s="110"/>
      <c r="T849" s="110"/>
      <c r="U849" s="110"/>
      <c r="V849" s="110"/>
      <c r="W849" s="110"/>
      <c r="X849" s="110"/>
      <c r="Y849" s="110"/>
      <c r="Z849" s="110"/>
    </row>
    <row r="850">
      <c r="A850" s="70"/>
      <c r="B850" s="70"/>
      <c r="D850" s="154"/>
      <c r="O850" s="92"/>
      <c r="P850" s="110"/>
      <c r="Q850" s="110"/>
      <c r="R850" s="110"/>
      <c r="S850" s="110"/>
      <c r="T850" s="110"/>
      <c r="U850" s="110"/>
      <c r="V850" s="110"/>
      <c r="W850" s="110"/>
      <c r="X850" s="110"/>
      <c r="Y850" s="110"/>
      <c r="Z850" s="110"/>
    </row>
    <row r="851">
      <c r="A851" s="70"/>
      <c r="B851" s="70"/>
      <c r="D851" s="154"/>
      <c r="O851" s="92"/>
      <c r="P851" s="110"/>
      <c r="Q851" s="110"/>
      <c r="R851" s="110"/>
      <c r="S851" s="110"/>
      <c r="T851" s="110"/>
      <c r="U851" s="110"/>
      <c r="V851" s="110"/>
      <c r="W851" s="110"/>
      <c r="X851" s="110"/>
      <c r="Y851" s="110"/>
      <c r="Z851" s="110"/>
    </row>
    <row r="852">
      <c r="A852" s="70"/>
      <c r="B852" s="70"/>
      <c r="D852" s="154"/>
      <c r="O852" s="92"/>
      <c r="P852" s="110"/>
      <c r="Q852" s="110"/>
      <c r="R852" s="110"/>
      <c r="S852" s="110"/>
      <c r="T852" s="110"/>
      <c r="U852" s="110"/>
      <c r="V852" s="110"/>
      <c r="W852" s="110"/>
      <c r="X852" s="110"/>
      <c r="Y852" s="110"/>
      <c r="Z852" s="110"/>
    </row>
    <row r="853">
      <c r="A853" s="70"/>
      <c r="B853" s="70"/>
      <c r="D853" s="154"/>
      <c r="O853" s="92"/>
      <c r="P853" s="110"/>
      <c r="Q853" s="110"/>
      <c r="R853" s="110"/>
      <c r="S853" s="110"/>
      <c r="T853" s="110"/>
      <c r="U853" s="110"/>
      <c r="V853" s="110"/>
      <c r="W853" s="110"/>
      <c r="X853" s="110"/>
      <c r="Y853" s="110"/>
      <c r="Z853" s="110"/>
    </row>
    <row r="854">
      <c r="A854" s="70"/>
      <c r="B854" s="70"/>
      <c r="D854" s="154"/>
      <c r="O854" s="92"/>
      <c r="P854" s="110"/>
      <c r="Q854" s="110"/>
      <c r="R854" s="110"/>
      <c r="S854" s="110"/>
      <c r="T854" s="110"/>
      <c r="U854" s="110"/>
      <c r="V854" s="110"/>
      <c r="W854" s="110"/>
      <c r="X854" s="110"/>
      <c r="Y854" s="110"/>
      <c r="Z854" s="110"/>
    </row>
    <row r="855">
      <c r="A855" s="70"/>
      <c r="B855" s="70"/>
      <c r="D855" s="154"/>
      <c r="O855" s="92"/>
      <c r="P855" s="110"/>
      <c r="Q855" s="110"/>
      <c r="R855" s="110"/>
      <c r="S855" s="110"/>
      <c r="T855" s="110"/>
      <c r="U855" s="110"/>
      <c r="V855" s="110"/>
      <c r="W855" s="110"/>
      <c r="X855" s="110"/>
      <c r="Y855" s="110"/>
      <c r="Z855" s="110"/>
    </row>
    <row r="856">
      <c r="A856" s="70"/>
      <c r="B856" s="70"/>
      <c r="D856" s="154"/>
      <c r="O856" s="92"/>
      <c r="P856" s="110"/>
      <c r="Q856" s="110"/>
      <c r="R856" s="110"/>
      <c r="S856" s="110"/>
      <c r="T856" s="110"/>
      <c r="U856" s="110"/>
      <c r="V856" s="110"/>
      <c r="W856" s="110"/>
      <c r="X856" s="110"/>
      <c r="Y856" s="110"/>
      <c r="Z856" s="110"/>
    </row>
    <row r="857">
      <c r="A857" s="70"/>
      <c r="B857" s="70"/>
      <c r="D857" s="154"/>
      <c r="O857" s="92"/>
      <c r="P857" s="110"/>
      <c r="Q857" s="110"/>
      <c r="R857" s="110"/>
      <c r="S857" s="110"/>
      <c r="T857" s="110"/>
      <c r="U857" s="110"/>
      <c r="V857" s="110"/>
      <c r="W857" s="110"/>
      <c r="X857" s="110"/>
      <c r="Y857" s="110"/>
      <c r="Z857" s="110"/>
    </row>
    <row r="858">
      <c r="A858" s="70"/>
      <c r="B858" s="70"/>
      <c r="D858" s="154"/>
      <c r="O858" s="92"/>
      <c r="P858" s="110"/>
      <c r="Q858" s="110"/>
      <c r="R858" s="110"/>
      <c r="S858" s="110"/>
      <c r="T858" s="110"/>
      <c r="U858" s="110"/>
      <c r="V858" s="110"/>
      <c r="W858" s="110"/>
      <c r="X858" s="110"/>
      <c r="Y858" s="110"/>
      <c r="Z858" s="110"/>
    </row>
    <row r="859">
      <c r="A859" s="70"/>
      <c r="B859" s="70"/>
      <c r="D859" s="154"/>
      <c r="O859" s="92"/>
      <c r="P859" s="110"/>
      <c r="Q859" s="110"/>
      <c r="R859" s="110"/>
      <c r="S859" s="110"/>
      <c r="T859" s="110"/>
      <c r="U859" s="110"/>
      <c r="V859" s="110"/>
      <c r="W859" s="110"/>
      <c r="X859" s="110"/>
      <c r="Y859" s="110"/>
      <c r="Z859" s="110"/>
    </row>
    <row r="860">
      <c r="A860" s="70"/>
      <c r="B860" s="70"/>
      <c r="D860" s="154"/>
      <c r="O860" s="92"/>
      <c r="P860" s="110"/>
      <c r="Q860" s="110"/>
      <c r="R860" s="110"/>
      <c r="S860" s="110"/>
      <c r="T860" s="110"/>
      <c r="U860" s="110"/>
      <c r="V860" s="110"/>
      <c r="W860" s="110"/>
      <c r="X860" s="110"/>
      <c r="Y860" s="110"/>
      <c r="Z860" s="110"/>
    </row>
    <row r="861">
      <c r="A861" s="70"/>
      <c r="B861" s="70"/>
      <c r="D861" s="154"/>
      <c r="O861" s="92"/>
      <c r="P861" s="110"/>
      <c r="Q861" s="110"/>
      <c r="R861" s="110"/>
      <c r="S861" s="110"/>
      <c r="T861" s="110"/>
      <c r="U861" s="110"/>
      <c r="V861" s="110"/>
      <c r="W861" s="110"/>
      <c r="X861" s="110"/>
      <c r="Y861" s="110"/>
      <c r="Z861" s="110"/>
    </row>
    <row r="862">
      <c r="A862" s="70"/>
      <c r="B862" s="70"/>
      <c r="D862" s="154"/>
      <c r="O862" s="92"/>
      <c r="P862" s="110"/>
      <c r="Q862" s="110"/>
      <c r="R862" s="110"/>
      <c r="S862" s="110"/>
      <c r="T862" s="110"/>
      <c r="U862" s="110"/>
      <c r="V862" s="110"/>
      <c r="W862" s="110"/>
      <c r="X862" s="110"/>
      <c r="Y862" s="110"/>
      <c r="Z862" s="110"/>
    </row>
    <row r="863">
      <c r="A863" s="70"/>
      <c r="B863" s="70"/>
      <c r="D863" s="154"/>
      <c r="O863" s="92"/>
      <c r="P863" s="110"/>
      <c r="Q863" s="110"/>
      <c r="R863" s="110"/>
      <c r="S863" s="110"/>
      <c r="T863" s="110"/>
      <c r="U863" s="110"/>
      <c r="V863" s="110"/>
      <c r="W863" s="110"/>
      <c r="X863" s="110"/>
      <c r="Y863" s="110"/>
      <c r="Z863" s="110"/>
    </row>
    <row r="864">
      <c r="A864" s="70"/>
      <c r="B864" s="70"/>
      <c r="D864" s="154"/>
      <c r="O864" s="92"/>
      <c r="P864" s="110"/>
      <c r="Q864" s="110"/>
      <c r="R864" s="110"/>
      <c r="S864" s="110"/>
      <c r="T864" s="110"/>
      <c r="U864" s="110"/>
      <c r="V864" s="110"/>
      <c r="W864" s="110"/>
      <c r="X864" s="110"/>
      <c r="Y864" s="110"/>
      <c r="Z864" s="110"/>
    </row>
    <row r="865">
      <c r="A865" s="70"/>
      <c r="B865" s="70"/>
      <c r="D865" s="154"/>
      <c r="O865" s="92"/>
      <c r="P865" s="110"/>
      <c r="Q865" s="110"/>
      <c r="R865" s="110"/>
      <c r="S865" s="110"/>
      <c r="T865" s="110"/>
      <c r="U865" s="110"/>
      <c r="V865" s="110"/>
      <c r="W865" s="110"/>
      <c r="X865" s="110"/>
      <c r="Y865" s="110"/>
      <c r="Z865" s="110"/>
    </row>
    <row r="866">
      <c r="A866" s="70"/>
      <c r="B866" s="70"/>
      <c r="D866" s="154"/>
      <c r="O866" s="92"/>
      <c r="P866" s="110"/>
      <c r="Q866" s="110"/>
      <c r="R866" s="110"/>
      <c r="S866" s="110"/>
      <c r="T866" s="110"/>
      <c r="U866" s="110"/>
      <c r="V866" s="110"/>
      <c r="W866" s="110"/>
      <c r="X866" s="110"/>
      <c r="Y866" s="110"/>
      <c r="Z866" s="110"/>
    </row>
    <row r="867">
      <c r="A867" s="70"/>
      <c r="B867" s="70"/>
      <c r="D867" s="154"/>
      <c r="O867" s="92"/>
      <c r="P867" s="110"/>
      <c r="Q867" s="110"/>
      <c r="R867" s="110"/>
      <c r="S867" s="110"/>
      <c r="T867" s="110"/>
      <c r="U867" s="110"/>
      <c r="V867" s="110"/>
      <c r="W867" s="110"/>
      <c r="X867" s="110"/>
      <c r="Y867" s="110"/>
      <c r="Z867" s="110"/>
    </row>
    <row r="868">
      <c r="A868" s="70"/>
      <c r="B868" s="70"/>
      <c r="D868" s="154"/>
      <c r="O868" s="92"/>
      <c r="P868" s="110"/>
      <c r="Q868" s="110"/>
      <c r="R868" s="110"/>
      <c r="S868" s="110"/>
      <c r="T868" s="110"/>
      <c r="U868" s="110"/>
      <c r="V868" s="110"/>
      <c r="W868" s="110"/>
      <c r="X868" s="110"/>
      <c r="Y868" s="110"/>
      <c r="Z868" s="110"/>
    </row>
    <row r="869">
      <c r="A869" s="70"/>
      <c r="B869" s="70"/>
      <c r="D869" s="154"/>
      <c r="O869" s="92"/>
      <c r="P869" s="110"/>
      <c r="Q869" s="110"/>
      <c r="R869" s="110"/>
      <c r="S869" s="110"/>
      <c r="T869" s="110"/>
      <c r="U869" s="110"/>
      <c r="V869" s="110"/>
      <c r="W869" s="110"/>
      <c r="X869" s="110"/>
      <c r="Y869" s="110"/>
      <c r="Z869" s="110"/>
    </row>
    <row r="870">
      <c r="A870" s="70"/>
      <c r="B870" s="70"/>
      <c r="D870" s="154"/>
      <c r="O870" s="92"/>
      <c r="P870" s="110"/>
      <c r="Q870" s="110"/>
      <c r="R870" s="110"/>
      <c r="S870" s="110"/>
      <c r="T870" s="110"/>
      <c r="U870" s="110"/>
      <c r="V870" s="110"/>
      <c r="W870" s="110"/>
      <c r="X870" s="110"/>
      <c r="Y870" s="110"/>
      <c r="Z870" s="110"/>
    </row>
    <row r="871">
      <c r="A871" s="70"/>
      <c r="B871" s="70"/>
      <c r="D871" s="154"/>
      <c r="O871" s="92"/>
      <c r="P871" s="110"/>
      <c r="Q871" s="110"/>
      <c r="R871" s="110"/>
      <c r="S871" s="110"/>
      <c r="T871" s="110"/>
      <c r="U871" s="110"/>
      <c r="V871" s="110"/>
      <c r="W871" s="110"/>
      <c r="X871" s="110"/>
      <c r="Y871" s="110"/>
      <c r="Z871" s="110"/>
    </row>
    <row r="872">
      <c r="A872" s="70"/>
      <c r="B872" s="70"/>
      <c r="D872" s="154"/>
      <c r="O872" s="92"/>
      <c r="P872" s="110"/>
      <c r="Q872" s="110"/>
      <c r="R872" s="110"/>
      <c r="S872" s="110"/>
      <c r="T872" s="110"/>
      <c r="U872" s="110"/>
      <c r="V872" s="110"/>
      <c r="W872" s="110"/>
      <c r="X872" s="110"/>
      <c r="Y872" s="110"/>
      <c r="Z872" s="110"/>
    </row>
    <row r="873">
      <c r="A873" s="70"/>
      <c r="B873" s="70"/>
      <c r="D873" s="154"/>
      <c r="O873" s="92"/>
      <c r="P873" s="110"/>
      <c r="Q873" s="110"/>
      <c r="R873" s="110"/>
      <c r="S873" s="110"/>
      <c r="T873" s="110"/>
      <c r="U873" s="110"/>
      <c r="V873" s="110"/>
      <c r="W873" s="110"/>
      <c r="X873" s="110"/>
      <c r="Y873" s="110"/>
      <c r="Z873" s="110"/>
    </row>
    <row r="874">
      <c r="A874" s="70"/>
      <c r="B874" s="70"/>
      <c r="D874" s="154"/>
      <c r="O874" s="92"/>
      <c r="P874" s="110"/>
      <c r="Q874" s="110"/>
      <c r="R874" s="110"/>
      <c r="S874" s="110"/>
      <c r="T874" s="110"/>
      <c r="U874" s="110"/>
      <c r="V874" s="110"/>
      <c r="W874" s="110"/>
      <c r="X874" s="110"/>
      <c r="Y874" s="110"/>
      <c r="Z874" s="110"/>
    </row>
    <row r="875">
      <c r="A875" s="70"/>
      <c r="B875" s="70"/>
      <c r="D875" s="154"/>
      <c r="O875" s="92"/>
      <c r="P875" s="110"/>
      <c r="Q875" s="110"/>
      <c r="R875" s="110"/>
      <c r="S875" s="110"/>
      <c r="T875" s="110"/>
      <c r="U875" s="110"/>
      <c r="V875" s="110"/>
      <c r="W875" s="110"/>
      <c r="X875" s="110"/>
      <c r="Y875" s="110"/>
      <c r="Z875" s="110"/>
    </row>
    <row r="876">
      <c r="A876" s="70"/>
      <c r="B876" s="70"/>
      <c r="D876" s="154"/>
      <c r="O876" s="92"/>
      <c r="P876" s="110"/>
      <c r="Q876" s="110"/>
      <c r="R876" s="110"/>
      <c r="S876" s="110"/>
      <c r="T876" s="110"/>
      <c r="U876" s="110"/>
      <c r="V876" s="110"/>
      <c r="W876" s="110"/>
      <c r="X876" s="110"/>
      <c r="Y876" s="110"/>
      <c r="Z876" s="110"/>
    </row>
    <row r="877">
      <c r="A877" s="70"/>
      <c r="B877" s="70"/>
      <c r="D877" s="154"/>
      <c r="O877" s="92"/>
      <c r="P877" s="110"/>
      <c r="Q877" s="110"/>
      <c r="R877" s="110"/>
      <c r="S877" s="110"/>
      <c r="T877" s="110"/>
      <c r="U877" s="110"/>
      <c r="V877" s="110"/>
      <c r="W877" s="110"/>
      <c r="X877" s="110"/>
      <c r="Y877" s="110"/>
      <c r="Z877" s="110"/>
    </row>
    <row r="878">
      <c r="A878" s="70"/>
      <c r="B878" s="70"/>
      <c r="D878" s="154"/>
      <c r="O878" s="92"/>
      <c r="P878" s="110"/>
      <c r="Q878" s="110"/>
      <c r="R878" s="110"/>
      <c r="S878" s="110"/>
      <c r="T878" s="110"/>
      <c r="U878" s="110"/>
      <c r="V878" s="110"/>
      <c r="W878" s="110"/>
      <c r="X878" s="110"/>
      <c r="Y878" s="110"/>
      <c r="Z878" s="110"/>
    </row>
    <row r="879">
      <c r="A879" s="70"/>
      <c r="B879" s="70"/>
      <c r="D879" s="154"/>
      <c r="O879" s="92"/>
      <c r="P879" s="110"/>
      <c r="Q879" s="110"/>
      <c r="R879" s="110"/>
      <c r="S879" s="110"/>
      <c r="T879" s="110"/>
      <c r="U879" s="110"/>
      <c r="V879" s="110"/>
      <c r="W879" s="110"/>
      <c r="X879" s="110"/>
      <c r="Y879" s="110"/>
      <c r="Z879" s="110"/>
    </row>
    <row r="880">
      <c r="A880" s="70"/>
      <c r="B880" s="70"/>
      <c r="D880" s="154"/>
      <c r="O880" s="92"/>
      <c r="P880" s="110"/>
      <c r="Q880" s="110"/>
      <c r="R880" s="110"/>
      <c r="S880" s="110"/>
      <c r="T880" s="110"/>
      <c r="U880" s="110"/>
      <c r="V880" s="110"/>
      <c r="W880" s="110"/>
      <c r="X880" s="110"/>
      <c r="Y880" s="110"/>
      <c r="Z880" s="110"/>
    </row>
    <row r="881">
      <c r="A881" s="70"/>
      <c r="B881" s="70"/>
      <c r="D881" s="154"/>
      <c r="O881" s="92"/>
      <c r="P881" s="110"/>
      <c r="Q881" s="110"/>
      <c r="R881" s="110"/>
      <c r="S881" s="110"/>
      <c r="T881" s="110"/>
      <c r="U881" s="110"/>
      <c r="V881" s="110"/>
      <c r="W881" s="110"/>
      <c r="X881" s="110"/>
      <c r="Y881" s="110"/>
      <c r="Z881" s="110"/>
    </row>
    <row r="882">
      <c r="A882" s="70"/>
      <c r="B882" s="70"/>
      <c r="D882" s="154"/>
      <c r="O882" s="92"/>
      <c r="P882" s="110"/>
      <c r="Q882" s="110"/>
      <c r="R882" s="110"/>
      <c r="S882" s="110"/>
      <c r="T882" s="110"/>
      <c r="U882" s="110"/>
      <c r="V882" s="110"/>
      <c r="W882" s="110"/>
      <c r="X882" s="110"/>
      <c r="Y882" s="110"/>
      <c r="Z882" s="110"/>
    </row>
    <row r="883">
      <c r="A883" s="70"/>
      <c r="B883" s="70"/>
      <c r="D883" s="154"/>
      <c r="O883" s="92"/>
      <c r="P883" s="110"/>
      <c r="Q883" s="110"/>
      <c r="R883" s="110"/>
      <c r="S883" s="110"/>
      <c r="T883" s="110"/>
      <c r="U883" s="110"/>
      <c r="V883" s="110"/>
      <c r="W883" s="110"/>
      <c r="X883" s="110"/>
      <c r="Y883" s="110"/>
      <c r="Z883" s="110"/>
    </row>
    <row r="884">
      <c r="A884" s="70"/>
      <c r="B884" s="70"/>
      <c r="D884" s="154"/>
      <c r="O884" s="92"/>
      <c r="P884" s="110"/>
      <c r="Q884" s="110"/>
      <c r="R884" s="110"/>
      <c r="S884" s="110"/>
      <c r="T884" s="110"/>
      <c r="U884" s="110"/>
      <c r="V884" s="110"/>
      <c r="W884" s="110"/>
      <c r="X884" s="110"/>
      <c r="Y884" s="110"/>
      <c r="Z884" s="110"/>
    </row>
    <row r="885">
      <c r="A885" s="70"/>
      <c r="B885" s="70"/>
      <c r="D885" s="154"/>
      <c r="O885" s="92"/>
      <c r="P885" s="110"/>
      <c r="Q885" s="110"/>
      <c r="R885" s="110"/>
      <c r="S885" s="110"/>
      <c r="T885" s="110"/>
      <c r="U885" s="110"/>
      <c r="V885" s="110"/>
      <c r="W885" s="110"/>
      <c r="X885" s="110"/>
      <c r="Y885" s="110"/>
      <c r="Z885" s="110"/>
    </row>
    <row r="886">
      <c r="A886" s="70"/>
      <c r="B886" s="70"/>
      <c r="D886" s="154"/>
      <c r="O886" s="92"/>
      <c r="P886" s="110"/>
      <c r="Q886" s="110"/>
      <c r="R886" s="110"/>
      <c r="S886" s="110"/>
      <c r="T886" s="110"/>
      <c r="U886" s="110"/>
      <c r="V886" s="110"/>
      <c r="W886" s="110"/>
      <c r="X886" s="110"/>
      <c r="Y886" s="110"/>
      <c r="Z886" s="110"/>
    </row>
    <row r="887">
      <c r="A887" s="70"/>
      <c r="B887" s="70"/>
      <c r="D887" s="154"/>
      <c r="O887" s="92"/>
      <c r="P887" s="110"/>
      <c r="Q887" s="110"/>
      <c r="R887" s="110"/>
      <c r="S887" s="110"/>
      <c r="T887" s="110"/>
      <c r="U887" s="110"/>
      <c r="V887" s="110"/>
      <c r="W887" s="110"/>
      <c r="X887" s="110"/>
      <c r="Y887" s="110"/>
      <c r="Z887" s="110"/>
    </row>
    <row r="888">
      <c r="A888" s="70"/>
      <c r="B888" s="70"/>
      <c r="D888" s="154"/>
      <c r="O888" s="92"/>
      <c r="P888" s="110"/>
      <c r="Q888" s="110"/>
      <c r="R888" s="110"/>
      <c r="S888" s="110"/>
      <c r="T888" s="110"/>
      <c r="U888" s="110"/>
      <c r="V888" s="110"/>
      <c r="W888" s="110"/>
      <c r="X888" s="110"/>
      <c r="Y888" s="110"/>
      <c r="Z888" s="110"/>
    </row>
    <row r="889">
      <c r="A889" s="70"/>
      <c r="B889" s="70"/>
      <c r="D889" s="154"/>
      <c r="O889" s="92"/>
      <c r="P889" s="110"/>
      <c r="Q889" s="110"/>
      <c r="R889" s="110"/>
      <c r="S889" s="110"/>
      <c r="T889" s="110"/>
      <c r="U889" s="110"/>
      <c r="V889" s="110"/>
      <c r="W889" s="110"/>
      <c r="X889" s="110"/>
      <c r="Y889" s="110"/>
      <c r="Z889" s="110"/>
    </row>
    <row r="890">
      <c r="A890" s="70"/>
      <c r="B890" s="70"/>
      <c r="D890" s="154"/>
      <c r="O890" s="92"/>
      <c r="P890" s="110"/>
      <c r="Q890" s="110"/>
      <c r="R890" s="110"/>
      <c r="S890" s="110"/>
      <c r="T890" s="110"/>
      <c r="U890" s="110"/>
      <c r="V890" s="110"/>
      <c r="W890" s="110"/>
      <c r="X890" s="110"/>
      <c r="Y890" s="110"/>
      <c r="Z890" s="110"/>
    </row>
    <row r="891">
      <c r="A891" s="70"/>
      <c r="B891" s="70"/>
      <c r="D891" s="154"/>
      <c r="O891" s="92"/>
      <c r="P891" s="110"/>
      <c r="Q891" s="110"/>
      <c r="R891" s="110"/>
      <c r="S891" s="110"/>
      <c r="T891" s="110"/>
      <c r="U891" s="110"/>
      <c r="V891" s="110"/>
      <c r="W891" s="110"/>
      <c r="X891" s="110"/>
      <c r="Y891" s="110"/>
      <c r="Z891" s="110"/>
    </row>
    <row r="892">
      <c r="A892" s="70"/>
      <c r="B892" s="70"/>
      <c r="D892" s="154"/>
      <c r="O892" s="92"/>
      <c r="P892" s="110"/>
      <c r="Q892" s="110"/>
      <c r="R892" s="110"/>
      <c r="S892" s="110"/>
      <c r="T892" s="110"/>
      <c r="U892" s="110"/>
      <c r="V892" s="110"/>
      <c r="W892" s="110"/>
      <c r="X892" s="110"/>
      <c r="Y892" s="110"/>
      <c r="Z892" s="110"/>
    </row>
    <row r="893">
      <c r="A893" s="70"/>
      <c r="B893" s="70"/>
      <c r="D893" s="154"/>
      <c r="O893" s="92"/>
      <c r="P893" s="110"/>
      <c r="Q893" s="110"/>
      <c r="R893" s="110"/>
      <c r="S893" s="110"/>
      <c r="T893" s="110"/>
      <c r="U893" s="110"/>
      <c r="V893" s="110"/>
      <c r="W893" s="110"/>
      <c r="X893" s="110"/>
      <c r="Y893" s="110"/>
      <c r="Z893" s="110"/>
    </row>
    <row r="894">
      <c r="A894" s="70"/>
      <c r="B894" s="70"/>
      <c r="D894" s="154"/>
      <c r="O894" s="92"/>
      <c r="P894" s="110"/>
      <c r="Q894" s="110"/>
      <c r="R894" s="110"/>
      <c r="S894" s="110"/>
      <c r="T894" s="110"/>
      <c r="U894" s="110"/>
      <c r="V894" s="110"/>
      <c r="W894" s="110"/>
      <c r="X894" s="110"/>
      <c r="Y894" s="110"/>
      <c r="Z894" s="110"/>
    </row>
    <row r="895">
      <c r="A895" s="70"/>
      <c r="B895" s="70"/>
      <c r="D895" s="154"/>
      <c r="O895" s="92"/>
      <c r="P895" s="110"/>
      <c r="Q895" s="110"/>
      <c r="R895" s="110"/>
      <c r="S895" s="110"/>
      <c r="T895" s="110"/>
      <c r="U895" s="110"/>
      <c r="V895" s="110"/>
      <c r="W895" s="110"/>
      <c r="X895" s="110"/>
      <c r="Y895" s="110"/>
      <c r="Z895" s="110"/>
    </row>
    <row r="896">
      <c r="A896" s="70"/>
      <c r="B896" s="70"/>
      <c r="D896" s="154"/>
      <c r="O896" s="92"/>
      <c r="P896" s="110"/>
      <c r="Q896" s="110"/>
      <c r="R896" s="110"/>
      <c r="S896" s="110"/>
      <c r="T896" s="110"/>
      <c r="U896" s="110"/>
      <c r="V896" s="110"/>
      <c r="W896" s="110"/>
      <c r="X896" s="110"/>
      <c r="Y896" s="110"/>
      <c r="Z896" s="110"/>
    </row>
    <row r="897">
      <c r="A897" s="70"/>
      <c r="B897" s="70"/>
      <c r="D897" s="154"/>
      <c r="O897" s="92"/>
      <c r="P897" s="110"/>
      <c r="Q897" s="110"/>
      <c r="R897" s="110"/>
      <c r="S897" s="110"/>
      <c r="T897" s="110"/>
      <c r="U897" s="110"/>
      <c r="V897" s="110"/>
      <c r="W897" s="110"/>
      <c r="X897" s="110"/>
      <c r="Y897" s="110"/>
      <c r="Z897" s="110"/>
    </row>
    <row r="898">
      <c r="A898" s="70"/>
      <c r="B898" s="70"/>
      <c r="D898" s="154"/>
      <c r="O898" s="92"/>
      <c r="P898" s="110"/>
      <c r="Q898" s="110"/>
      <c r="R898" s="110"/>
      <c r="S898" s="110"/>
      <c r="T898" s="110"/>
      <c r="U898" s="110"/>
      <c r="V898" s="110"/>
      <c r="W898" s="110"/>
      <c r="X898" s="110"/>
      <c r="Y898" s="110"/>
      <c r="Z898" s="110"/>
    </row>
    <row r="899">
      <c r="A899" s="70"/>
      <c r="B899" s="70"/>
      <c r="D899" s="154"/>
      <c r="O899" s="92"/>
      <c r="P899" s="110"/>
      <c r="Q899" s="110"/>
      <c r="R899" s="110"/>
      <c r="S899" s="110"/>
      <c r="T899" s="110"/>
      <c r="U899" s="110"/>
      <c r="V899" s="110"/>
      <c r="W899" s="110"/>
      <c r="X899" s="110"/>
      <c r="Y899" s="110"/>
      <c r="Z899" s="110"/>
    </row>
    <row r="900">
      <c r="A900" s="70"/>
      <c r="B900" s="70"/>
      <c r="D900" s="154"/>
      <c r="O900" s="92"/>
      <c r="P900" s="110"/>
      <c r="Q900" s="110"/>
      <c r="R900" s="110"/>
      <c r="S900" s="110"/>
      <c r="T900" s="110"/>
      <c r="U900" s="110"/>
      <c r="V900" s="110"/>
      <c r="W900" s="110"/>
      <c r="X900" s="110"/>
      <c r="Y900" s="110"/>
      <c r="Z900" s="110"/>
    </row>
    <row r="901">
      <c r="A901" s="70"/>
      <c r="B901" s="70"/>
      <c r="D901" s="154"/>
      <c r="O901" s="92"/>
      <c r="P901" s="110"/>
      <c r="Q901" s="110"/>
      <c r="R901" s="110"/>
      <c r="S901" s="110"/>
      <c r="T901" s="110"/>
      <c r="U901" s="110"/>
      <c r="V901" s="110"/>
      <c r="W901" s="110"/>
      <c r="X901" s="110"/>
      <c r="Y901" s="110"/>
      <c r="Z901" s="110"/>
    </row>
    <row r="902">
      <c r="A902" s="70"/>
      <c r="B902" s="70"/>
      <c r="D902" s="154"/>
      <c r="O902" s="92"/>
      <c r="P902" s="110"/>
      <c r="Q902" s="110"/>
      <c r="R902" s="110"/>
      <c r="S902" s="110"/>
      <c r="T902" s="110"/>
      <c r="U902" s="110"/>
      <c r="V902" s="110"/>
      <c r="W902" s="110"/>
      <c r="X902" s="110"/>
      <c r="Y902" s="110"/>
      <c r="Z902" s="110"/>
    </row>
    <row r="903">
      <c r="A903" s="70"/>
      <c r="B903" s="70"/>
      <c r="D903" s="154"/>
      <c r="O903" s="92"/>
      <c r="P903" s="110"/>
      <c r="Q903" s="110"/>
      <c r="R903" s="110"/>
      <c r="S903" s="110"/>
      <c r="T903" s="110"/>
      <c r="U903" s="110"/>
      <c r="V903" s="110"/>
      <c r="W903" s="110"/>
      <c r="X903" s="110"/>
      <c r="Y903" s="110"/>
      <c r="Z903" s="110"/>
    </row>
    <row r="904">
      <c r="A904" s="70"/>
      <c r="B904" s="70"/>
      <c r="D904" s="154"/>
      <c r="O904" s="92"/>
      <c r="P904" s="110"/>
      <c r="Q904" s="110"/>
      <c r="R904" s="110"/>
      <c r="S904" s="110"/>
      <c r="T904" s="110"/>
      <c r="U904" s="110"/>
      <c r="V904" s="110"/>
      <c r="W904" s="110"/>
      <c r="X904" s="110"/>
      <c r="Y904" s="110"/>
      <c r="Z904" s="110"/>
    </row>
    <row r="905">
      <c r="A905" s="70"/>
      <c r="B905" s="70"/>
      <c r="D905" s="154"/>
      <c r="O905" s="92"/>
      <c r="P905" s="110"/>
      <c r="Q905" s="110"/>
      <c r="R905" s="110"/>
      <c r="S905" s="110"/>
      <c r="T905" s="110"/>
      <c r="U905" s="110"/>
      <c r="V905" s="110"/>
      <c r="W905" s="110"/>
      <c r="X905" s="110"/>
      <c r="Y905" s="110"/>
      <c r="Z905" s="110"/>
    </row>
    <row r="906">
      <c r="A906" s="70"/>
      <c r="B906" s="70"/>
      <c r="D906" s="154"/>
      <c r="O906" s="92"/>
      <c r="P906" s="110"/>
      <c r="Q906" s="110"/>
      <c r="R906" s="110"/>
      <c r="S906" s="110"/>
      <c r="T906" s="110"/>
      <c r="U906" s="110"/>
      <c r="V906" s="110"/>
      <c r="W906" s="110"/>
      <c r="X906" s="110"/>
      <c r="Y906" s="110"/>
      <c r="Z906" s="110"/>
    </row>
    <row r="907">
      <c r="A907" s="70"/>
      <c r="B907" s="70"/>
      <c r="D907" s="154"/>
      <c r="O907" s="92"/>
      <c r="P907" s="110"/>
      <c r="Q907" s="110"/>
      <c r="R907" s="110"/>
      <c r="S907" s="110"/>
      <c r="T907" s="110"/>
      <c r="U907" s="110"/>
      <c r="V907" s="110"/>
      <c r="W907" s="110"/>
      <c r="X907" s="110"/>
      <c r="Y907" s="110"/>
      <c r="Z907" s="110"/>
    </row>
    <row r="908">
      <c r="A908" s="70"/>
      <c r="B908" s="70"/>
      <c r="D908" s="154"/>
      <c r="O908" s="92"/>
      <c r="P908" s="110"/>
      <c r="Q908" s="110"/>
      <c r="R908" s="110"/>
      <c r="S908" s="110"/>
      <c r="T908" s="110"/>
      <c r="U908" s="110"/>
      <c r="V908" s="110"/>
      <c r="W908" s="110"/>
      <c r="X908" s="110"/>
      <c r="Y908" s="110"/>
      <c r="Z908" s="110"/>
    </row>
    <row r="909">
      <c r="A909" s="70"/>
      <c r="B909" s="70"/>
      <c r="D909" s="154"/>
      <c r="O909" s="92"/>
      <c r="P909" s="110"/>
      <c r="Q909" s="110"/>
      <c r="R909" s="110"/>
      <c r="S909" s="110"/>
      <c r="T909" s="110"/>
      <c r="U909" s="110"/>
      <c r="V909" s="110"/>
      <c r="W909" s="110"/>
      <c r="X909" s="110"/>
      <c r="Y909" s="110"/>
      <c r="Z909" s="110"/>
    </row>
    <row r="910">
      <c r="A910" s="70"/>
      <c r="B910" s="70"/>
      <c r="D910" s="154"/>
      <c r="O910" s="92"/>
      <c r="P910" s="110"/>
      <c r="Q910" s="110"/>
      <c r="R910" s="110"/>
      <c r="S910" s="110"/>
      <c r="T910" s="110"/>
      <c r="U910" s="110"/>
      <c r="V910" s="110"/>
      <c r="W910" s="110"/>
      <c r="X910" s="110"/>
      <c r="Y910" s="110"/>
      <c r="Z910" s="110"/>
    </row>
    <row r="911">
      <c r="A911" s="70"/>
      <c r="B911" s="70"/>
      <c r="D911" s="154"/>
      <c r="O911" s="92"/>
      <c r="P911" s="110"/>
      <c r="Q911" s="110"/>
      <c r="R911" s="110"/>
      <c r="S911" s="110"/>
      <c r="T911" s="110"/>
      <c r="U911" s="110"/>
      <c r="V911" s="110"/>
      <c r="W911" s="110"/>
      <c r="X911" s="110"/>
      <c r="Y911" s="110"/>
      <c r="Z911" s="110"/>
    </row>
    <row r="912">
      <c r="A912" s="70"/>
      <c r="B912" s="70"/>
      <c r="D912" s="154"/>
      <c r="O912" s="92"/>
      <c r="P912" s="110"/>
      <c r="Q912" s="110"/>
      <c r="R912" s="110"/>
      <c r="S912" s="110"/>
      <c r="T912" s="110"/>
      <c r="U912" s="110"/>
      <c r="V912" s="110"/>
      <c r="W912" s="110"/>
      <c r="X912" s="110"/>
      <c r="Y912" s="110"/>
      <c r="Z912" s="110"/>
    </row>
    <row r="913">
      <c r="A913" s="70"/>
      <c r="B913" s="70"/>
      <c r="D913" s="154"/>
      <c r="O913" s="92"/>
      <c r="P913" s="110"/>
      <c r="Q913" s="110"/>
      <c r="R913" s="110"/>
      <c r="S913" s="110"/>
      <c r="T913" s="110"/>
      <c r="U913" s="110"/>
      <c r="V913" s="110"/>
      <c r="W913" s="110"/>
      <c r="X913" s="110"/>
      <c r="Y913" s="110"/>
      <c r="Z913" s="110"/>
    </row>
    <row r="914">
      <c r="A914" s="70"/>
      <c r="B914" s="70"/>
      <c r="D914" s="154"/>
      <c r="O914" s="92"/>
      <c r="P914" s="110"/>
      <c r="Q914" s="110"/>
      <c r="R914" s="110"/>
      <c r="S914" s="110"/>
      <c r="T914" s="110"/>
      <c r="U914" s="110"/>
      <c r="V914" s="110"/>
      <c r="W914" s="110"/>
      <c r="X914" s="110"/>
      <c r="Y914" s="110"/>
      <c r="Z914" s="110"/>
    </row>
    <row r="915">
      <c r="A915" s="70"/>
      <c r="B915" s="70"/>
      <c r="D915" s="154"/>
      <c r="O915" s="92"/>
      <c r="P915" s="110"/>
      <c r="Q915" s="110"/>
      <c r="R915" s="110"/>
      <c r="S915" s="110"/>
      <c r="T915" s="110"/>
      <c r="U915" s="110"/>
      <c r="V915" s="110"/>
      <c r="W915" s="110"/>
      <c r="X915" s="110"/>
      <c r="Y915" s="110"/>
      <c r="Z915" s="110"/>
    </row>
    <row r="916">
      <c r="A916" s="70"/>
      <c r="B916" s="70"/>
      <c r="D916" s="154"/>
      <c r="O916" s="92"/>
      <c r="P916" s="110"/>
      <c r="Q916" s="110"/>
      <c r="R916" s="110"/>
      <c r="S916" s="110"/>
      <c r="T916" s="110"/>
      <c r="U916" s="110"/>
      <c r="V916" s="110"/>
      <c r="W916" s="110"/>
      <c r="X916" s="110"/>
      <c r="Y916" s="110"/>
      <c r="Z916" s="110"/>
    </row>
    <row r="917">
      <c r="A917" s="70"/>
      <c r="B917" s="70"/>
      <c r="D917" s="154"/>
      <c r="O917" s="92"/>
      <c r="P917" s="110"/>
      <c r="Q917" s="110"/>
      <c r="R917" s="110"/>
      <c r="S917" s="110"/>
      <c r="T917" s="110"/>
      <c r="U917" s="110"/>
      <c r="V917" s="110"/>
      <c r="W917" s="110"/>
      <c r="X917" s="110"/>
      <c r="Y917" s="110"/>
      <c r="Z917" s="110"/>
    </row>
    <row r="918">
      <c r="A918" s="70"/>
      <c r="B918" s="70"/>
      <c r="D918" s="154"/>
      <c r="O918" s="92"/>
      <c r="P918" s="110"/>
      <c r="Q918" s="110"/>
      <c r="R918" s="110"/>
      <c r="S918" s="110"/>
      <c r="T918" s="110"/>
      <c r="U918" s="110"/>
      <c r="V918" s="110"/>
      <c r="W918" s="110"/>
      <c r="X918" s="110"/>
      <c r="Y918" s="110"/>
      <c r="Z918" s="110"/>
    </row>
    <row r="919">
      <c r="A919" s="70"/>
      <c r="B919" s="70"/>
      <c r="D919" s="154"/>
      <c r="O919" s="92"/>
      <c r="P919" s="110"/>
      <c r="Q919" s="110"/>
      <c r="R919" s="110"/>
      <c r="S919" s="110"/>
      <c r="T919" s="110"/>
      <c r="U919" s="110"/>
      <c r="V919" s="110"/>
      <c r="W919" s="110"/>
      <c r="X919" s="110"/>
      <c r="Y919" s="110"/>
      <c r="Z919" s="110"/>
    </row>
    <row r="920">
      <c r="A920" s="70"/>
      <c r="B920" s="70"/>
      <c r="D920" s="154"/>
      <c r="O920" s="92"/>
      <c r="P920" s="110"/>
      <c r="Q920" s="110"/>
      <c r="R920" s="110"/>
      <c r="S920" s="110"/>
      <c r="T920" s="110"/>
      <c r="U920" s="110"/>
      <c r="V920" s="110"/>
      <c r="W920" s="110"/>
      <c r="X920" s="110"/>
      <c r="Y920" s="110"/>
      <c r="Z920" s="110"/>
    </row>
    <row r="921">
      <c r="A921" s="70"/>
      <c r="B921" s="70"/>
      <c r="D921" s="154"/>
      <c r="O921" s="92"/>
      <c r="P921" s="110"/>
      <c r="Q921" s="110"/>
      <c r="R921" s="110"/>
      <c r="S921" s="110"/>
      <c r="T921" s="110"/>
      <c r="U921" s="110"/>
      <c r="V921" s="110"/>
      <c r="W921" s="110"/>
      <c r="X921" s="110"/>
      <c r="Y921" s="110"/>
      <c r="Z921" s="110"/>
    </row>
    <row r="922">
      <c r="A922" s="70"/>
      <c r="B922" s="70"/>
      <c r="D922" s="154"/>
      <c r="O922" s="92"/>
      <c r="P922" s="110"/>
      <c r="Q922" s="110"/>
      <c r="R922" s="110"/>
      <c r="S922" s="110"/>
      <c r="T922" s="110"/>
      <c r="U922" s="110"/>
      <c r="V922" s="110"/>
      <c r="W922" s="110"/>
      <c r="X922" s="110"/>
      <c r="Y922" s="110"/>
      <c r="Z922" s="110"/>
    </row>
    <row r="923">
      <c r="A923" s="70"/>
      <c r="B923" s="70"/>
      <c r="D923" s="154"/>
      <c r="O923" s="92"/>
      <c r="P923" s="110"/>
      <c r="Q923" s="110"/>
      <c r="R923" s="110"/>
      <c r="S923" s="110"/>
      <c r="T923" s="110"/>
      <c r="U923" s="110"/>
      <c r="V923" s="110"/>
      <c r="W923" s="110"/>
      <c r="X923" s="110"/>
      <c r="Y923" s="110"/>
      <c r="Z923" s="110"/>
    </row>
    <row r="924">
      <c r="A924" s="70"/>
      <c r="B924" s="70"/>
      <c r="D924" s="154"/>
      <c r="O924" s="92"/>
      <c r="P924" s="110"/>
      <c r="Q924" s="110"/>
      <c r="R924" s="110"/>
      <c r="S924" s="110"/>
      <c r="T924" s="110"/>
      <c r="U924" s="110"/>
      <c r="V924" s="110"/>
      <c r="W924" s="110"/>
      <c r="X924" s="110"/>
      <c r="Y924" s="110"/>
      <c r="Z924" s="110"/>
    </row>
    <row r="925">
      <c r="A925" s="70"/>
      <c r="B925" s="70"/>
      <c r="D925" s="154"/>
      <c r="O925" s="92"/>
      <c r="P925" s="110"/>
      <c r="Q925" s="110"/>
      <c r="R925" s="110"/>
      <c r="S925" s="110"/>
      <c r="T925" s="110"/>
      <c r="U925" s="110"/>
      <c r="V925" s="110"/>
      <c r="W925" s="110"/>
      <c r="X925" s="110"/>
      <c r="Y925" s="110"/>
      <c r="Z925" s="110"/>
    </row>
    <row r="926">
      <c r="A926" s="70"/>
      <c r="B926" s="70"/>
      <c r="D926" s="154"/>
      <c r="O926" s="92"/>
      <c r="P926" s="110"/>
      <c r="Q926" s="110"/>
      <c r="R926" s="110"/>
      <c r="S926" s="110"/>
      <c r="T926" s="110"/>
      <c r="U926" s="110"/>
      <c r="V926" s="110"/>
      <c r="W926" s="110"/>
      <c r="X926" s="110"/>
      <c r="Y926" s="110"/>
      <c r="Z926" s="110"/>
    </row>
    <row r="927">
      <c r="A927" s="70"/>
      <c r="B927" s="70"/>
      <c r="D927" s="154"/>
      <c r="O927" s="92"/>
      <c r="P927" s="110"/>
      <c r="Q927" s="110"/>
      <c r="R927" s="110"/>
      <c r="S927" s="110"/>
      <c r="T927" s="110"/>
      <c r="U927" s="110"/>
      <c r="V927" s="110"/>
      <c r="W927" s="110"/>
      <c r="X927" s="110"/>
      <c r="Y927" s="110"/>
      <c r="Z927" s="110"/>
    </row>
    <row r="928">
      <c r="A928" s="70"/>
      <c r="B928" s="70"/>
      <c r="D928" s="154"/>
      <c r="O928" s="92"/>
      <c r="P928" s="110"/>
      <c r="Q928" s="110"/>
      <c r="R928" s="110"/>
      <c r="S928" s="110"/>
      <c r="T928" s="110"/>
      <c r="U928" s="110"/>
      <c r="V928" s="110"/>
      <c r="W928" s="110"/>
      <c r="X928" s="110"/>
      <c r="Y928" s="110"/>
      <c r="Z928" s="110"/>
    </row>
    <row r="929">
      <c r="A929" s="70"/>
      <c r="B929" s="70"/>
      <c r="D929" s="154"/>
      <c r="O929" s="92"/>
      <c r="P929" s="110"/>
      <c r="Q929" s="110"/>
      <c r="R929" s="110"/>
      <c r="S929" s="110"/>
      <c r="T929" s="110"/>
      <c r="U929" s="110"/>
      <c r="V929" s="110"/>
      <c r="W929" s="110"/>
      <c r="X929" s="110"/>
      <c r="Y929" s="110"/>
      <c r="Z929" s="110"/>
    </row>
    <row r="930">
      <c r="A930" s="70"/>
      <c r="B930" s="70"/>
      <c r="D930" s="154"/>
      <c r="O930" s="92"/>
      <c r="P930" s="110"/>
      <c r="Q930" s="110"/>
      <c r="R930" s="110"/>
      <c r="S930" s="110"/>
      <c r="T930" s="110"/>
      <c r="U930" s="110"/>
      <c r="V930" s="110"/>
      <c r="W930" s="110"/>
      <c r="X930" s="110"/>
      <c r="Y930" s="110"/>
      <c r="Z930" s="110"/>
    </row>
    <row r="931">
      <c r="A931" s="70"/>
      <c r="B931" s="70"/>
      <c r="D931" s="154"/>
      <c r="O931" s="92"/>
      <c r="P931" s="110"/>
      <c r="Q931" s="110"/>
      <c r="R931" s="110"/>
      <c r="S931" s="110"/>
      <c r="T931" s="110"/>
      <c r="U931" s="110"/>
      <c r="V931" s="110"/>
      <c r="W931" s="110"/>
      <c r="X931" s="110"/>
      <c r="Y931" s="110"/>
      <c r="Z931" s="110"/>
    </row>
    <row r="932">
      <c r="A932" s="70"/>
      <c r="B932" s="70"/>
      <c r="D932" s="154"/>
      <c r="O932" s="92"/>
      <c r="P932" s="110"/>
      <c r="Q932" s="110"/>
      <c r="R932" s="110"/>
      <c r="S932" s="110"/>
      <c r="T932" s="110"/>
      <c r="U932" s="110"/>
      <c r="V932" s="110"/>
      <c r="W932" s="110"/>
      <c r="X932" s="110"/>
      <c r="Y932" s="110"/>
      <c r="Z932" s="110"/>
    </row>
    <row r="933">
      <c r="A933" s="70"/>
      <c r="B933" s="70"/>
      <c r="D933" s="154"/>
      <c r="O933" s="92"/>
      <c r="P933" s="110"/>
      <c r="Q933" s="110"/>
      <c r="R933" s="110"/>
      <c r="S933" s="110"/>
      <c r="T933" s="110"/>
      <c r="U933" s="110"/>
      <c r="V933" s="110"/>
      <c r="W933" s="110"/>
      <c r="X933" s="110"/>
      <c r="Y933" s="110"/>
      <c r="Z933" s="110"/>
    </row>
    <row r="934">
      <c r="A934" s="70"/>
      <c r="B934" s="70"/>
      <c r="D934" s="154"/>
      <c r="O934" s="92"/>
      <c r="P934" s="110"/>
      <c r="Q934" s="110"/>
      <c r="R934" s="110"/>
      <c r="S934" s="110"/>
      <c r="T934" s="110"/>
      <c r="U934" s="110"/>
      <c r="V934" s="110"/>
      <c r="W934" s="110"/>
      <c r="X934" s="110"/>
      <c r="Y934" s="110"/>
      <c r="Z934" s="110"/>
    </row>
    <row r="935">
      <c r="A935" s="70"/>
      <c r="B935" s="70"/>
      <c r="D935" s="154"/>
      <c r="O935" s="92"/>
      <c r="P935" s="110"/>
      <c r="Q935" s="110"/>
      <c r="R935" s="110"/>
      <c r="S935" s="110"/>
      <c r="T935" s="110"/>
      <c r="U935" s="110"/>
      <c r="V935" s="110"/>
      <c r="W935" s="110"/>
      <c r="X935" s="110"/>
      <c r="Y935" s="110"/>
      <c r="Z935" s="110"/>
    </row>
    <row r="936">
      <c r="A936" s="70"/>
      <c r="B936" s="70"/>
      <c r="D936" s="154"/>
      <c r="O936" s="92"/>
      <c r="P936" s="110"/>
      <c r="Q936" s="110"/>
      <c r="R936" s="110"/>
      <c r="S936" s="110"/>
      <c r="T936" s="110"/>
      <c r="U936" s="110"/>
      <c r="V936" s="110"/>
      <c r="W936" s="110"/>
      <c r="X936" s="110"/>
      <c r="Y936" s="110"/>
      <c r="Z936" s="110"/>
    </row>
    <row r="937">
      <c r="A937" s="70"/>
      <c r="B937" s="70"/>
      <c r="D937" s="154"/>
      <c r="O937" s="92"/>
      <c r="P937" s="110"/>
      <c r="Q937" s="110"/>
      <c r="R937" s="110"/>
      <c r="S937" s="110"/>
      <c r="T937" s="110"/>
      <c r="U937" s="110"/>
      <c r="V937" s="110"/>
      <c r="W937" s="110"/>
      <c r="X937" s="110"/>
      <c r="Y937" s="110"/>
      <c r="Z937" s="110"/>
    </row>
    <row r="938">
      <c r="A938" s="70"/>
      <c r="B938" s="70"/>
      <c r="D938" s="154"/>
      <c r="O938" s="92"/>
      <c r="P938" s="110"/>
      <c r="Q938" s="110"/>
      <c r="R938" s="110"/>
      <c r="S938" s="110"/>
      <c r="T938" s="110"/>
      <c r="U938" s="110"/>
      <c r="V938" s="110"/>
      <c r="W938" s="110"/>
      <c r="X938" s="110"/>
      <c r="Y938" s="110"/>
      <c r="Z938" s="110"/>
    </row>
    <row r="939">
      <c r="A939" s="70"/>
      <c r="B939" s="70"/>
      <c r="D939" s="154"/>
      <c r="O939" s="92"/>
      <c r="P939" s="110"/>
      <c r="Q939" s="110"/>
      <c r="R939" s="110"/>
      <c r="S939" s="110"/>
      <c r="T939" s="110"/>
      <c r="U939" s="110"/>
      <c r="V939" s="110"/>
      <c r="W939" s="110"/>
      <c r="X939" s="110"/>
      <c r="Y939" s="110"/>
      <c r="Z939" s="110"/>
    </row>
    <row r="940">
      <c r="A940" s="70"/>
      <c r="B940" s="70"/>
      <c r="D940" s="154"/>
      <c r="O940" s="92"/>
      <c r="P940" s="110"/>
      <c r="Q940" s="110"/>
      <c r="R940" s="110"/>
      <c r="S940" s="110"/>
      <c r="T940" s="110"/>
      <c r="U940" s="110"/>
      <c r="V940" s="110"/>
      <c r="W940" s="110"/>
      <c r="X940" s="110"/>
      <c r="Y940" s="110"/>
      <c r="Z940" s="110"/>
    </row>
    <row r="941">
      <c r="A941" s="70"/>
      <c r="B941" s="70"/>
      <c r="D941" s="154"/>
      <c r="O941" s="92"/>
      <c r="P941" s="110"/>
      <c r="Q941" s="110"/>
      <c r="R941" s="110"/>
      <c r="S941" s="110"/>
      <c r="T941" s="110"/>
      <c r="U941" s="110"/>
      <c r="V941" s="110"/>
      <c r="W941" s="110"/>
      <c r="X941" s="110"/>
      <c r="Y941" s="110"/>
      <c r="Z941" s="110"/>
    </row>
    <row r="942">
      <c r="A942" s="70"/>
      <c r="B942" s="70"/>
      <c r="D942" s="154"/>
      <c r="O942" s="92"/>
      <c r="P942" s="110"/>
      <c r="Q942" s="110"/>
      <c r="R942" s="110"/>
      <c r="S942" s="110"/>
      <c r="T942" s="110"/>
      <c r="U942" s="110"/>
      <c r="V942" s="110"/>
      <c r="W942" s="110"/>
      <c r="X942" s="110"/>
      <c r="Y942" s="110"/>
      <c r="Z942" s="110"/>
    </row>
    <row r="943">
      <c r="A943" s="70"/>
      <c r="B943" s="70"/>
      <c r="D943" s="154"/>
      <c r="O943" s="92"/>
      <c r="P943" s="110"/>
      <c r="Q943" s="110"/>
      <c r="R943" s="110"/>
      <c r="S943" s="110"/>
      <c r="T943" s="110"/>
      <c r="U943" s="110"/>
      <c r="V943" s="110"/>
      <c r="W943" s="110"/>
      <c r="X943" s="110"/>
      <c r="Y943" s="110"/>
      <c r="Z943" s="110"/>
    </row>
    <row r="944">
      <c r="A944" s="70"/>
      <c r="B944" s="70"/>
      <c r="D944" s="154"/>
      <c r="O944" s="92"/>
      <c r="P944" s="110"/>
      <c r="Q944" s="110"/>
      <c r="R944" s="110"/>
      <c r="S944" s="110"/>
      <c r="T944" s="110"/>
      <c r="U944" s="110"/>
      <c r="V944" s="110"/>
      <c r="W944" s="110"/>
      <c r="X944" s="110"/>
      <c r="Y944" s="110"/>
      <c r="Z944" s="110"/>
    </row>
    <row r="945">
      <c r="A945" s="70"/>
      <c r="B945" s="70"/>
      <c r="D945" s="154"/>
      <c r="O945" s="92"/>
      <c r="P945" s="110"/>
      <c r="Q945" s="110"/>
      <c r="R945" s="110"/>
      <c r="S945" s="110"/>
      <c r="T945" s="110"/>
      <c r="U945" s="110"/>
      <c r="V945" s="110"/>
      <c r="W945" s="110"/>
      <c r="X945" s="110"/>
      <c r="Y945" s="110"/>
      <c r="Z945" s="110"/>
    </row>
    <row r="946">
      <c r="A946" s="70"/>
      <c r="B946" s="70"/>
      <c r="D946" s="154"/>
      <c r="O946" s="92"/>
      <c r="P946" s="110"/>
      <c r="Q946" s="110"/>
      <c r="R946" s="110"/>
      <c r="S946" s="110"/>
      <c r="T946" s="110"/>
      <c r="U946" s="110"/>
      <c r="V946" s="110"/>
      <c r="W946" s="110"/>
      <c r="X946" s="110"/>
      <c r="Y946" s="110"/>
      <c r="Z946" s="110"/>
    </row>
    <row r="947">
      <c r="A947" s="70"/>
      <c r="B947" s="70"/>
      <c r="D947" s="154"/>
      <c r="O947" s="92"/>
      <c r="P947" s="110"/>
      <c r="Q947" s="110"/>
      <c r="R947" s="110"/>
      <c r="S947" s="110"/>
      <c r="T947" s="110"/>
      <c r="U947" s="110"/>
      <c r="V947" s="110"/>
      <c r="W947" s="110"/>
      <c r="X947" s="110"/>
      <c r="Y947" s="110"/>
      <c r="Z947" s="110"/>
    </row>
    <row r="948">
      <c r="A948" s="70"/>
      <c r="B948" s="70"/>
      <c r="D948" s="154"/>
      <c r="O948" s="92"/>
      <c r="P948" s="110"/>
      <c r="Q948" s="110"/>
      <c r="R948" s="110"/>
      <c r="S948" s="110"/>
      <c r="T948" s="110"/>
      <c r="U948" s="110"/>
      <c r="V948" s="110"/>
      <c r="W948" s="110"/>
      <c r="X948" s="110"/>
      <c r="Y948" s="110"/>
      <c r="Z948" s="110"/>
    </row>
    <row r="949">
      <c r="A949" s="70"/>
      <c r="B949" s="70"/>
      <c r="D949" s="154"/>
      <c r="O949" s="92"/>
      <c r="P949" s="110"/>
      <c r="Q949" s="110"/>
      <c r="R949" s="110"/>
      <c r="S949" s="110"/>
      <c r="T949" s="110"/>
      <c r="U949" s="110"/>
      <c r="V949" s="110"/>
      <c r="W949" s="110"/>
      <c r="X949" s="110"/>
      <c r="Y949" s="110"/>
      <c r="Z949" s="110"/>
    </row>
    <row r="950">
      <c r="A950" s="70"/>
      <c r="B950" s="70"/>
      <c r="D950" s="154"/>
      <c r="O950" s="92"/>
      <c r="P950" s="110"/>
      <c r="Q950" s="110"/>
      <c r="R950" s="110"/>
      <c r="S950" s="110"/>
      <c r="T950" s="110"/>
      <c r="U950" s="110"/>
      <c r="V950" s="110"/>
      <c r="W950" s="110"/>
      <c r="X950" s="110"/>
      <c r="Y950" s="110"/>
      <c r="Z950" s="110"/>
    </row>
    <row r="951">
      <c r="A951" s="70"/>
      <c r="B951" s="70"/>
      <c r="D951" s="154"/>
      <c r="O951" s="92"/>
      <c r="P951" s="110"/>
      <c r="Q951" s="110"/>
      <c r="R951" s="110"/>
      <c r="S951" s="110"/>
      <c r="T951" s="110"/>
      <c r="U951" s="110"/>
      <c r="V951" s="110"/>
      <c r="W951" s="110"/>
      <c r="X951" s="110"/>
      <c r="Y951" s="110"/>
      <c r="Z951" s="110"/>
    </row>
    <row r="952">
      <c r="A952" s="70"/>
      <c r="B952" s="70"/>
      <c r="D952" s="154"/>
      <c r="O952" s="92"/>
      <c r="P952" s="110"/>
      <c r="Q952" s="110"/>
      <c r="R952" s="110"/>
      <c r="S952" s="110"/>
      <c r="T952" s="110"/>
      <c r="U952" s="110"/>
      <c r="V952" s="110"/>
      <c r="W952" s="110"/>
      <c r="X952" s="110"/>
      <c r="Y952" s="110"/>
      <c r="Z952" s="110"/>
    </row>
    <row r="953">
      <c r="A953" s="70"/>
      <c r="B953" s="70"/>
      <c r="D953" s="154"/>
      <c r="O953" s="92"/>
      <c r="P953" s="110"/>
      <c r="Q953" s="110"/>
      <c r="R953" s="110"/>
      <c r="S953" s="110"/>
      <c r="T953" s="110"/>
      <c r="U953" s="110"/>
      <c r="V953" s="110"/>
      <c r="W953" s="110"/>
      <c r="X953" s="110"/>
      <c r="Y953" s="110"/>
      <c r="Z953" s="110"/>
    </row>
    <row r="954">
      <c r="A954" s="70"/>
      <c r="B954" s="70"/>
      <c r="D954" s="154"/>
      <c r="O954" s="92"/>
      <c r="P954" s="110"/>
      <c r="Q954" s="110"/>
      <c r="R954" s="110"/>
      <c r="S954" s="110"/>
      <c r="T954" s="110"/>
      <c r="U954" s="110"/>
      <c r="V954" s="110"/>
      <c r="W954" s="110"/>
      <c r="X954" s="110"/>
      <c r="Y954" s="110"/>
      <c r="Z954" s="110"/>
    </row>
    <row r="955">
      <c r="A955" s="70"/>
      <c r="B955" s="70"/>
      <c r="D955" s="154"/>
      <c r="O955" s="92"/>
      <c r="P955" s="110"/>
      <c r="Q955" s="110"/>
      <c r="R955" s="110"/>
      <c r="S955" s="110"/>
      <c r="T955" s="110"/>
      <c r="U955" s="110"/>
      <c r="V955" s="110"/>
      <c r="W955" s="110"/>
      <c r="X955" s="110"/>
      <c r="Y955" s="110"/>
      <c r="Z955" s="110"/>
    </row>
    <row r="956">
      <c r="A956" s="70"/>
      <c r="B956" s="70"/>
      <c r="D956" s="154"/>
      <c r="O956" s="92"/>
      <c r="P956" s="110"/>
      <c r="Q956" s="110"/>
      <c r="R956" s="110"/>
      <c r="S956" s="110"/>
      <c r="T956" s="110"/>
      <c r="U956" s="110"/>
      <c r="V956" s="110"/>
      <c r="W956" s="110"/>
      <c r="X956" s="110"/>
      <c r="Y956" s="110"/>
      <c r="Z956" s="110"/>
    </row>
    <row r="957">
      <c r="A957" s="70"/>
      <c r="B957" s="70"/>
      <c r="D957" s="154"/>
      <c r="O957" s="92"/>
      <c r="P957" s="110"/>
      <c r="Q957" s="110"/>
      <c r="R957" s="110"/>
      <c r="S957" s="110"/>
      <c r="T957" s="110"/>
      <c r="U957" s="110"/>
      <c r="V957" s="110"/>
      <c r="W957" s="110"/>
      <c r="X957" s="110"/>
      <c r="Y957" s="110"/>
      <c r="Z957" s="110"/>
    </row>
    <row r="958">
      <c r="A958" s="70"/>
      <c r="B958" s="70"/>
      <c r="D958" s="154"/>
      <c r="O958" s="92"/>
      <c r="P958" s="110"/>
      <c r="Q958" s="110"/>
      <c r="R958" s="110"/>
      <c r="S958" s="110"/>
      <c r="T958" s="110"/>
      <c r="U958" s="110"/>
      <c r="V958" s="110"/>
      <c r="W958" s="110"/>
      <c r="X958" s="110"/>
      <c r="Y958" s="110"/>
      <c r="Z958" s="110"/>
    </row>
    <row r="959">
      <c r="A959" s="70"/>
      <c r="B959" s="70"/>
      <c r="D959" s="154"/>
      <c r="O959" s="92"/>
      <c r="P959" s="110"/>
      <c r="Q959" s="110"/>
      <c r="R959" s="110"/>
      <c r="S959" s="110"/>
      <c r="T959" s="110"/>
      <c r="U959" s="110"/>
      <c r="V959" s="110"/>
      <c r="W959" s="110"/>
      <c r="X959" s="110"/>
      <c r="Y959" s="110"/>
      <c r="Z959" s="110"/>
    </row>
    <row r="960">
      <c r="A960" s="70"/>
      <c r="B960" s="70"/>
      <c r="D960" s="154"/>
      <c r="O960" s="92"/>
      <c r="P960" s="110"/>
      <c r="Q960" s="110"/>
      <c r="R960" s="110"/>
      <c r="S960" s="110"/>
      <c r="T960" s="110"/>
      <c r="U960" s="110"/>
      <c r="V960" s="110"/>
      <c r="W960" s="110"/>
      <c r="X960" s="110"/>
      <c r="Y960" s="110"/>
      <c r="Z960" s="110"/>
    </row>
    <row r="961">
      <c r="A961" s="70"/>
      <c r="B961" s="70"/>
      <c r="D961" s="154"/>
      <c r="O961" s="92"/>
      <c r="P961" s="110"/>
      <c r="Q961" s="110"/>
      <c r="R961" s="110"/>
      <c r="S961" s="110"/>
      <c r="T961" s="110"/>
      <c r="U961" s="110"/>
      <c r="V961" s="110"/>
      <c r="W961" s="110"/>
      <c r="X961" s="110"/>
      <c r="Y961" s="110"/>
      <c r="Z961" s="110"/>
    </row>
    <row r="962">
      <c r="A962" s="70"/>
      <c r="B962" s="70"/>
      <c r="D962" s="154"/>
      <c r="O962" s="92"/>
      <c r="P962" s="110"/>
      <c r="Q962" s="110"/>
      <c r="R962" s="110"/>
      <c r="S962" s="110"/>
      <c r="T962" s="110"/>
      <c r="U962" s="110"/>
      <c r="V962" s="110"/>
      <c r="W962" s="110"/>
      <c r="X962" s="110"/>
      <c r="Y962" s="110"/>
      <c r="Z962" s="110"/>
    </row>
    <row r="963">
      <c r="A963" s="70"/>
      <c r="B963" s="70"/>
      <c r="D963" s="154"/>
      <c r="O963" s="92"/>
      <c r="P963" s="110"/>
      <c r="Q963" s="110"/>
      <c r="R963" s="110"/>
      <c r="S963" s="110"/>
      <c r="T963" s="110"/>
      <c r="U963" s="110"/>
      <c r="V963" s="110"/>
      <c r="W963" s="110"/>
      <c r="X963" s="110"/>
      <c r="Y963" s="110"/>
      <c r="Z963" s="110"/>
    </row>
    <row r="964">
      <c r="A964" s="70"/>
      <c r="B964" s="70"/>
      <c r="D964" s="154"/>
      <c r="O964" s="92"/>
      <c r="P964" s="110"/>
      <c r="Q964" s="110"/>
      <c r="R964" s="110"/>
      <c r="S964" s="110"/>
      <c r="T964" s="110"/>
      <c r="U964" s="110"/>
      <c r="V964" s="110"/>
      <c r="W964" s="110"/>
      <c r="X964" s="110"/>
      <c r="Y964" s="110"/>
      <c r="Z964" s="110"/>
    </row>
    <row r="965">
      <c r="A965" s="70"/>
      <c r="B965" s="70"/>
      <c r="D965" s="154"/>
      <c r="O965" s="92"/>
      <c r="P965" s="110"/>
      <c r="Q965" s="110"/>
      <c r="R965" s="110"/>
      <c r="S965" s="110"/>
      <c r="T965" s="110"/>
      <c r="U965" s="110"/>
      <c r="V965" s="110"/>
      <c r="W965" s="110"/>
      <c r="X965" s="110"/>
      <c r="Y965" s="110"/>
      <c r="Z965" s="110"/>
    </row>
    <row r="966">
      <c r="A966" s="70"/>
      <c r="B966" s="70"/>
      <c r="D966" s="154"/>
      <c r="O966" s="92"/>
      <c r="P966" s="110"/>
      <c r="Q966" s="110"/>
      <c r="R966" s="110"/>
      <c r="S966" s="110"/>
      <c r="T966" s="110"/>
      <c r="U966" s="110"/>
      <c r="V966" s="110"/>
      <c r="W966" s="110"/>
      <c r="X966" s="110"/>
      <c r="Y966" s="110"/>
      <c r="Z966" s="110"/>
    </row>
    <row r="967">
      <c r="A967" s="70"/>
      <c r="B967" s="70"/>
      <c r="D967" s="154"/>
      <c r="O967" s="92"/>
      <c r="P967" s="110"/>
      <c r="Q967" s="110"/>
      <c r="R967" s="110"/>
      <c r="S967" s="110"/>
      <c r="T967" s="110"/>
      <c r="U967" s="110"/>
      <c r="V967" s="110"/>
      <c r="W967" s="110"/>
      <c r="X967" s="110"/>
      <c r="Y967" s="110"/>
      <c r="Z967" s="110"/>
    </row>
    <row r="968">
      <c r="A968" s="70"/>
      <c r="B968" s="70"/>
      <c r="D968" s="154"/>
      <c r="O968" s="92"/>
      <c r="P968" s="110"/>
      <c r="Q968" s="110"/>
      <c r="R968" s="110"/>
      <c r="S968" s="110"/>
      <c r="T968" s="110"/>
      <c r="U968" s="110"/>
      <c r="V968" s="110"/>
      <c r="W968" s="110"/>
      <c r="X968" s="110"/>
      <c r="Y968" s="110"/>
      <c r="Z968" s="110"/>
    </row>
    <row r="969">
      <c r="A969" s="70"/>
      <c r="B969" s="70"/>
      <c r="D969" s="154"/>
      <c r="O969" s="92"/>
      <c r="P969" s="110"/>
      <c r="Q969" s="110"/>
      <c r="R969" s="110"/>
      <c r="S969" s="110"/>
      <c r="T969" s="110"/>
      <c r="U969" s="110"/>
      <c r="V969" s="110"/>
      <c r="W969" s="110"/>
      <c r="X969" s="110"/>
      <c r="Y969" s="110"/>
      <c r="Z969" s="110"/>
    </row>
    <row r="970">
      <c r="A970" s="70"/>
      <c r="B970" s="70"/>
      <c r="D970" s="154"/>
      <c r="O970" s="92"/>
      <c r="P970" s="110"/>
      <c r="Q970" s="110"/>
      <c r="R970" s="110"/>
      <c r="S970" s="110"/>
      <c r="T970" s="110"/>
      <c r="U970" s="110"/>
      <c r="V970" s="110"/>
      <c r="W970" s="110"/>
      <c r="X970" s="110"/>
      <c r="Y970" s="110"/>
      <c r="Z970" s="110"/>
    </row>
    <row r="971">
      <c r="A971" s="70"/>
      <c r="B971" s="70"/>
      <c r="D971" s="154"/>
      <c r="O971" s="92"/>
      <c r="P971" s="110"/>
      <c r="Q971" s="110"/>
      <c r="R971" s="110"/>
      <c r="S971" s="110"/>
      <c r="T971" s="110"/>
      <c r="U971" s="110"/>
      <c r="V971" s="110"/>
      <c r="W971" s="110"/>
      <c r="X971" s="110"/>
      <c r="Y971" s="110"/>
      <c r="Z971" s="110"/>
    </row>
    <row r="972">
      <c r="A972" s="70"/>
      <c r="B972" s="70"/>
      <c r="D972" s="154"/>
      <c r="O972" s="92"/>
      <c r="P972" s="110"/>
      <c r="Q972" s="110"/>
      <c r="R972" s="110"/>
      <c r="S972" s="110"/>
      <c r="T972" s="110"/>
      <c r="U972" s="110"/>
      <c r="V972" s="110"/>
      <c r="W972" s="110"/>
      <c r="X972" s="110"/>
      <c r="Y972" s="110"/>
      <c r="Z972" s="110"/>
    </row>
    <row r="973">
      <c r="A973" s="70"/>
      <c r="B973" s="70"/>
      <c r="D973" s="154"/>
      <c r="O973" s="92"/>
      <c r="P973" s="110"/>
      <c r="Q973" s="110"/>
      <c r="R973" s="110"/>
      <c r="S973" s="110"/>
      <c r="T973" s="110"/>
      <c r="U973" s="110"/>
      <c r="V973" s="110"/>
      <c r="W973" s="110"/>
      <c r="X973" s="110"/>
      <c r="Y973" s="110"/>
      <c r="Z973" s="110"/>
    </row>
    <row r="974">
      <c r="A974" s="70"/>
      <c r="B974" s="70"/>
      <c r="D974" s="154"/>
      <c r="O974" s="92"/>
      <c r="P974" s="110"/>
      <c r="Q974" s="110"/>
      <c r="R974" s="110"/>
      <c r="S974" s="110"/>
      <c r="T974" s="110"/>
      <c r="U974" s="110"/>
      <c r="V974" s="110"/>
      <c r="W974" s="110"/>
      <c r="X974" s="110"/>
      <c r="Y974" s="110"/>
      <c r="Z974" s="110"/>
    </row>
    <row r="975">
      <c r="A975" s="70"/>
      <c r="B975" s="70"/>
      <c r="D975" s="154"/>
      <c r="O975" s="92"/>
      <c r="P975" s="110"/>
      <c r="Q975" s="110"/>
      <c r="R975" s="110"/>
      <c r="S975" s="110"/>
      <c r="T975" s="110"/>
      <c r="U975" s="110"/>
      <c r="V975" s="110"/>
      <c r="W975" s="110"/>
      <c r="X975" s="110"/>
      <c r="Y975" s="110"/>
      <c r="Z975" s="110"/>
    </row>
    <row r="976">
      <c r="A976" s="70"/>
      <c r="B976" s="70"/>
      <c r="D976" s="154"/>
      <c r="O976" s="92"/>
      <c r="P976" s="110"/>
      <c r="Q976" s="110"/>
      <c r="R976" s="110"/>
      <c r="S976" s="110"/>
      <c r="T976" s="110"/>
      <c r="U976" s="110"/>
      <c r="V976" s="110"/>
      <c r="W976" s="110"/>
      <c r="X976" s="110"/>
      <c r="Y976" s="110"/>
      <c r="Z976" s="110"/>
    </row>
    <row r="977">
      <c r="A977" s="70"/>
      <c r="B977" s="70"/>
      <c r="D977" s="154"/>
      <c r="O977" s="92"/>
      <c r="P977" s="110"/>
      <c r="Q977" s="110"/>
      <c r="R977" s="110"/>
      <c r="S977" s="110"/>
      <c r="T977" s="110"/>
      <c r="U977" s="110"/>
      <c r="V977" s="110"/>
      <c r="W977" s="110"/>
      <c r="X977" s="110"/>
      <c r="Y977" s="110"/>
      <c r="Z977" s="110"/>
    </row>
    <row r="978">
      <c r="A978" s="70"/>
      <c r="B978" s="70"/>
      <c r="D978" s="154"/>
      <c r="O978" s="92"/>
      <c r="P978" s="110"/>
      <c r="Q978" s="110"/>
      <c r="R978" s="110"/>
      <c r="S978" s="110"/>
      <c r="T978" s="110"/>
      <c r="U978" s="110"/>
      <c r="V978" s="110"/>
      <c r="W978" s="110"/>
      <c r="X978" s="110"/>
      <c r="Y978" s="110"/>
      <c r="Z978" s="110"/>
    </row>
    <row r="979">
      <c r="A979" s="70"/>
      <c r="B979" s="70"/>
      <c r="D979" s="154"/>
      <c r="O979" s="92"/>
      <c r="P979" s="110"/>
      <c r="Q979" s="110"/>
      <c r="R979" s="110"/>
      <c r="S979" s="110"/>
      <c r="T979" s="110"/>
      <c r="U979" s="110"/>
      <c r="V979" s="110"/>
      <c r="W979" s="110"/>
      <c r="X979" s="110"/>
      <c r="Y979" s="110"/>
      <c r="Z979" s="110"/>
    </row>
    <row r="980">
      <c r="A980" s="70"/>
      <c r="B980" s="70"/>
      <c r="D980" s="154"/>
      <c r="O980" s="92"/>
      <c r="P980" s="110"/>
      <c r="Q980" s="110"/>
      <c r="R980" s="110"/>
      <c r="S980" s="110"/>
      <c r="T980" s="110"/>
      <c r="U980" s="110"/>
      <c r="V980" s="110"/>
      <c r="W980" s="110"/>
      <c r="X980" s="110"/>
      <c r="Y980" s="110"/>
      <c r="Z980" s="110"/>
    </row>
    <row r="981">
      <c r="A981" s="70"/>
      <c r="B981" s="70"/>
      <c r="D981" s="154"/>
      <c r="O981" s="92"/>
      <c r="P981" s="110"/>
      <c r="Q981" s="110"/>
      <c r="R981" s="110"/>
      <c r="S981" s="110"/>
      <c r="T981" s="110"/>
      <c r="U981" s="110"/>
      <c r="V981" s="110"/>
      <c r="W981" s="110"/>
      <c r="X981" s="110"/>
      <c r="Y981" s="110"/>
      <c r="Z981" s="110"/>
    </row>
    <row r="982">
      <c r="A982" s="70"/>
      <c r="B982" s="70"/>
      <c r="D982" s="154"/>
      <c r="O982" s="92"/>
      <c r="P982" s="110"/>
      <c r="Q982" s="110"/>
      <c r="R982" s="110"/>
      <c r="S982" s="110"/>
      <c r="T982" s="110"/>
      <c r="U982" s="110"/>
      <c r="V982" s="110"/>
      <c r="W982" s="110"/>
      <c r="X982" s="110"/>
      <c r="Y982" s="110"/>
      <c r="Z982" s="110"/>
    </row>
    <row r="983">
      <c r="A983" s="70"/>
      <c r="B983" s="70"/>
      <c r="D983" s="154"/>
      <c r="O983" s="92"/>
      <c r="P983" s="110"/>
      <c r="Q983" s="110"/>
      <c r="R983" s="110"/>
      <c r="S983" s="110"/>
      <c r="T983" s="110"/>
      <c r="U983" s="110"/>
      <c r="V983" s="110"/>
      <c r="W983" s="110"/>
      <c r="X983" s="110"/>
      <c r="Y983" s="110"/>
      <c r="Z983" s="110"/>
    </row>
    <row r="984">
      <c r="A984" s="70"/>
      <c r="B984" s="70"/>
      <c r="D984" s="154"/>
      <c r="O984" s="92"/>
      <c r="P984" s="110"/>
      <c r="Q984" s="110"/>
      <c r="R984" s="110"/>
      <c r="S984" s="110"/>
      <c r="T984" s="110"/>
      <c r="U984" s="110"/>
      <c r="V984" s="110"/>
      <c r="W984" s="110"/>
      <c r="X984" s="110"/>
      <c r="Y984" s="110"/>
      <c r="Z984" s="110"/>
    </row>
    <row r="985">
      <c r="A985" s="70"/>
      <c r="B985" s="70"/>
      <c r="D985" s="154"/>
      <c r="O985" s="92"/>
      <c r="P985" s="110"/>
      <c r="Q985" s="110"/>
      <c r="R985" s="110"/>
      <c r="S985" s="110"/>
      <c r="T985" s="110"/>
      <c r="U985" s="110"/>
      <c r="V985" s="110"/>
      <c r="W985" s="110"/>
      <c r="X985" s="110"/>
      <c r="Y985" s="110"/>
      <c r="Z985" s="110"/>
    </row>
    <row r="986">
      <c r="A986" s="70"/>
      <c r="B986" s="70"/>
      <c r="D986" s="154"/>
      <c r="O986" s="92"/>
      <c r="P986" s="110"/>
      <c r="Q986" s="110"/>
      <c r="R986" s="110"/>
      <c r="S986" s="110"/>
      <c r="T986" s="110"/>
      <c r="U986" s="110"/>
      <c r="V986" s="110"/>
      <c r="W986" s="110"/>
      <c r="X986" s="110"/>
      <c r="Y986" s="110"/>
      <c r="Z986" s="110"/>
    </row>
    <row r="987">
      <c r="A987" s="70"/>
      <c r="B987" s="70"/>
      <c r="D987" s="154"/>
      <c r="O987" s="92"/>
      <c r="P987" s="110"/>
      <c r="Q987" s="110"/>
      <c r="R987" s="110"/>
      <c r="S987" s="110"/>
      <c r="T987" s="110"/>
      <c r="U987" s="110"/>
      <c r="V987" s="110"/>
      <c r="W987" s="110"/>
      <c r="X987" s="110"/>
      <c r="Y987" s="110"/>
      <c r="Z987" s="110"/>
    </row>
    <row r="988">
      <c r="A988" s="70"/>
      <c r="B988" s="70"/>
      <c r="D988" s="154"/>
      <c r="O988" s="92"/>
      <c r="P988" s="110"/>
      <c r="Q988" s="110"/>
      <c r="R988" s="110"/>
      <c r="S988" s="110"/>
      <c r="T988" s="110"/>
      <c r="U988" s="110"/>
      <c r="V988" s="110"/>
      <c r="W988" s="110"/>
      <c r="X988" s="110"/>
      <c r="Y988" s="110"/>
      <c r="Z988" s="110"/>
    </row>
    <row r="989">
      <c r="A989" s="70"/>
      <c r="B989" s="70"/>
      <c r="D989" s="154"/>
      <c r="O989" s="92"/>
      <c r="P989" s="110"/>
      <c r="Q989" s="110"/>
      <c r="R989" s="110"/>
      <c r="S989" s="110"/>
      <c r="T989" s="110"/>
      <c r="U989" s="110"/>
      <c r="V989" s="110"/>
      <c r="W989" s="110"/>
      <c r="X989" s="110"/>
      <c r="Y989" s="110"/>
      <c r="Z989" s="110"/>
    </row>
    <row r="990">
      <c r="A990" s="70"/>
      <c r="B990" s="70"/>
      <c r="D990" s="154"/>
      <c r="O990" s="92"/>
      <c r="P990" s="110"/>
      <c r="Q990" s="110"/>
      <c r="R990" s="110"/>
      <c r="S990" s="110"/>
      <c r="T990" s="110"/>
      <c r="U990" s="110"/>
      <c r="V990" s="110"/>
      <c r="W990" s="110"/>
      <c r="X990" s="110"/>
      <c r="Y990" s="110"/>
      <c r="Z990" s="110"/>
    </row>
    <row r="991">
      <c r="A991" s="70"/>
      <c r="B991" s="70"/>
      <c r="D991" s="154"/>
      <c r="O991" s="92"/>
      <c r="P991" s="110"/>
      <c r="Q991" s="110"/>
      <c r="R991" s="110"/>
      <c r="S991" s="110"/>
      <c r="T991" s="110"/>
      <c r="U991" s="110"/>
      <c r="V991" s="110"/>
      <c r="W991" s="110"/>
      <c r="X991" s="110"/>
      <c r="Y991" s="110"/>
      <c r="Z991" s="110"/>
    </row>
    <row r="992">
      <c r="A992" s="70"/>
      <c r="B992" s="70"/>
      <c r="D992" s="154"/>
      <c r="O992" s="92"/>
      <c r="P992" s="110"/>
      <c r="Q992" s="110"/>
      <c r="R992" s="110"/>
      <c r="S992" s="110"/>
      <c r="T992" s="110"/>
      <c r="U992" s="110"/>
      <c r="V992" s="110"/>
      <c r="W992" s="110"/>
      <c r="X992" s="110"/>
      <c r="Y992" s="110"/>
      <c r="Z992" s="110"/>
    </row>
    <row r="993">
      <c r="A993" s="70"/>
      <c r="B993" s="70"/>
      <c r="D993" s="154"/>
      <c r="O993" s="92"/>
      <c r="P993" s="110"/>
      <c r="Q993" s="110"/>
      <c r="R993" s="110"/>
      <c r="S993" s="110"/>
      <c r="T993" s="110"/>
      <c r="U993" s="110"/>
      <c r="V993" s="110"/>
      <c r="W993" s="110"/>
      <c r="X993" s="110"/>
      <c r="Y993" s="110"/>
      <c r="Z993" s="110"/>
    </row>
    <row r="994">
      <c r="A994" s="70"/>
      <c r="B994" s="70"/>
      <c r="D994" s="154"/>
      <c r="O994" s="92"/>
      <c r="P994" s="110"/>
      <c r="Q994" s="110"/>
      <c r="R994" s="110"/>
      <c r="S994" s="110"/>
      <c r="T994" s="110"/>
      <c r="U994" s="110"/>
      <c r="V994" s="110"/>
      <c r="W994" s="110"/>
      <c r="X994" s="110"/>
      <c r="Y994" s="110"/>
      <c r="Z994" s="110"/>
    </row>
    <row r="995">
      <c r="A995" s="70"/>
      <c r="B995" s="70"/>
      <c r="D995" s="154"/>
      <c r="O995" s="92"/>
      <c r="P995" s="110"/>
      <c r="Q995" s="110"/>
      <c r="R995" s="110"/>
      <c r="S995" s="110"/>
      <c r="T995" s="110"/>
      <c r="U995" s="110"/>
      <c r="V995" s="110"/>
      <c r="W995" s="110"/>
      <c r="X995" s="110"/>
      <c r="Y995" s="110"/>
      <c r="Z995" s="110"/>
    </row>
    <row r="996">
      <c r="A996" s="70"/>
      <c r="B996" s="70"/>
      <c r="D996" s="154"/>
      <c r="O996" s="92"/>
      <c r="P996" s="110"/>
      <c r="Q996" s="110"/>
      <c r="R996" s="110"/>
      <c r="S996" s="110"/>
      <c r="T996" s="110"/>
      <c r="U996" s="110"/>
      <c r="V996" s="110"/>
      <c r="W996" s="110"/>
      <c r="X996" s="110"/>
      <c r="Y996" s="110"/>
      <c r="Z996" s="110"/>
    </row>
    <row r="997">
      <c r="A997" s="70"/>
      <c r="B997" s="70"/>
      <c r="D997" s="154"/>
      <c r="O997" s="92"/>
      <c r="P997" s="110"/>
      <c r="Q997" s="110"/>
      <c r="R997" s="110"/>
      <c r="S997" s="110"/>
      <c r="T997" s="110"/>
      <c r="U997" s="110"/>
      <c r="V997" s="110"/>
      <c r="W997" s="110"/>
      <c r="X997" s="110"/>
      <c r="Y997" s="110"/>
      <c r="Z997" s="110"/>
    </row>
    <row r="998">
      <c r="A998" s="70"/>
      <c r="B998" s="70"/>
      <c r="D998" s="154"/>
      <c r="O998" s="92"/>
      <c r="P998" s="110"/>
      <c r="Q998" s="110"/>
      <c r="R998" s="110"/>
      <c r="S998" s="110"/>
      <c r="T998" s="110"/>
      <c r="U998" s="110"/>
      <c r="V998" s="110"/>
      <c r="W998" s="110"/>
      <c r="X998" s="110"/>
      <c r="Y998" s="110"/>
      <c r="Z998" s="110"/>
    </row>
    <row r="999">
      <c r="A999" s="70"/>
      <c r="B999" s="70"/>
      <c r="D999" s="154"/>
      <c r="O999" s="92"/>
      <c r="P999" s="110"/>
      <c r="Q999" s="110"/>
      <c r="R999" s="110"/>
      <c r="S999" s="110"/>
      <c r="T999" s="110"/>
      <c r="U999" s="110"/>
      <c r="V999" s="110"/>
      <c r="W999" s="110"/>
      <c r="X999" s="110"/>
      <c r="Y999" s="110"/>
      <c r="Z999" s="110"/>
    </row>
    <row r="1000">
      <c r="A1000" s="70"/>
      <c r="B1000" s="70"/>
      <c r="D1000" s="154"/>
      <c r="O1000" s="92"/>
      <c r="P1000" s="110"/>
      <c r="Q1000" s="110"/>
      <c r="R1000" s="110"/>
      <c r="S1000" s="110"/>
      <c r="T1000" s="110"/>
      <c r="U1000" s="110"/>
      <c r="V1000" s="110"/>
      <c r="W1000" s="110"/>
      <c r="X1000" s="110"/>
      <c r="Y1000" s="110"/>
      <c r="Z1000" s="110"/>
    </row>
    <row r="1001">
      <c r="A1001" s="70"/>
      <c r="B1001" s="70"/>
      <c r="D1001" s="154"/>
      <c r="O1001" s="92"/>
      <c r="P1001" s="110"/>
      <c r="Q1001" s="110"/>
      <c r="R1001" s="110"/>
      <c r="S1001" s="110"/>
      <c r="T1001" s="110"/>
      <c r="U1001" s="110"/>
      <c r="V1001" s="110"/>
      <c r="W1001" s="110"/>
      <c r="X1001" s="110"/>
      <c r="Y1001" s="110"/>
      <c r="Z1001" s="110"/>
    </row>
    <row r="1002">
      <c r="A1002" s="70"/>
      <c r="B1002" s="70"/>
      <c r="D1002" s="154"/>
      <c r="O1002" s="92"/>
      <c r="P1002" s="110"/>
      <c r="Q1002" s="110"/>
      <c r="R1002" s="110"/>
      <c r="S1002" s="110"/>
      <c r="T1002" s="110"/>
      <c r="U1002" s="110"/>
      <c r="V1002" s="110"/>
      <c r="W1002" s="110"/>
      <c r="X1002" s="110"/>
      <c r="Y1002" s="110"/>
      <c r="Z1002" s="110"/>
    </row>
    <row r="1003">
      <c r="A1003" s="70"/>
      <c r="B1003" s="70"/>
      <c r="D1003" s="154"/>
      <c r="O1003" s="92"/>
      <c r="P1003" s="110"/>
      <c r="Q1003" s="110"/>
      <c r="R1003" s="110"/>
      <c r="S1003" s="110"/>
      <c r="T1003" s="110"/>
      <c r="U1003" s="110"/>
      <c r="V1003" s="110"/>
      <c r="W1003" s="110"/>
      <c r="X1003" s="110"/>
      <c r="Y1003" s="110"/>
      <c r="Z1003" s="110"/>
    </row>
    <row r="1004">
      <c r="A1004" s="70"/>
      <c r="B1004" s="70"/>
      <c r="D1004" s="154"/>
      <c r="O1004" s="92"/>
      <c r="P1004" s="110"/>
      <c r="Q1004" s="110"/>
      <c r="R1004" s="110"/>
      <c r="S1004" s="110"/>
      <c r="T1004" s="110"/>
      <c r="U1004" s="110"/>
      <c r="V1004" s="110"/>
      <c r="W1004" s="110"/>
      <c r="X1004" s="110"/>
      <c r="Y1004" s="110"/>
      <c r="Z1004" s="110"/>
    </row>
    <row r="1005">
      <c r="A1005" s="70"/>
      <c r="B1005" s="70"/>
      <c r="D1005" s="154"/>
      <c r="O1005" s="92"/>
      <c r="P1005" s="110"/>
      <c r="Q1005" s="110"/>
      <c r="R1005" s="110"/>
      <c r="S1005" s="110"/>
      <c r="T1005" s="110"/>
      <c r="U1005" s="110"/>
      <c r="V1005" s="110"/>
      <c r="W1005" s="110"/>
      <c r="X1005" s="110"/>
      <c r="Y1005" s="110"/>
      <c r="Z1005" s="110"/>
    </row>
    <row r="1006">
      <c r="A1006" s="70"/>
      <c r="B1006" s="70"/>
      <c r="D1006" s="154"/>
      <c r="O1006" s="92"/>
      <c r="P1006" s="110"/>
      <c r="Q1006" s="110"/>
      <c r="R1006" s="110"/>
      <c r="S1006" s="110"/>
      <c r="T1006" s="110"/>
      <c r="U1006" s="110"/>
      <c r="V1006" s="110"/>
      <c r="W1006" s="110"/>
      <c r="X1006" s="110"/>
      <c r="Y1006" s="110"/>
      <c r="Z1006" s="110"/>
    </row>
    <row r="1007">
      <c r="A1007" s="70"/>
      <c r="B1007" s="70"/>
      <c r="D1007" s="154"/>
      <c r="O1007" s="92"/>
      <c r="P1007" s="110"/>
      <c r="Q1007" s="110"/>
      <c r="R1007" s="110"/>
      <c r="S1007" s="110"/>
      <c r="T1007" s="110"/>
      <c r="U1007" s="110"/>
      <c r="V1007" s="110"/>
      <c r="W1007" s="110"/>
      <c r="X1007" s="110"/>
      <c r="Y1007" s="110"/>
      <c r="Z1007" s="110"/>
    </row>
    <row r="1008">
      <c r="A1008" s="70"/>
      <c r="B1008" s="70"/>
      <c r="D1008" s="154"/>
      <c r="O1008" s="92"/>
      <c r="P1008" s="110"/>
      <c r="Q1008" s="110"/>
      <c r="R1008" s="110"/>
      <c r="S1008" s="110"/>
      <c r="T1008" s="110"/>
      <c r="U1008" s="110"/>
      <c r="V1008" s="110"/>
      <c r="W1008" s="110"/>
      <c r="X1008" s="110"/>
      <c r="Y1008" s="110"/>
      <c r="Z1008" s="110"/>
    </row>
    <row r="1009">
      <c r="A1009" s="70"/>
      <c r="B1009" s="70"/>
      <c r="D1009" s="154"/>
      <c r="O1009" s="92"/>
      <c r="P1009" s="110"/>
      <c r="Q1009" s="110"/>
      <c r="R1009" s="110"/>
      <c r="S1009" s="110"/>
      <c r="T1009" s="110"/>
      <c r="U1009" s="110"/>
      <c r="V1009" s="110"/>
      <c r="W1009" s="110"/>
      <c r="X1009" s="110"/>
      <c r="Y1009" s="110"/>
      <c r="Z1009" s="110"/>
    </row>
    <row r="1010">
      <c r="A1010" s="70"/>
      <c r="B1010" s="70"/>
      <c r="D1010" s="154"/>
      <c r="O1010" s="92"/>
      <c r="P1010" s="110"/>
      <c r="Q1010" s="110"/>
      <c r="R1010" s="110"/>
      <c r="S1010" s="110"/>
      <c r="T1010" s="110"/>
      <c r="U1010" s="110"/>
      <c r="V1010" s="110"/>
      <c r="W1010" s="110"/>
      <c r="X1010" s="110"/>
      <c r="Y1010" s="110"/>
      <c r="Z1010" s="110"/>
    </row>
    <row r="1011">
      <c r="A1011" s="70"/>
      <c r="B1011" s="70"/>
      <c r="D1011" s="154"/>
      <c r="O1011" s="92"/>
      <c r="P1011" s="110"/>
      <c r="Q1011" s="110"/>
      <c r="R1011" s="110"/>
      <c r="S1011" s="110"/>
      <c r="T1011" s="110"/>
      <c r="U1011" s="110"/>
      <c r="V1011" s="110"/>
      <c r="W1011" s="110"/>
      <c r="X1011" s="110"/>
      <c r="Y1011" s="110"/>
      <c r="Z1011" s="110"/>
    </row>
    <row r="1012">
      <c r="A1012" s="70"/>
      <c r="B1012" s="70"/>
      <c r="D1012" s="154"/>
      <c r="O1012" s="92"/>
      <c r="P1012" s="110"/>
      <c r="Q1012" s="110"/>
      <c r="R1012" s="110"/>
      <c r="S1012" s="110"/>
      <c r="T1012" s="110"/>
      <c r="U1012" s="110"/>
      <c r="V1012" s="110"/>
      <c r="W1012" s="110"/>
      <c r="X1012" s="110"/>
      <c r="Y1012" s="110"/>
      <c r="Z1012" s="110"/>
    </row>
    <row r="1013">
      <c r="A1013" s="70"/>
      <c r="B1013" s="70"/>
      <c r="D1013" s="154"/>
      <c r="O1013" s="92"/>
      <c r="P1013" s="110"/>
      <c r="Q1013" s="110"/>
      <c r="R1013" s="110"/>
      <c r="S1013" s="110"/>
      <c r="T1013" s="110"/>
      <c r="U1013" s="110"/>
      <c r="V1013" s="110"/>
      <c r="W1013" s="110"/>
      <c r="X1013" s="110"/>
      <c r="Y1013" s="110"/>
      <c r="Z1013" s="110"/>
    </row>
    <row r="1014">
      <c r="A1014" s="70"/>
      <c r="B1014" s="70"/>
      <c r="D1014" s="154"/>
      <c r="O1014" s="92"/>
      <c r="P1014" s="110"/>
      <c r="Q1014" s="110"/>
      <c r="R1014" s="110"/>
      <c r="S1014" s="110"/>
      <c r="T1014" s="110"/>
      <c r="U1014" s="110"/>
      <c r="V1014" s="110"/>
      <c r="W1014" s="110"/>
      <c r="X1014" s="110"/>
      <c r="Y1014" s="110"/>
      <c r="Z1014" s="110"/>
    </row>
    <row r="1015">
      <c r="A1015" s="70"/>
      <c r="B1015" s="70"/>
      <c r="D1015" s="154"/>
      <c r="O1015" s="92"/>
      <c r="P1015" s="110"/>
      <c r="Q1015" s="110"/>
      <c r="R1015" s="110"/>
      <c r="S1015" s="110"/>
      <c r="T1015" s="110"/>
      <c r="U1015" s="110"/>
      <c r="V1015" s="110"/>
      <c r="W1015" s="110"/>
      <c r="X1015" s="110"/>
      <c r="Y1015" s="110"/>
      <c r="Z1015" s="110"/>
    </row>
    <row r="1016">
      <c r="A1016" s="70"/>
      <c r="B1016" s="70"/>
      <c r="D1016" s="154"/>
      <c r="O1016" s="92"/>
      <c r="P1016" s="110"/>
      <c r="Q1016" s="110"/>
      <c r="R1016" s="110"/>
      <c r="S1016" s="110"/>
      <c r="T1016" s="110"/>
      <c r="U1016" s="110"/>
      <c r="V1016" s="110"/>
      <c r="W1016" s="110"/>
      <c r="X1016" s="110"/>
      <c r="Y1016" s="110"/>
      <c r="Z1016" s="110"/>
    </row>
    <row r="1017">
      <c r="A1017" s="70"/>
      <c r="B1017" s="70"/>
      <c r="D1017" s="154"/>
      <c r="O1017" s="92"/>
      <c r="P1017" s="110"/>
      <c r="Q1017" s="110"/>
      <c r="R1017" s="110"/>
      <c r="S1017" s="110"/>
      <c r="T1017" s="110"/>
      <c r="U1017" s="110"/>
      <c r="V1017" s="110"/>
      <c r="W1017" s="110"/>
      <c r="X1017" s="110"/>
      <c r="Y1017" s="110"/>
      <c r="Z1017" s="110"/>
    </row>
    <row r="1018">
      <c r="A1018" s="70"/>
      <c r="B1018" s="70"/>
      <c r="D1018" s="154"/>
      <c r="O1018" s="92"/>
      <c r="P1018" s="110"/>
      <c r="Q1018" s="110"/>
      <c r="R1018" s="110"/>
      <c r="S1018" s="110"/>
      <c r="T1018" s="110"/>
      <c r="U1018" s="110"/>
      <c r="V1018" s="110"/>
      <c r="W1018" s="110"/>
      <c r="X1018" s="110"/>
      <c r="Y1018" s="110"/>
      <c r="Z1018" s="110"/>
    </row>
    <row r="1019">
      <c r="A1019" s="70"/>
      <c r="B1019" s="70"/>
      <c r="D1019" s="154"/>
      <c r="O1019" s="92"/>
      <c r="P1019" s="110"/>
      <c r="Q1019" s="110"/>
      <c r="R1019" s="110"/>
      <c r="S1019" s="110"/>
      <c r="T1019" s="110"/>
      <c r="U1019" s="110"/>
      <c r="V1019" s="110"/>
      <c r="W1019" s="110"/>
      <c r="X1019" s="110"/>
      <c r="Y1019" s="110"/>
      <c r="Z1019" s="110"/>
    </row>
    <row r="1020">
      <c r="A1020" s="70"/>
      <c r="B1020" s="70"/>
      <c r="D1020" s="154"/>
      <c r="O1020" s="92"/>
      <c r="P1020" s="110"/>
      <c r="Q1020" s="110"/>
      <c r="R1020" s="110"/>
      <c r="S1020" s="110"/>
      <c r="T1020" s="110"/>
      <c r="U1020" s="110"/>
      <c r="V1020" s="110"/>
      <c r="W1020" s="110"/>
      <c r="X1020" s="110"/>
      <c r="Y1020" s="110"/>
      <c r="Z1020" s="110"/>
    </row>
    <row r="1021">
      <c r="A1021" s="70"/>
      <c r="B1021" s="70"/>
      <c r="D1021" s="154"/>
      <c r="O1021" s="92"/>
      <c r="P1021" s="110"/>
      <c r="Q1021" s="110"/>
      <c r="R1021" s="110"/>
      <c r="S1021" s="110"/>
      <c r="T1021" s="110"/>
      <c r="U1021" s="110"/>
      <c r="V1021" s="110"/>
      <c r="W1021" s="110"/>
      <c r="X1021" s="110"/>
      <c r="Y1021" s="110"/>
      <c r="Z1021" s="110"/>
    </row>
    <row r="1022">
      <c r="A1022" s="70"/>
      <c r="B1022" s="70"/>
      <c r="D1022" s="154"/>
      <c r="O1022" s="92"/>
      <c r="P1022" s="110"/>
      <c r="Q1022" s="110"/>
      <c r="R1022" s="110"/>
      <c r="S1022" s="110"/>
      <c r="T1022" s="110"/>
      <c r="U1022" s="110"/>
      <c r="V1022" s="110"/>
      <c r="W1022" s="110"/>
      <c r="X1022" s="110"/>
      <c r="Y1022" s="110"/>
      <c r="Z1022" s="110"/>
    </row>
    <row r="1023">
      <c r="A1023" s="70"/>
      <c r="B1023" s="70"/>
      <c r="D1023" s="154"/>
      <c r="O1023" s="92"/>
      <c r="P1023" s="110"/>
      <c r="Q1023" s="110"/>
      <c r="R1023" s="110"/>
      <c r="S1023" s="110"/>
      <c r="T1023" s="110"/>
      <c r="U1023" s="110"/>
      <c r="V1023" s="110"/>
      <c r="W1023" s="110"/>
      <c r="X1023" s="110"/>
      <c r="Y1023" s="110"/>
      <c r="Z1023" s="110"/>
    </row>
    <row r="1024">
      <c r="A1024" s="70"/>
      <c r="B1024" s="70"/>
      <c r="D1024" s="154"/>
      <c r="O1024" s="92"/>
      <c r="P1024" s="110"/>
      <c r="Q1024" s="110"/>
      <c r="R1024" s="110"/>
      <c r="S1024" s="110"/>
      <c r="T1024" s="110"/>
      <c r="U1024" s="110"/>
      <c r="V1024" s="110"/>
      <c r="W1024" s="110"/>
      <c r="X1024" s="110"/>
      <c r="Y1024" s="110"/>
      <c r="Z1024" s="110"/>
    </row>
    <row r="1025">
      <c r="A1025" s="70"/>
      <c r="B1025" s="70"/>
      <c r="D1025" s="154"/>
      <c r="O1025" s="92"/>
      <c r="P1025" s="110"/>
      <c r="Q1025" s="110"/>
      <c r="R1025" s="110"/>
      <c r="S1025" s="110"/>
      <c r="T1025" s="110"/>
      <c r="U1025" s="110"/>
      <c r="V1025" s="110"/>
      <c r="W1025" s="110"/>
      <c r="X1025" s="110"/>
      <c r="Y1025" s="110"/>
      <c r="Z1025" s="110"/>
    </row>
    <row r="1026">
      <c r="A1026" s="70"/>
      <c r="B1026" s="70"/>
      <c r="D1026" s="154"/>
      <c r="O1026" s="92"/>
      <c r="P1026" s="110"/>
      <c r="Q1026" s="110"/>
      <c r="R1026" s="110"/>
      <c r="S1026" s="110"/>
      <c r="T1026" s="110"/>
      <c r="U1026" s="110"/>
      <c r="V1026" s="110"/>
      <c r="W1026" s="110"/>
      <c r="X1026" s="110"/>
      <c r="Y1026" s="110"/>
      <c r="Z1026" s="110"/>
    </row>
    <row r="1027">
      <c r="A1027" s="70"/>
      <c r="B1027" s="70"/>
      <c r="D1027" s="154"/>
      <c r="O1027" s="92"/>
      <c r="P1027" s="110"/>
      <c r="Q1027" s="110"/>
      <c r="R1027" s="110"/>
      <c r="S1027" s="110"/>
      <c r="T1027" s="110"/>
      <c r="U1027" s="110"/>
      <c r="V1027" s="110"/>
      <c r="W1027" s="110"/>
      <c r="X1027" s="110"/>
      <c r="Y1027" s="110"/>
      <c r="Z1027" s="110"/>
    </row>
    <row r="1028">
      <c r="A1028" s="70"/>
      <c r="B1028" s="70"/>
      <c r="D1028" s="154"/>
      <c r="O1028" s="92"/>
      <c r="P1028" s="110"/>
      <c r="Q1028" s="110"/>
      <c r="R1028" s="110"/>
      <c r="S1028" s="110"/>
      <c r="T1028" s="110"/>
      <c r="U1028" s="110"/>
      <c r="V1028" s="110"/>
      <c r="W1028" s="110"/>
      <c r="X1028" s="110"/>
      <c r="Y1028" s="110"/>
      <c r="Z1028" s="110"/>
    </row>
    <row r="1029">
      <c r="A1029" s="70"/>
      <c r="B1029" s="70"/>
      <c r="D1029" s="154"/>
      <c r="O1029" s="92"/>
      <c r="P1029" s="110"/>
      <c r="Q1029" s="110"/>
      <c r="R1029" s="110"/>
      <c r="S1029" s="110"/>
      <c r="T1029" s="110"/>
      <c r="U1029" s="110"/>
      <c r="V1029" s="110"/>
      <c r="W1029" s="110"/>
      <c r="X1029" s="110"/>
      <c r="Y1029" s="110"/>
      <c r="Z1029" s="110"/>
    </row>
    <row r="1030">
      <c r="A1030" s="70"/>
      <c r="B1030" s="70"/>
      <c r="D1030" s="154"/>
      <c r="O1030" s="92"/>
      <c r="P1030" s="110"/>
      <c r="Q1030" s="110"/>
      <c r="R1030" s="110"/>
      <c r="S1030" s="110"/>
      <c r="T1030" s="110"/>
      <c r="U1030" s="110"/>
      <c r="V1030" s="110"/>
      <c r="W1030" s="110"/>
      <c r="X1030" s="110"/>
      <c r="Y1030" s="110"/>
      <c r="Z1030" s="110"/>
    </row>
    <row r="1031">
      <c r="A1031" s="70"/>
      <c r="B1031" s="70"/>
      <c r="D1031" s="154"/>
      <c r="O1031" s="92"/>
      <c r="P1031" s="110"/>
      <c r="Q1031" s="110"/>
      <c r="R1031" s="110"/>
      <c r="S1031" s="110"/>
      <c r="T1031" s="110"/>
      <c r="U1031" s="110"/>
      <c r="V1031" s="110"/>
      <c r="W1031" s="110"/>
      <c r="X1031" s="110"/>
      <c r="Y1031" s="110"/>
      <c r="Z1031" s="110"/>
    </row>
    <row r="1032">
      <c r="A1032" s="70"/>
      <c r="B1032" s="70"/>
      <c r="D1032" s="154"/>
      <c r="O1032" s="92"/>
      <c r="P1032" s="110"/>
      <c r="Q1032" s="110"/>
      <c r="R1032" s="110"/>
      <c r="S1032" s="110"/>
      <c r="T1032" s="110"/>
      <c r="U1032" s="110"/>
      <c r="V1032" s="110"/>
      <c r="W1032" s="110"/>
      <c r="X1032" s="110"/>
      <c r="Y1032" s="110"/>
      <c r="Z1032" s="110"/>
    </row>
    <row r="1033">
      <c r="A1033" s="70"/>
      <c r="B1033" s="70"/>
      <c r="D1033" s="154"/>
      <c r="O1033" s="92"/>
      <c r="P1033" s="110"/>
      <c r="Q1033" s="110"/>
      <c r="R1033" s="110"/>
      <c r="S1033" s="110"/>
      <c r="T1033" s="110"/>
      <c r="U1033" s="110"/>
      <c r="V1033" s="110"/>
      <c r="W1033" s="110"/>
      <c r="X1033" s="110"/>
      <c r="Y1033" s="110"/>
      <c r="Z1033" s="110"/>
    </row>
    <row r="1034">
      <c r="A1034" s="70"/>
      <c r="B1034" s="70"/>
      <c r="D1034" s="154"/>
      <c r="O1034" s="92"/>
      <c r="P1034" s="110"/>
      <c r="Q1034" s="110"/>
      <c r="R1034" s="110"/>
      <c r="S1034" s="110"/>
      <c r="T1034" s="110"/>
      <c r="U1034" s="110"/>
      <c r="V1034" s="110"/>
      <c r="W1034" s="110"/>
      <c r="X1034" s="110"/>
      <c r="Y1034" s="110"/>
      <c r="Z1034" s="110"/>
    </row>
    <row r="1035">
      <c r="A1035" s="70"/>
      <c r="B1035" s="70"/>
      <c r="D1035" s="154"/>
      <c r="O1035" s="92"/>
      <c r="P1035" s="110"/>
      <c r="Q1035" s="110"/>
      <c r="R1035" s="110"/>
      <c r="S1035" s="110"/>
      <c r="T1035" s="110"/>
      <c r="U1035" s="110"/>
      <c r="V1035" s="110"/>
      <c r="W1035" s="110"/>
      <c r="X1035" s="110"/>
      <c r="Y1035" s="110"/>
      <c r="Z1035" s="110"/>
    </row>
    <row r="1036">
      <c r="A1036" s="70"/>
      <c r="B1036" s="70"/>
      <c r="D1036" s="154"/>
      <c r="O1036" s="92"/>
      <c r="P1036" s="110"/>
      <c r="Q1036" s="110"/>
      <c r="R1036" s="110"/>
      <c r="S1036" s="110"/>
      <c r="T1036" s="110"/>
      <c r="U1036" s="110"/>
      <c r="V1036" s="110"/>
      <c r="W1036" s="110"/>
      <c r="X1036" s="110"/>
      <c r="Y1036" s="110"/>
      <c r="Z1036" s="110"/>
    </row>
    <row r="1037">
      <c r="A1037" s="70"/>
      <c r="B1037" s="70"/>
      <c r="D1037" s="154"/>
      <c r="O1037" s="92"/>
      <c r="P1037" s="110"/>
      <c r="Q1037" s="110"/>
      <c r="R1037" s="110"/>
      <c r="S1037" s="110"/>
      <c r="T1037" s="110"/>
      <c r="U1037" s="110"/>
      <c r="V1037" s="110"/>
      <c r="W1037" s="110"/>
      <c r="X1037" s="110"/>
      <c r="Y1037" s="110"/>
      <c r="Z1037" s="110"/>
    </row>
    <row r="1038">
      <c r="A1038" s="70"/>
      <c r="B1038" s="70"/>
      <c r="D1038" s="154"/>
      <c r="O1038" s="92"/>
      <c r="P1038" s="110"/>
      <c r="Q1038" s="110"/>
      <c r="R1038" s="110"/>
      <c r="S1038" s="110"/>
      <c r="T1038" s="110"/>
      <c r="U1038" s="110"/>
      <c r="V1038" s="110"/>
      <c r="W1038" s="110"/>
      <c r="X1038" s="110"/>
      <c r="Y1038" s="110"/>
      <c r="Z1038" s="110"/>
    </row>
    <row r="1039">
      <c r="A1039" s="70"/>
      <c r="B1039" s="70"/>
      <c r="D1039" s="154"/>
      <c r="O1039" s="92"/>
      <c r="P1039" s="110"/>
      <c r="Q1039" s="110"/>
      <c r="R1039" s="110"/>
      <c r="S1039" s="110"/>
      <c r="T1039" s="110"/>
      <c r="U1039" s="110"/>
      <c r="V1039" s="110"/>
      <c r="W1039" s="110"/>
      <c r="X1039" s="110"/>
      <c r="Y1039" s="110"/>
      <c r="Z1039" s="110"/>
    </row>
    <row r="1040">
      <c r="A1040" s="70"/>
      <c r="B1040" s="70"/>
      <c r="D1040" s="154"/>
      <c r="O1040" s="92"/>
      <c r="P1040" s="110"/>
      <c r="Q1040" s="110"/>
      <c r="R1040" s="110"/>
      <c r="S1040" s="110"/>
      <c r="T1040" s="110"/>
      <c r="U1040" s="110"/>
      <c r="V1040" s="110"/>
      <c r="W1040" s="110"/>
      <c r="X1040" s="110"/>
      <c r="Y1040" s="110"/>
      <c r="Z1040" s="110"/>
    </row>
    <row r="1041">
      <c r="A1041" s="70"/>
      <c r="B1041" s="70"/>
      <c r="D1041" s="154"/>
      <c r="O1041" s="92"/>
      <c r="P1041" s="110"/>
      <c r="Q1041" s="110"/>
      <c r="R1041" s="110"/>
      <c r="S1041" s="110"/>
      <c r="T1041" s="110"/>
      <c r="U1041" s="110"/>
      <c r="V1041" s="110"/>
      <c r="W1041" s="110"/>
      <c r="X1041" s="110"/>
      <c r="Y1041" s="110"/>
      <c r="Z1041" s="110"/>
    </row>
    <row r="1042">
      <c r="A1042" s="70"/>
      <c r="B1042" s="70"/>
      <c r="D1042" s="154"/>
      <c r="O1042" s="92"/>
      <c r="P1042" s="110"/>
      <c r="Q1042" s="110"/>
      <c r="R1042" s="110"/>
      <c r="S1042" s="110"/>
      <c r="T1042" s="110"/>
      <c r="U1042" s="110"/>
      <c r="V1042" s="110"/>
      <c r="W1042" s="110"/>
      <c r="X1042" s="110"/>
      <c r="Y1042" s="110"/>
      <c r="Z1042" s="110"/>
    </row>
    <row r="1043">
      <c r="A1043" s="70"/>
      <c r="B1043" s="70"/>
      <c r="D1043" s="154"/>
      <c r="O1043" s="92"/>
      <c r="P1043" s="110"/>
      <c r="Q1043" s="110"/>
      <c r="R1043" s="110"/>
      <c r="S1043" s="110"/>
      <c r="T1043" s="110"/>
      <c r="U1043" s="110"/>
      <c r="V1043" s="110"/>
      <c r="W1043" s="110"/>
      <c r="X1043" s="110"/>
      <c r="Y1043" s="110"/>
      <c r="Z1043" s="110"/>
    </row>
    <row r="1044">
      <c r="A1044" s="70"/>
      <c r="B1044" s="70"/>
      <c r="D1044" s="154"/>
      <c r="O1044" s="92"/>
      <c r="P1044" s="110"/>
      <c r="Q1044" s="110"/>
      <c r="R1044" s="110"/>
      <c r="S1044" s="110"/>
      <c r="T1044" s="110"/>
      <c r="U1044" s="110"/>
      <c r="V1044" s="110"/>
      <c r="W1044" s="110"/>
      <c r="X1044" s="110"/>
      <c r="Y1044" s="110"/>
      <c r="Z1044" s="110"/>
    </row>
    <row r="1045">
      <c r="A1045" s="70"/>
      <c r="B1045" s="70"/>
      <c r="D1045" s="154"/>
      <c r="O1045" s="92"/>
      <c r="P1045" s="110"/>
      <c r="Q1045" s="110"/>
      <c r="R1045" s="110"/>
      <c r="S1045" s="110"/>
      <c r="T1045" s="110"/>
      <c r="U1045" s="110"/>
      <c r="V1045" s="110"/>
      <c r="W1045" s="110"/>
      <c r="X1045" s="110"/>
      <c r="Y1045" s="110"/>
      <c r="Z1045" s="110"/>
    </row>
    <row r="1046">
      <c r="A1046" s="70"/>
      <c r="B1046" s="70"/>
      <c r="D1046" s="154"/>
      <c r="O1046" s="92"/>
      <c r="P1046" s="110"/>
      <c r="Q1046" s="110"/>
      <c r="R1046" s="110"/>
      <c r="S1046" s="110"/>
      <c r="T1046" s="110"/>
      <c r="U1046" s="110"/>
      <c r="V1046" s="110"/>
      <c r="W1046" s="110"/>
      <c r="X1046" s="110"/>
      <c r="Y1046" s="110"/>
      <c r="Z1046" s="110"/>
    </row>
    <row r="1047">
      <c r="A1047" s="70"/>
      <c r="B1047" s="70"/>
      <c r="D1047" s="154"/>
      <c r="O1047" s="92"/>
      <c r="P1047" s="110"/>
      <c r="Q1047" s="110"/>
      <c r="R1047" s="110"/>
      <c r="S1047" s="110"/>
      <c r="T1047" s="110"/>
      <c r="U1047" s="110"/>
      <c r="V1047" s="110"/>
      <c r="W1047" s="110"/>
      <c r="X1047" s="110"/>
      <c r="Y1047" s="110"/>
      <c r="Z1047" s="110"/>
    </row>
    <row r="1048">
      <c r="A1048" s="70"/>
      <c r="B1048" s="70"/>
      <c r="D1048" s="154"/>
      <c r="O1048" s="92"/>
      <c r="P1048" s="110"/>
      <c r="Q1048" s="110"/>
      <c r="R1048" s="110"/>
      <c r="S1048" s="110"/>
      <c r="T1048" s="110"/>
      <c r="U1048" s="110"/>
      <c r="V1048" s="110"/>
      <c r="W1048" s="110"/>
      <c r="X1048" s="110"/>
      <c r="Y1048" s="110"/>
      <c r="Z1048" s="110"/>
    </row>
    <row r="1049">
      <c r="A1049" s="70"/>
      <c r="B1049" s="70"/>
      <c r="D1049" s="154"/>
      <c r="O1049" s="92"/>
      <c r="P1049" s="110"/>
      <c r="Q1049" s="110"/>
      <c r="R1049" s="110"/>
      <c r="S1049" s="110"/>
      <c r="T1049" s="110"/>
      <c r="U1049" s="110"/>
      <c r="V1049" s="110"/>
      <c r="W1049" s="110"/>
      <c r="X1049" s="110"/>
      <c r="Y1049" s="110"/>
      <c r="Z1049" s="110"/>
    </row>
    <row r="1050">
      <c r="A1050" s="70"/>
      <c r="B1050" s="70"/>
      <c r="D1050" s="154"/>
      <c r="O1050" s="92"/>
      <c r="P1050" s="110"/>
      <c r="Q1050" s="110"/>
      <c r="R1050" s="110"/>
      <c r="S1050" s="110"/>
      <c r="T1050" s="110"/>
      <c r="U1050" s="110"/>
      <c r="V1050" s="110"/>
      <c r="W1050" s="110"/>
      <c r="X1050" s="110"/>
      <c r="Y1050" s="110"/>
      <c r="Z1050" s="110"/>
    </row>
    <row r="1051">
      <c r="A1051" s="70"/>
      <c r="B1051" s="70"/>
      <c r="D1051" s="154"/>
      <c r="O1051" s="92"/>
      <c r="P1051" s="110"/>
      <c r="Q1051" s="110"/>
      <c r="R1051" s="110"/>
      <c r="S1051" s="110"/>
      <c r="T1051" s="110"/>
      <c r="U1051" s="110"/>
      <c r="V1051" s="110"/>
      <c r="W1051" s="110"/>
      <c r="X1051" s="110"/>
      <c r="Y1051" s="110"/>
      <c r="Z1051" s="110"/>
    </row>
    <row r="1052">
      <c r="A1052" s="70"/>
      <c r="B1052" s="70"/>
      <c r="D1052" s="154"/>
      <c r="O1052" s="92"/>
      <c r="P1052" s="110"/>
      <c r="Q1052" s="110"/>
      <c r="R1052" s="110"/>
      <c r="S1052" s="110"/>
      <c r="T1052" s="110"/>
      <c r="U1052" s="110"/>
      <c r="V1052" s="110"/>
      <c r="W1052" s="110"/>
      <c r="X1052" s="110"/>
      <c r="Y1052" s="110"/>
      <c r="Z1052" s="110"/>
    </row>
    <row r="1053">
      <c r="A1053" s="70"/>
      <c r="B1053" s="70"/>
      <c r="D1053" s="154"/>
      <c r="O1053" s="92"/>
      <c r="P1053" s="110"/>
      <c r="Q1053" s="110"/>
      <c r="R1053" s="110"/>
      <c r="S1053" s="110"/>
      <c r="T1053" s="110"/>
      <c r="U1053" s="110"/>
      <c r="V1053" s="110"/>
      <c r="W1053" s="110"/>
      <c r="X1053" s="110"/>
      <c r="Y1053" s="110"/>
      <c r="Z1053" s="110"/>
    </row>
    <row r="1054">
      <c r="A1054" s="70"/>
      <c r="B1054" s="70"/>
      <c r="D1054" s="154"/>
      <c r="O1054" s="92"/>
      <c r="P1054" s="110"/>
      <c r="Q1054" s="110"/>
      <c r="R1054" s="110"/>
      <c r="S1054" s="110"/>
      <c r="T1054" s="110"/>
      <c r="U1054" s="110"/>
      <c r="V1054" s="110"/>
      <c r="W1054" s="110"/>
      <c r="X1054" s="110"/>
      <c r="Y1054" s="110"/>
      <c r="Z1054" s="110"/>
    </row>
    <row r="1055">
      <c r="A1055" s="70"/>
      <c r="B1055" s="70"/>
      <c r="D1055" s="154"/>
      <c r="O1055" s="92"/>
      <c r="P1055" s="110"/>
      <c r="Q1055" s="110"/>
      <c r="R1055" s="110"/>
      <c r="S1055" s="110"/>
      <c r="T1055" s="110"/>
      <c r="U1055" s="110"/>
      <c r="V1055" s="110"/>
      <c r="W1055" s="110"/>
      <c r="X1055" s="110"/>
      <c r="Y1055" s="110"/>
      <c r="Z1055" s="110"/>
    </row>
    <row r="1056">
      <c r="A1056" s="70"/>
      <c r="B1056" s="70"/>
      <c r="D1056" s="154"/>
      <c r="O1056" s="92"/>
      <c r="P1056" s="110"/>
      <c r="Q1056" s="110"/>
      <c r="R1056" s="110"/>
      <c r="S1056" s="110"/>
      <c r="T1056" s="110"/>
      <c r="U1056" s="110"/>
      <c r="V1056" s="110"/>
      <c r="W1056" s="110"/>
      <c r="X1056" s="110"/>
      <c r="Y1056" s="110"/>
      <c r="Z1056" s="110"/>
    </row>
    <row r="1057">
      <c r="A1057" s="70"/>
      <c r="B1057" s="70"/>
      <c r="D1057" s="154"/>
      <c r="O1057" s="92"/>
      <c r="P1057" s="110"/>
      <c r="Q1057" s="110"/>
      <c r="R1057" s="110"/>
      <c r="S1057" s="110"/>
      <c r="T1057" s="110"/>
      <c r="U1057" s="110"/>
      <c r="V1057" s="110"/>
      <c r="W1057" s="110"/>
      <c r="X1057" s="110"/>
      <c r="Y1057" s="110"/>
      <c r="Z1057" s="110"/>
    </row>
    <row r="1058">
      <c r="A1058" s="70"/>
      <c r="B1058" s="70"/>
      <c r="D1058" s="154"/>
      <c r="O1058" s="92"/>
      <c r="P1058" s="110"/>
      <c r="Q1058" s="110"/>
      <c r="R1058" s="110"/>
      <c r="S1058" s="110"/>
      <c r="T1058" s="110"/>
      <c r="U1058" s="110"/>
      <c r="V1058" s="110"/>
      <c r="W1058" s="110"/>
      <c r="X1058" s="110"/>
      <c r="Y1058" s="110"/>
      <c r="Z1058" s="110"/>
    </row>
    <row r="1059">
      <c r="A1059" s="70"/>
      <c r="B1059" s="70"/>
      <c r="D1059" s="154"/>
      <c r="O1059" s="92"/>
      <c r="P1059" s="110"/>
      <c r="Q1059" s="110"/>
      <c r="R1059" s="110"/>
      <c r="S1059" s="110"/>
      <c r="T1059" s="110"/>
      <c r="U1059" s="110"/>
      <c r="V1059" s="110"/>
      <c r="W1059" s="110"/>
      <c r="X1059" s="110"/>
      <c r="Y1059" s="110"/>
      <c r="Z1059" s="110"/>
    </row>
    <row r="1060">
      <c r="A1060" s="70"/>
      <c r="B1060" s="70"/>
      <c r="D1060" s="154"/>
      <c r="O1060" s="92"/>
      <c r="P1060" s="110"/>
      <c r="Q1060" s="110"/>
      <c r="R1060" s="110"/>
      <c r="S1060" s="110"/>
      <c r="T1060" s="110"/>
      <c r="U1060" s="110"/>
      <c r="V1060" s="110"/>
      <c r="W1060" s="110"/>
      <c r="X1060" s="110"/>
      <c r="Y1060" s="110"/>
      <c r="Z1060" s="110"/>
    </row>
    <row r="1061">
      <c r="A1061" s="70"/>
      <c r="B1061" s="70"/>
      <c r="D1061" s="154"/>
      <c r="O1061" s="92"/>
      <c r="P1061" s="110"/>
      <c r="Q1061" s="110"/>
      <c r="R1061" s="110"/>
      <c r="S1061" s="110"/>
      <c r="T1061" s="110"/>
      <c r="U1061" s="110"/>
      <c r="V1061" s="110"/>
      <c r="W1061" s="110"/>
      <c r="X1061" s="110"/>
      <c r="Y1061" s="110"/>
      <c r="Z1061" s="110"/>
    </row>
    <row r="1062">
      <c r="A1062" s="70"/>
      <c r="B1062" s="70"/>
      <c r="D1062" s="154"/>
      <c r="O1062" s="92"/>
      <c r="P1062" s="110"/>
      <c r="Q1062" s="110"/>
      <c r="R1062" s="110"/>
      <c r="S1062" s="110"/>
      <c r="T1062" s="110"/>
      <c r="U1062" s="110"/>
      <c r="V1062" s="110"/>
      <c r="W1062" s="110"/>
      <c r="X1062" s="110"/>
      <c r="Y1062" s="110"/>
      <c r="Z1062" s="110"/>
    </row>
    <row r="1063">
      <c r="A1063" s="70"/>
      <c r="B1063" s="70"/>
      <c r="D1063" s="154"/>
      <c r="O1063" s="92"/>
      <c r="P1063" s="110"/>
      <c r="Q1063" s="110"/>
      <c r="R1063" s="110"/>
      <c r="S1063" s="110"/>
      <c r="T1063" s="110"/>
      <c r="U1063" s="110"/>
      <c r="V1063" s="110"/>
      <c r="W1063" s="110"/>
      <c r="X1063" s="110"/>
      <c r="Y1063" s="110"/>
      <c r="Z1063" s="110"/>
    </row>
    <row r="1064">
      <c r="A1064" s="70"/>
      <c r="B1064" s="70"/>
      <c r="D1064" s="154"/>
      <c r="O1064" s="92"/>
      <c r="P1064" s="110"/>
      <c r="Q1064" s="110"/>
      <c r="R1064" s="110"/>
      <c r="S1064" s="110"/>
      <c r="T1064" s="110"/>
      <c r="U1064" s="110"/>
      <c r="V1064" s="110"/>
      <c r="W1064" s="110"/>
      <c r="X1064" s="110"/>
      <c r="Y1064" s="110"/>
      <c r="Z1064" s="110"/>
    </row>
    <row r="1065">
      <c r="A1065" s="70"/>
      <c r="B1065" s="70"/>
      <c r="D1065" s="154"/>
      <c r="O1065" s="92"/>
      <c r="P1065" s="110"/>
      <c r="Q1065" s="110"/>
      <c r="R1065" s="110"/>
      <c r="S1065" s="110"/>
      <c r="T1065" s="110"/>
      <c r="U1065" s="110"/>
      <c r="V1065" s="110"/>
      <c r="W1065" s="110"/>
      <c r="X1065" s="110"/>
      <c r="Y1065" s="110"/>
      <c r="Z1065" s="110"/>
    </row>
    <row r="1066">
      <c r="A1066" s="70"/>
      <c r="B1066" s="70"/>
      <c r="D1066" s="154"/>
      <c r="O1066" s="92"/>
      <c r="P1066" s="110"/>
      <c r="Q1066" s="110"/>
      <c r="R1066" s="110"/>
      <c r="S1066" s="110"/>
      <c r="T1066" s="110"/>
      <c r="U1066" s="110"/>
      <c r="V1066" s="110"/>
      <c r="W1066" s="110"/>
      <c r="X1066" s="110"/>
      <c r="Y1066" s="110"/>
      <c r="Z1066" s="110"/>
    </row>
    <row r="1067">
      <c r="A1067" s="70"/>
      <c r="B1067" s="70"/>
      <c r="D1067" s="154"/>
      <c r="O1067" s="92"/>
      <c r="P1067" s="110"/>
      <c r="Q1067" s="110"/>
      <c r="R1067" s="110"/>
      <c r="S1067" s="110"/>
      <c r="T1067" s="110"/>
      <c r="U1067" s="110"/>
      <c r="V1067" s="110"/>
      <c r="W1067" s="110"/>
      <c r="X1067" s="110"/>
      <c r="Y1067" s="110"/>
      <c r="Z1067" s="110"/>
    </row>
    <row r="1068">
      <c r="A1068" s="70"/>
      <c r="B1068" s="70"/>
      <c r="D1068" s="154"/>
      <c r="O1068" s="92"/>
      <c r="P1068" s="110"/>
      <c r="Q1068" s="110"/>
      <c r="R1068" s="110"/>
      <c r="S1068" s="110"/>
      <c r="T1068" s="110"/>
      <c r="U1068" s="110"/>
      <c r="V1068" s="110"/>
      <c r="W1068" s="110"/>
      <c r="X1068" s="110"/>
      <c r="Y1068" s="110"/>
      <c r="Z1068" s="110"/>
    </row>
    <row r="1069">
      <c r="A1069" s="70"/>
      <c r="B1069" s="70"/>
      <c r="D1069" s="154"/>
      <c r="O1069" s="92"/>
      <c r="P1069" s="110"/>
      <c r="Q1069" s="110"/>
      <c r="R1069" s="110"/>
      <c r="S1069" s="110"/>
      <c r="T1069" s="110"/>
      <c r="U1069" s="110"/>
      <c r="V1069" s="110"/>
      <c r="W1069" s="110"/>
      <c r="X1069" s="110"/>
      <c r="Y1069" s="110"/>
      <c r="Z1069" s="110"/>
    </row>
    <row r="1070">
      <c r="A1070" s="70"/>
      <c r="B1070" s="70"/>
      <c r="D1070" s="154"/>
      <c r="O1070" s="92"/>
      <c r="P1070" s="110"/>
      <c r="Q1070" s="110"/>
      <c r="R1070" s="110"/>
      <c r="S1070" s="110"/>
      <c r="T1070" s="110"/>
      <c r="U1070" s="110"/>
      <c r="V1070" s="110"/>
      <c r="W1070" s="110"/>
      <c r="X1070" s="110"/>
      <c r="Y1070" s="110"/>
      <c r="Z1070" s="110"/>
    </row>
    <row r="1071">
      <c r="A1071" s="70"/>
      <c r="B1071" s="70"/>
      <c r="D1071" s="154"/>
      <c r="O1071" s="92"/>
      <c r="P1071" s="110"/>
      <c r="Q1071" s="110"/>
      <c r="R1071" s="110"/>
      <c r="S1071" s="110"/>
      <c r="T1071" s="110"/>
      <c r="U1071" s="110"/>
      <c r="V1071" s="110"/>
      <c r="W1071" s="110"/>
      <c r="X1071" s="110"/>
      <c r="Y1071" s="110"/>
      <c r="Z1071" s="110"/>
    </row>
    <row r="1072">
      <c r="A1072" s="70"/>
      <c r="B1072" s="70"/>
      <c r="D1072" s="154"/>
      <c r="O1072" s="92"/>
      <c r="P1072" s="110"/>
      <c r="Q1072" s="110"/>
      <c r="R1072" s="110"/>
      <c r="S1072" s="110"/>
      <c r="T1072" s="110"/>
      <c r="U1072" s="110"/>
      <c r="V1072" s="110"/>
      <c r="W1072" s="110"/>
      <c r="X1072" s="110"/>
      <c r="Y1072" s="110"/>
      <c r="Z1072" s="110"/>
    </row>
    <row r="1073">
      <c r="A1073" s="70"/>
      <c r="B1073" s="70"/>
      <c r="D1073" s="154"/>
      <c r="O1073" s="92"/>
      <c r="P1073" s="110"/>
      <c r="Q1073" s="110"/>
      <c r="R1073" s="110"/>
      <c r="S1073" s="110"/>
      <c r="T1073" s="110"/>
      <c r="U1073" s="110"/>
      <c r="V1073" s="110"/>
      <c r="W1073" s="110"/>
      <c r="X1073" s="110"/>
      <c r="Y1073" s="110"/>
      <c r="Z1073" s="110"/>
    </row>
    <row r="1074">
      <c r="A1074" s="70"/>
      <c r="B1074" s="70"/>
      <c r="D1074" s="154"/>
      <c r="O1074" s="92"/>
      <c r="P1074" s="110"/>
      <c r="Q1074" s="110"/>
      <c r="R1074" s="110"/>
      <c r="S1074" s="110"/>
      <c r="T1074" s="110"/>
      <c r="U1074" s="110"/>
      <c r="V1074" s="110"/>
      <c r="W1074" s="110"/>
      <c r="X1074" s="110"/>
      <c r="Y1074" s="110"/>
      <c r="Z1074" s="110"/>
    </row>
    <row r="1075">
      <c r="A1075" s="70"/>
      <c r="B1075" s="70"/>
      <c r="D1075" s="154"/>
      <c r="O1075" s="92"/>
      <c r="P1075" s="110"/>
      <c r="Q1075" s="110"/>
      <c r="R1075" s="110"/>
      <c r="S1075" s="110"/>
      <c r="T1075" s="110"/>
      <c r="U1075" s="110"/>
      <c r="V1075" s="110"/>
      <c r="W1075" s="110"/>
      <c r="X1075" s="110"/>
      <c r="Y1075" s="110"/>
      <c r="Z1075" s="110"/>
    </row>
    <row r="1076">
      <c r="A1076" s="70"/>
      <c r="B1076" s="70"/>
      <c r="D1076" s="154"/>
      <c r="O1076" s="92"/>
      <c r="P1076" s="110"/>
      <c r="Q1076" s="110"/>
      <c r="R1076" s="110"/>
      <c r="S1076" s="110"/>
      <c r="T1076" s="110"/>
      <c r="U1076" s="110"/>
      <c r="V1076" s="110"/>
      <c r="W1076" s="110"/>
      <c r="X1076" s="110"/>
      <c r="Y1076" s="110"/>
      <c r="Z1076" s="110"/>
    </row>
    <row r="1077">
      <c r="A1077" s="70"/>
      <c r="B1077" s="70"/>
      <c r="D1077" s="154"/>
      <c r="O1077" s="92"/>
      <c r="P1077" s="110"/>
      <c r="Q1077" s="110"/>
      <c r="R1077" s="110"/>
      <c r="S1077" s="110"/>
      <c r="T1077" s="110"/>
      <c r="U1077" s="110"/>
      <c r="V1077" s="110"/>
      <c r="W1077" s="110"/>
      <c r="X1077" s="110"/>
      <c r="Y1077" s="110"/>
      <c r="Z1077" s="110"/>
    </row>
    <row r="1078">
      <c r="A1078" s="70"/>
      <c r="B1078" s="70"/>
      <c r="D1078" s="154"/>
      <c r="O1078" s="92"/>
      <c r="P1078" s="110"/>
      <c r="Q1078" s="110"/>
      <c r="R1078" s="110"/>
      <c r="S1078" s="110"/>
      <c r="T1078" s="110"/>
      <c r="U1078" s="110"/>
      <c r="V1078" s="110"/>
      <c r="W1078" s="110"/>
      <c r="X1078" s="110"/>
      <c r="Y1078" s="110"/>
      <c r="Z1078" s="110"/>
    </row>
    <row r="1079">
      <c r="A1079" s="70"/>
      <c r="B1079" s="70"/>
      <c r="D1079" s="154"/>
      <c r="O1079" s="92"/>
      <c r="P1079" s="110"/>
      <c r="Q1079" s="110"/>
      <c r="R1079" s="110"/>
      <c r="S1079" s="110"/>
      <c r="T1079" s="110"/>
      <c r="U1079" s="110"/>
      <c r="V1079" s="110"/>
      <c r="W1079" s="110"/>
      <c r="X1079" s="110"/>
      <c r="Y1079" s="110"/>
      <c r="Z1079" s="110"/>
    </row>
    <row r="1080">
      <c r="A1080" s="70"/>
      <c r="B1080" s="70"/>
      <c r="D1080" s="154"/>
      <c r="O1080" s="92"/>
      <c r="P1080" s="110"/>
      <c r="Q1080" s="110"/>
      <c r="R1080" s="110"/>
      <c r="S1080" s="110"/>
      <c r="T1080" s="110"/>
      <c r="U1080" s="110"/>
      <c r="V1080" s="110"/>
      <c r="W1080" s="110"/>
      <c r="X1080" s="110"/>
      <c r="Y1080" s="110"/>
      <c r="Z1080" s="110"/>
    </row>
    <row r="1081">
      <c r="A1081" s="70"/>
      <c r="B1081" s="70"/>
      <c r="D1081" s="154"/>
      <c r="O1081" s="92"/>
      <c r="P1081" s="110"/>
      <c r="Q1081" s="110"/>
      <c r="R1081" s="110"/>
      <c r="S1081" s="110"/>
      <c r="T1081" s="110"/>
      <c r="U1081" s="110"/>
      <c r="V1081" s="110"/>
      <c r="W1081" s="110"/>
      <c r="X1081" s="110"/>
      <c r="Y1081" s="110"/>
      <c r="Z1081" s="110"/>
    </row>
    <row r="1082">
      <c r="A1082" s="70"/>
      <c r="B1082" s="70"/>
      <c r="D1082" s="154"/>
      <c r="O1082" s="92"/>
      <c r="P1082" s="110"/>
      <c r="Q1082" s="110"/>
      <c r="R1082" s="110"/>
      <c r="S1082" s="110"/>
      <c r="T1082" s="110"/>
      <c r="U1082" s="110"/>
      <c r="V1082" s="110"/>
      <c r="W1082" s="110"/>
      <c r="X1082" s="110"/>
      <c r="Y1082" s="110"/>
      <c r="Z1082" s="110"/>
    </row>
  </sheetData>
  <customSheetViews>
    <customSheetView guid="{576DFCCB-C935-4554-80E9-8B98F1E7C008}" filter="1" showAutoFilter="1">
      <autoFilter ref="$B$2:$Z$163">
        <filterColumn colId="2">
          <filters>
            <filter val="Target"/>
            <filter val="Realisasi"/>
          </filters>
        </filterColumn>
      </autoFilter>
      <extLst>
        <ext uri="GoogleSheetsCustomDataVersion1">
          <go:sheetsCustomData xmlns:go="http://customooxmlschemas.google.com/" filterViewId="1174869656"/>
        </ext>
      </extLst>
    </customSheetView>
    <customSheetView guid="{4EAE1BC8-65EE-4A00-A0E6-850D6B66D32C}" filter="1" showAutoFilter="1">
      <autoFilter ref="$B$2:$Z$163"/>
      <extLst>
        <ext uri="GoogleSheetsCustomDataVersion1">
          <go:sheetsCustomData xmlns:go="http://customooxmlschemas.google.com/" filterViewId="517418904"/>
        </ext>
      </extLst>
    </customSheetView>
  </customSheetViews>
  <mergeCells count="327">
    <mergeCell ref="B41:B42"/>
    <mergeCell ref="C41:C42"/>
    <mergeCell ref="A37:A38"/>
    <mergeCell ref="B37:B38"/>
    <mergeCell ref="C37:C38"/>
    <mergeCell ref="A39:A40"/>
    <mergeCell ref="B39:B40"/>
    <mergeCell ref="C39:C40"/>
    <mergeCell ref="A41:A42"/>
    <mergeCell ref="A1:A2"/>
    <mergeCell ref="B1:B2"/>
    <mergeCell ref="C1:C2"/>
    <mergeCell ref="D1:D2"/>
    <mergeCell ref="E1:M1"/>
    <mergeCell ref="O1:O2"/>
    <mergeCell ref="A3:A4"/>
    <mergeCell ref="B3:B4"/>
    <mergeCell ref="C3:C4"/>
    <mergeCell ref="A5:A6"/>
    <mergeCell ref="B5:B6"/>
    <mergeCell ref="C5:C6"/>
    <mergeCell ref="B7:B8"/>
    <mergeCell ref="C7:C8"/>
    <mergeCell ref="A7:A8"/>
    <mergeCell ref="A9:A10"/>
    <mergeCell ref="B9:B10"/>
    <mergeCell ref="C9:C10"/>
    <mergeCell ref="A11:A12"/>
    <mergeCell ref="B11:B12"/>
    <mergeCell ref="C11:C12"/>
    <mergeCell ref="B17:B18"/>
    <mergeCell ref="C17:C18"/>
    <mergeCell ref="A13:A14"/>
    <mergeCell ref="B13:B14"/>
    <mergeCell ref="C13:C14"/>
    <mergeCell ref="A15:A16"/>
    <mergeCell ref="B15:B16"/>
    <mergeCell ref="C15:C16"/>
    <mergeCell ref="A17:A18"/>
    <mergeCell ref="O3:O4"/>
    <mergeCell ref="O5:O6"/>
    <mergeCell ref="O7:O8"/>
    <mergeCell ref="O9:O10"/>
    <mergeCell ref="O11:O12"/>
    <mergeCell ref="O13:O14"/>
    <mergeCell ref="O15:O16"/>
    <mergeCell ref="O17:O18"/>
    <mergeCell ref="O19:O20"/>
    <mergeCell ref="O21:O22"/>
    <mergeCell ref="O23:O24"/>
    <mergeCell ref="O25:O26"/>
    <mergeCell ref="O27:O28"/>
    <mergeCell ref="O29:O30"/>
    <mergeCell ref="B47:B48"/>
    <mergeCell ref="C47:C48"/>
    <mergeCell ref="A43:A44"/>
    <mergeCell ref="B43:B44"/>
    <mergeCell ref="C43:C44"/>
    <mergeCell ref="A45:A46"/>
    <mergeCell ref="B45:B46"/>
    <mergeCell ref="C45:C46"/>
    <mergeCell ref="A47:A48"/>
    <mergeCell ref="B53:B54"/>
    <mergeCell ref="C53:C54"/>
    <mergeCell ref="A49:A50"/>
    <mergeCell ref="B49:B50"/>
    <mergeCell ref="C49:C50"/>
    <mergeCell ref="A51:A52"/>
    <mergeCell ref="B51:B52"/>
    <mergeCell ref="C51:C52"/>
    <mergeCell ref="A53:A54"/>
    <mergeCell ref="B59:B60"/>
    <mergeCell ref="C59:C60"/>
    <mergeCell ref="A55:A56"/>
    <mergeCell ref="B55:B56"/>
    <mergeCell ref="C55:C56"/>
    <mergeCell ref="A57:A58"/>
    <mergeCell ref="B57:B58"/>
    <mergeCell ref="C57:C58"/>
    <mergeCell ref="A59:A60"/>
    <mergeCell ref="B65:B66"/>
    <mergeCell ref="C65:C66"/>
    <mergeCell ref="A61:A62"/>
    <mergeCell ref="B61:B62"/>
    <mergeCell ref="C61:C62"/>
    <mergeCell ref="A63:A64"/>
    <mergeCell ref="B63:B64"/>
    <mergeCell ref="C63:C64"/>
    <mergeCell ref="A65:A66"/>
    <mergeCell ref="O129:O130"/>
    <mergeCell ref="O131:O132"/>
    <mergeCell ref="O133:O134"/>
    <mergeCell ref="O135:O136"/>
    <mergeCell ref="O137:O138"/>
    <mergeCell ref="O139:O140"/>
    <mergeCell ref="O141:O142"/>
    <mergeCell ref="O157:O158"/>
    <mergeCell ref="O159:O160"/>
    <mergeCell ref="O161:O162"/>
    <mergeCell ref="O143:O144"/>
    <mergeCell ref="O145:O146"/>
    <mergeCell ref="O147:O148"/>
    <mergeCell ref="O149:O150"/>
    <mergeCell ref="O151:O152"/>
    <mergeCell ref="O153:O154"/>
    <mergeCell ref="O155:O156"/>
    <mergeCell ref="O31:O32"/>
    <mergeCell ref="O33:O34"/>
    <mergeCell ref="O35:O36"/>
    <mergeCell ref="O37:O38"/>
    <mergeCell ref="O39:O40"/>
    <mergeCell ref="O41:O42"/>
    <mergeCell ref="O43:O44"/>
    <mergeCell ref="O45:O46"/>
    <mergeCell ref="O47:O48"/>
    <mergeCell ref="O49:O50"/>
    <mergeCell ref="O51:O52"/>
    <mergeCell ref="O53:O54"/>
    <mergeCell ref="O55:O56"/>
    <mergeCell ref="O57:O58"/>
    <mergeCell ref="O59:O60"/>
    <mergeCell ref="O61:O62"/>
    <mergeCell ref="O63:O64"/>
    <mergeCell ref="O65:O66"/>
    <mergeCell ref="O67:O68"/>
    <mergeCell ref="O69:O70"/>
    <mergeCell ref="O71:O72"/>
    <mergeCell ref="O73:O74"/>
    <mergeCell ref="O75:O76"/>
    <mergeCell ref="O77:O78"/>
    <mergeCell ref="O79:O80"/>
    <mergeCell ref="O81:O82"/>
    <mergeCell ref="O83:O84"/>
    <mergeCell ref="O85:O86"/>
    <mergeCell ref="O87:O88"/>
    <mergeCell ref="O89:O90"/>
    <mergeCell ref="O91:O92"/>
    <mergeCell ref="O93:O94"/>
    <mergeCell ref="O95:O96"/>
    <mergeCell ref="O97:O98"/>
    <mergeCell ref="O99:O100"/>
    <mergeCell ref="O101:O102"/>
    <mergeCell ref="O103:O104"/>
    <mergeCell ref="O105:O106"/>
    <mergeCell ref="O107:O108"/>
    <mergeCell ref="O109:O110"/>
    <mergeCell ref="O111:O112"/>
    <mergeCell ref="O113:O114"/>
    <mergeCell ref="O115:O116"/>
    <mergeCell ref="O117:O118"/>
    <mergeCell ref="O119:O120"/>
    <mergeCell ref="O121:O122"/>
    <mergeCell ref="O123:O124"/>
    <mergeCell ref="O125:O126"/>
    <mergeCell ref="O127:O128"/>
    <mergeCell ref="B71:B72"/>
    <mergeCell ref="C71:C72"/>
    <mergeCell ref="A67:A68"/>
    <mergeCell ref="B67:B68"/>
    <mergeCell ref="C67:C68"/>
    <mergeCell ref="A69:A70"/>
    <mergeCell ref="B69:B70"/>
    <mergeCell ref="C69:C70"/>
    <mergeCell ref="A71:A72"/>
    <mergeCell ref="B77:B78"/>
    <mergeCell ref="C77:C78"/>
    <mergeCell ref="A73:A74"/>
    <mergeCell ref="B73:B74"/>
    <mergeCell ref="C73:C74"/>
    <mergeCell ref="A75:A76"/>
    <mergeCell ref="B75:B76"/>
    <mergeCell ref="C75:C76"/>
    <mergeCell ref="A77:A78"/>
    <mergeCell ref="B83:B84"/>
    <mergeCell ref="C83:C84"/>
    <mergeCell ref="A79:A80"/>
    <mergeCell ref="B79:B80"/>
    <mergeCell ref="C79:C80"/>
    <mergeCell ref="A81:A82"/>
    <mergeCell ref="B81:B82"/>
    <mergeCell ref="C81:C82"/>
    <mergeCell ref="A83:A84"/>
    <mergeCell ref="B89:B90"/>
    <mergeCell ref="C89:C90"/>
    <mergeCell ref="A85:A86"/>
    <mergeCell ref="B85:B86"/>
    <mergeCell ref="C85:C86"/>
    <mergeCell ref="A87:A88"/>
    <mergeCell ref="B87:B88"/>
    <mergeCell ref="C87:C88"/>
    <mergeCell ref="A89:A90"/>
    <mergeCell ref="B95:B96"/>
    <mergeCell ref="C95:C96"/>
    <mergeCell ref="A91:A92"/>
    <mergeCell ref="B91:B92"/>
    <mergeCell ref="C91:C92"/>
    <mergeCell ref="A93:A94"/>
    <mergeCell ref="B93:B94"/>
    <mergeCell ref="C93:C94"/>
    <mergeCell ref="A95:A96"/>
    <mergeCell ref="B101:B102"/>
    <mergeCell ref="C101:C102"/>
    <mergeCell ref="A97:A98"/>
    <mergeCell ref="B97:B98"/>
    <mergeCell ref="C97:C98"/>
    <mergeCell ref="A99:A100"/>
    <mergeCell ref="B99:B100"/>
    <mergeCell ref="C99:C100"/>
    <mergeCell ref="A101:A102"/>
    <mergeCell ref="B107:B108"/>
    <mergeCell ref="C107:C108"/>
    <mergeCell ref="A103:A104"/>
    <mergeCell ref="B103:B104"/>
    <mergeCell ref="C103:C104"/>
    <mergeCell ref="A105:A106"/>
    <mergeCell ref="B105:B106"/>
    <mergeCell ref="C105:C106"/>
    <mergeCell ref="A107:A108"/>
    <mergeCell ref="B155:B156"/>
    <mergeCell ref="C155:C156"/>
    <mergeCell ref="A151:A152"/>
    <mergeCell ref="B151:B152"/>
    <mergeCell ref="C151:C152"/>
    <mergeCell ref="A153:A154"/>
    <mergeCell ref="B153:B154"/>
    <mergeCell ref="C153:C154"/>
    <mergeCell ref="A155:A156"/>
    <mergeCell ref="B23:B24"/>
    <mergeCell ref="C23:C24"/>
    <mergeCell ref="A19:A20"/>
    <mergeCell ref="B19:B20"/>
    <mergeCell ref="C19:C20"/>
    <mergeCell ref="A21:A22"/>
    <mergeCell ref="B21:B22"/>
    <mergeCell ref="C21:C22"/>
    <mergeCell ref="A23:A24"/>
    <mergeCell ref="B29:B30"/>
    <mergeCell ref="C29:C30"/>
    <mergeCell ref="A25:A26"/>
    <mergeCell ref="B25:B26"/>
    <mergeCell ref="C25:C26"/>
    <mergeCell ref="A27:A28"/>
    <mergeCell ref="B27:B28"/>
    <mergeCell ref="C27:C28"/>
    <mergeCell ref="A29:A30"/>
    <mergeCell ref="B35:B36"/>
    <mergeCell ref="C35:C36"/>
    <mergeCell ref="A31:A32"/>
    <mergeCell ref="B31:B32"/>
    <mergeCell ref="C31:C32"/>
    <mergeCell ref="A33:A34"/>
    <mergeCell ref="B33:B34"/>
    <mergeCell ref="C33:C34"/>
    <mergeCell ref="A35:A36"/>
    <mergeCell ref="B161:B162"/>
    <mergeCell ref="C161:C162"/>
    <mergeCell ref="A157:A158"/>
    <mergeCell ref="B157:B158"/>
    <mergeCell ref="C157:C158"/>
    <mergeCell ref="A159:A160"/>
    <mergeCell ref="B159:B160"/>
    <mergeCell ref="C159:C160"/>
    <mergeCell ref="A161:A162"/>
    <mergeCell ref="A163:A164"/>
    <mergeCell ref="B113:B114"/>
    <mergeCell ref="C113:C114"/>
    <mergeCell ref="A109:A110"/>
    <mergeCell ref="B109:B110"/>
    <mergeCell ref="C109:C110"/>
    <mergeCell ref="A111:A112"/>
    <mergeCell ref="B111:B112"/>
    <mergeCell ref="C111:C112"/>
    <mergeCell ref="A113:A114"/>
    <mergeCell ref="B119:B120"/>
    <mergeCell ref="C119:C120"/>
    <mergeCell ref="A115:A116"/>
    <mergeCell ref="B115:B116"/>
    <mergeCell ref="C115:C116"/>
    <mergeCell ref="A117:A118"/>
    <mergeCell ref="B117:B118"/>
    <mergeCell ref="C117:C118"/>
    <mergeCell ref="A119:A120"/>
    <mergeCell ref="B125:B126"/>
    <mergeCell ref="C125:C126"/>
    <mergeCell ref="A121:A122"/>
    <mergeCell ref="B121:B122"/>
    <mergeCell ref="C121:C122"/>
    <mergeCell ref="A123:A124"/>
    <mergeCell ref="B123:B124"/>
    <mergeCell ref="C123:C124"/>
    <mergeCell ref="A125:A126"/>
    <mergeCell ref="B131:B132"/>
    <mergeCell ref="C131:C132"/>
    <mergeCell ref="A127:A128"/>
    <mergeCell ref="B127:B128"/>
    <mergeCell ref="C127:C128"/>
    <mergeCell ref="A129:A130"/>
    <mergeCell ref="B129:B130"/>
    <mergeCell ref="C129:C130"/>
    <mergeCell ref="A131:A132"/>
    <mergeCell ref="B137:B138"/>
    <mergeCell ref="C137:C138"/>
    <mergeCell ref="A133:A134"/>
    <mergeCell ref="B133:B134"/>
    <mergeCell ref="C133:C134"/>
    <mergeCell ref="A135:A136"/>
    <mergeCell ref="B135:B136"/>
    <mergeCell ref="C135:C136"/>
    <mergeCell ref="A137:A138"/>
    <mergeCell ref="B143:B144"/>
    <mergeCell ref="C143:C144"/>
    <mergeCell ref="A139:A140"/>
    <mergeCell ref="B139:B140"/>
    <mergeCell ref="C139:C140"/>
    <mergeCell ref="A141:A142"/>
    <mergeCell ref="B141:B142"/>
    <mergeCell ref="C141:C142"/>
    <mergeCell ref="A143:A144"/>
    <mergeCell ref="B149:B150"/>
    <mergeCell ref="C149:C150"/>
    <mergeCell ref="A145:A146"/>
    <mergeCell ref="B145:B146"/>
    <mergeCell ref="C145:C146"/>
    <mergeCell ref="A147:A148"/>
    <mergeCell ref="B147:B148"/>
    <mergeCell ref="C147:C148"/>
    <mergeCell ref="A149:A150"/>
  </mergeCells>
  <hyperlinks>
    <hyperlink r:id="rId1" ref="O91"/>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